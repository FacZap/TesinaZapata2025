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acultad\!PROYECTO\Tesina - Zapata 2025\Diseño\"/>
    </mc:Choice>
  </mc:AlternateContent>
  <xr:revisionPtr revIDLastSave="0" documentId="13_ncr:1_{53170C8B-0331-4D50-84BD-34B61D95E8DC}" xr6:coauthVersionLast="47" xr6:coauthVersionMax="47" xr10:uidLastSave="{00000000-0000-0000-0000-000000000000}"/>
  <bookViews>
    <workbookView xWindow="-108" yWindow="-108" windowWidth="23256" windowHeight="12576" activeTab="8" xr2:uid="{00000000-000D-0000-FFFF-FFFF00000000}"/>
  </bookViews>
  <sheets>
    <sheet name="th1" sheetId="1" r:id="rId1"/>
    <sheet name="th2" sheetId="2" r:id="rId2"/>
    <sheet name="tc1" sheetId="3" r:id="rId3"/>
    <sheet name="tc2" sheetId="4" r:id="rId4"/>
    <sheet name="fh1" sheetId="5" r:id="rId5"/>
    <sheet name="fh2" sheetId="6" r:id="rId6"/>
    <sheet name="fc1" sheetId="7" r:id="rId7"/>
    <sheet name="fc2" sheetId="8" r:id="rId8"/>
    <sheet name="Matrices" sheetId="9" r:id="rId9"/>
  </sheets>
  <calcPr calcId="181029"/>
  <extLst>
    <ext uri="GoogleSheetsCustomDataVersion2">
      <go:sheetsCustomData xmlns:go="http://customooxmlschemas.google.com/" r:id="rId13" roundtripDataChecksum="u1SkNBwhFavveDrBzTSQ9cCER3J9ZZvOsMhD8Vp2D/g="/>
    </ext>
  </extLst>
</workbook>
</file>

<file path=xl/calcChain.xml><?xml version="1.0" encoding="utf-8"?>
<calcChain xmlns="http://schemas.openxmlformats.org/spreadsheetml/2006/main">
  <c r="C53" i="9" l="1"/>
  <c r="L37" i="9"/>
  <c r="D53" i="9"/>
  <c r="E53" i="9"/>
  <c r="F53" i="9"/>
  <c r="G53" i="9"/>
  <c r="H53" i="9"/>
  <c r="I53" i="9"/>
  <c r="J53" i="9"/>
  <c r="D54" i="9"/>
  <c r="E54" i="9"/>
  <c r="F54" i="9"/>
  <c r="G54" i="9"/>
  <c r="H54" i="9"/>
  <c r="I54" i="9"/>
  <c r="J54" i="9"/>
  <c r="D55" i="9"/>
  <c r="E55" i="9"/>
  <c r="F55" i="9"/>
  <c r="G55" i="9"/>
  <c r="H55" i="9"/>
  <c r="I55" i="9"/>
  <c r="J55" i="9"/>
  <c r="D56" i="9"/>
  <c r="E56" i="9"/>
  <c r="F56" i="9"/>
  <c r="G56" i="9"/>
  <c r="H56" i="9"/>
  <c r="I56" i="9"/>
  <c r="J56" i="9"/>
  <c r="C54" i="9"/>
  <c r="C55" i="9"/>
  <c r="C56" i="9"/>
  <c r="M37" i="9"/>
  <c r="N37" i="9"/>
  <c r="O37" i="9"/>
  <c r="P37" i="9"/>
  <c r="Q37" i="9"/>
  <c r="R37" i="9"/>
  <c r="S37" i="9"/>
  <c r="M38" i="9"/>
  <c r="N38" i="9"/>
  <c r="O38" i="9"/>
  <c r="P38" i="9"/>
  <c r="Q38" i="9"/>
  <c r="R38" i="9"/>
  <c r="S38" i="9"/>
  <c r="M39" i="9"/>
  <c r="N39" i="9"/>
  <c r="O39" i="9"/>
  <c r="P39" i="9"/>
  <c r="Q39" i="9"/>
  <c r="R39" i="9"/>
  <c r="S39" i="9"/>
  <c r="M40" i="9"/>
  <c r="N40" i="9"/>
  <c r="O40" i="9"/>
  <c r="P40" i="9"/>
  <c r="Q40" i="9"/>
  <c r="R40" i="9"/>
  <c r="S40" i="9"/>
  <c r="L38" i="9"/>
  <c r="L39" i="9"/>
  <c r="L40" i="9"/>
  <c r="M21" i="9" l="1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Y9" i="8"/>
  <c r="X9" i="8"/>
  <c r="W9" i="8"/>
  <c r="V9" i="8"/>
  <c r="Y8" i="8"/>
  <c r="X8" i="8"/>
  <c r="W8" i="8"/>
  <c r="V8" i="8"/>
  <c r="Y7" i="8"/>
  <c r="X7" i="8"/>
  <c r="W7" i="8"/>
  <c r="V7" i="8"/>
  <c r="Y6" i="8"/>
  <c r="X6" i="8"/>
  <c r="W6" i="8"/>
  <c r="V6" i="8"/>
  <c r="Y5" i="8"/>
  <c r="Y16" i="8" s="1"/>
  <c r="X5" i="8"/>
  <c r="X16" i="8" s="1"/>
  <c r="W5" i="8"/>
  <c r="W16" i="8" s="1"/>
  <c r="V5" i="8"/>
  <c r="V16" i="8" s="1"/>
  <c r="Y9" i="7"/>
  <c r="X9" i="7"/>
  <c r="W9" i="7"/>
  <c r="V9" i="7"/>
  <c r="Y8" i="7"/>
  <c r="X8" i="7"/>
  <c r="W8" i="7"/>
  <c r="V8" i="7"/>
  <c r="Y7" i="7"/>
  <c r="X7" i="7"/>
  <c r="W7" i="7"/>
  <c r="V7" i="7"/>
  <c r="Y6" i="7"/>
  <c r="X6" i="7"/>
  <c r="W6" i="7"/>
  <c r="V6" i="7"/>
  <c r="Y5" i="7"/>
  <c r="Y16" i="7" s="1"/>
  <c r="X5" i="7"/>
  <c r="X16" i="7" s="1"/>
  <c r="W5" i="7"/>
  <c r="W16" i="7" s="1"/>
  <c r="V5" i="7"/>
  <c r="V16" i="7" s="1"/>
  <c r="Y9" i="6"/>
  <c r="X9" i="6"/>
  <c r="W9" i="6"/>
  <c r="V9" i="6"/>
  <c r="Y8" i="6"/>
  <c r="X8" i="6"/>
  <c r="W8" i="6"/>
  <c r="V8" i="6"/>
  <c r="Y7" i="6"/>
  <c r="X7" i="6"/>
  <c r="W7" i="6"/>
  <c r="V7" i="6"/>
  <c r="Y6" i="6"/>
  <c r="X6" i="6"/>
  <c r="W6" i="6"/>
  <c r="V6" i="6"/>
  <c r="Y5" i="6"/>
  <c r="Y16" i="6" s="1"/>
  <c r="X5" i="6"/>
  <c r="X16" i="6" s="1"/>
  <c r="W5" i="6"/>
  <c r="W16" i="6" s="1"/>
  <c r="V5" i="6"/>
  <c r="V16" i="6" s="1"/>
  <c r="Y9" i="5"/>
  <c r="X9" i="5"/>
  <c r="W9" i="5"/>
  <c r="V9" i="5"/>
  <c r="Y8" i="5"/>
  <c r="X8" i="5"/>
  <c r="W8" i="5"/>
  <c r="V8" i="5"/>
  <c r="Y7" i="5"/>
  <c r="X7" i="5"/>
  <c r="W7" i="5"/>
  <c r="V7" i="5"/>
  <c r="Y6" i="5"/>
  <c r="X6" i="5"/>
  <c r="W6" i="5"/>
  <c r="V6" i="5"/>
  <c r="Y5" i="5"/>
  <c r="Y16" i="5" s="1"/>
  <c r="X5" i="5"/>
  <c r="X16" i="5" s="1"/>
  <c r="W5" i="5"/>
  <c r="W16" i="5" s="1"/>
  <c r="V5" i="5"/>
  <c r="V16" i="5" s="1"/>
  <c r="Y20" i="4"/>
  <c r="X20" i="4"/>
  <c r="W20" i="4"/>
  <c r="V20" i="4"/>
  <c r="Y19" i="4"/>
  <c r="X19" i="4"/>
  <c r="W19" i="4"/>
  <c r="V19" i="4"/>
  <c r="Y18" i="4"/>
  <c r="X18" i="4"/>
  <c r="W18" i="4"/>
  <c r="V18" i="4"/>
  <c r="Y17" i="4"/>
  <c r="X17" i="4"/>
  <c r="W17" i="4"/>
  <c r="V17" i="4"/>
  <c r="Y16" i="4"/>
  <c r="X16" i="4"/>
  <c r="W16" i="4"/>
  <c r="V16" i="4"/>
  <c r="Y15" i="4"/>
  <c r="X15" i="4"/>
  <c r="W15" i="4"/>
  <c r="V15" i="4"/>
  <c r="Y14" i="4"/>
  <c r="X14" i="4"/>
  <c r="W14" i="4"/>
  <c r="V14" i="4"/>
  <c r="Y13" i="4"/>
  <c r="X13" i="4"/>
  <c r="W13" i="4"/>
  <c r="V13" i="4"/>
  <c r="Y12" i="4"/>
  <c r="V12" i="4"/>
  <c r="Y11" i="4"/>
  <c r="X11" i="4"/>
  <c r="X12" i="4" s="1"/>
  <c r="W11" i="4"/>
  <c r="W12" i="4" s="1"/>
  <c r="V11" i="4"/>
  <c r="Y10" i="4"/>
  <c r="X10" i="4"/>
  <c r="W10" i="4"/>
  <c r="V10" i="4"/>
  <c r="Y9" i="4"/>
  <c r="X9" i="4"/>
  <c r="W9" i="4"/>
  <c r="V9" i="4"/>
  <c r="Y8" i="4"/>
  <c r="X8" i="4"/>
  <c r="W8" i="4"/>
  <c r="V8" i="4"/>
  <c r="Y7" i="4"/>
  <c r="X7" i="4"/>
  <c r="W7" i="4"/>
  <c r="V7" i="4"/>
  <c r="Y6" i="4"/>
  <c r="X6" i="4"/>
  <c r="W6" i="4"/>
  <c r="V6" i="4"/>
  <c r="Y5" i="4"/>
  <c r="X5" i="4"/>
  <c r="W5" i="4"/>
  <c r="V5" i="4"/>
  <c r="Y4" i="4"/>
  <c r="Y28" i="4" s="1"/>
  <c r="X4" i="4"/>
  <c r="X28" i="4" s="1"/>
  <c r="W4" i="4"/>
  <c r="V4" i="4"/>
  <c r="V28" i="4" s="1"/>
  <c r="Y20" i="3"/>
  <c r="X20" i="3"/>
  <c r="W20" i="3"/>
  <c r="V20" i="3"/>
  <c r="Y19" i="3"/>
  <c r="X19" i="3"/>
  <c r="W19" i="3"/>
  <c r="V19" i="3"/>
  <c r="Y18" i="3"/>
  <c r="X18" i="3"/>
  <c r="W18" i="3"/>
  <c r="V18" i="3"/>
  <c r="Y17" i="3"/>
  <c r="X17" i="3"/>
  <c r="W17" i="3"/>
  <c r="V17" i="3"/>
  <c r="Y16" i="3"/>
  <c r="X16" i="3"/>
  <c r="W16" i="3"/>
  <c r="V16" i="3"/>
  <c r="Y15" i="3"/>
  <c r="X15" i="3"/>
  <c r="W15" i="3"/>
  <c r="V15" i="3"/>
  <c r="Y14" i="3"/>
  <c r="X14" i="3"/>
  <c r="W14" i="3"/>
  <c r="V14" i="3"/>
  <c r="Y13" i="3"/>
  <c r="X13" i="3"/>
  <c r="W13" i="3"/>
  <c r="V13" i="3"/>
  <c r="Y12" i="3"/>
  <c r="V12" i="3"/>
  <c r="Y11" i="3"/>
  <c r="X11" i="3"/>
  <c r="X12" i="3" s="1"/>
  <c r="W11" i="3"/>
  <c r="W12" i="3" s="1"/>
  <c r="V11" i="3"/>
  <c r="Y10" i="3"/>
  <c r="X10" i="3"/>
  <c r="W10" i="3"/>
  <c r="V10" i="3"/>
  <c r="Y9" i="3"/>
  <c r="X9" i="3"/>
  <c r="W9" i="3"/>
  <c r="V9" i="3"/>
  <c r="Y8" i="3"/>
  <c r="X8" i="3"/>
  <c r="W8" i="3"/>
  <c r="V8" i="3"/>
  <c r="Y7" i="3"/>
  <c r="X7" i="3"/>
  <c r="W7" i="3"/>
  <c r="V7" i="3"/>
  <c r="Y6" i="3"/>
  <c r="X6" i="3"/>
  <c r="W6" i="3"/>
  <c r="V6" i="3"/>
  <c r="Y5" i="3"/>
  <c r="X5" i="3"/>
  <c r="W5" i="3"/>
  <c r="V5" i="3"/>
  <c r="Y4" i="3"/>
  <c r="Y28" i="3" s="1"/>
  <c r="X4" i="3"/>
  <c r="X28" i="3" s="1"/>
  <c r="W4" i="3"/>
  <c r="V4" i="3"/>
  <c r="V28" i="3" s="1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4" i="2"/>
  <c r="X14" i="2"/>
  <c r="W14" i="2"/>
  <c r="V14" i="2"/>
  <c r="Y13" i="2"/>
  <c r="X13" i="2"/>
  <c r="W13" i="2"/>
  <c r="V13" i="2"/>
  <c r="Y12" i="2"/>
  <c r="V12" i="2"/>
  <c r="Y11" i="2"/>
  <c r="X11" i="2"/>
  <c r="X12" i="2" s="1"/>
  <c r="W11" i="2"/>
  <c r="W12" i="2" s="1"/>
  <c r="V11" i="2"/>
  <c r="Y10" i="2"/>
  <c r="X10" i="2"/>
  <c r="W10" i="2"/>
  <c r="V10" i="2"/>
  <c r="Y9" i="2"/>
  <c r="X9" i="2"/>
  <c r="W9" i="2"/>
  <c r="V9" i="2"/>
  <c r="Y8" i="2"/>
  <c r="X8" i="2"/>
  <c r="W8" i="2"/>
  <c r="V8" i="2"/>
  <c r="Y7" i="2"/>
  <c r="X7" i="2"/>
  <c r="W7" i="2"/>
  <c r="V7" i="2"/>
  <c r="Y6" i="2"/>
  <c r="X6" i="2"/>
  <c r="W6" i="2"/>
  <c r="V6" i="2"/>
  <c r="Y5" i="2"/>
  <c r="X5" i="2"/>
  <c r="X26" i="2" s="1"/>
  <c r="W5" i="2"/>
  <c r="V5" i="2"/>
  <c r="Y4" i="2"/>
  <c r="Y28" i="2" s="1"/>
  <c r="X4" i="2"/>
  <c r="W4" i="2"/>
  <c r="W28" i="2" s="1"/>
  <c r="V4" i="2"/>
  <c r="V28" i="2" s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V12" i="1"/>
  <c r="Y11" i="1"/>
  <c r="X11" i="1"/>
  <c r="W11" i="1"/>
  <c r="W12" i="1" s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Y6" i="1"/>
  <c r="X6" i="1"/>
  <c r="W6" i="1"/>
  <c r="V6" i="1"/>
  <c r="Y5" i="1"/>
  <c r="X5" i="1"/>
  <c r="W5" i="1"/>
  <c r="V5" i="1"/>
  <c r="Y4" i="1"/>
  <c r="Y28" i="1" s="1"/>
  <c r="X4" i="1"/>
  <c r="X28" i="1" s="1"/>
  <c r="W4" i="1"/>
  <c r="W28" i="1" s="1"/>
  <c r="V4" i="1"/>
  <c r="V28" i="1" s="1"/>
  <c r="X28" i="2" l="1"/>
  <c r="W28" i="3"/>
  <c r="W28" i="4"/>
  <c r="V27" i="1"/>
  <c r="V27" i="2"/>
  <c r="V27" i="3"/>
  <c r="V27" i="4"/>
  <c r="V15" i="5"/>
  <c r="V15" i="6"/>
  <c r="V15" i="7"/>
  <c r="V15" i="8"/>
  <c r="Y27" i="2"/>
  <c r="Y26" i="1"/>
  <c r="W27" i="1"/>
  <c r="W27" i="2"/>
  <c r="W27" i="3"/>
  <c r="W27" i="4"/>
  <c r="W15" i="5"/>
  <c r="W15" i="6"/>
  <c r="W15" i="7"/>
  <c r="W15" i="8"/>
  <c r="X27" i="1"/>
  <c r="X27" i="2"/>
  <c r="X27" i="3"/>
  <c r="X27" i="4"/>
  <c r="X15" i="5"/>
  <c r="X15" i="6"/>
  <c r="X15" i="7"/>
  <c r="X15" i="8"/>
  <c r="Y15" i="8"/>
  <c r="V26" i="1"/>
  <c r="V26" i="2"/>
  <c r="V26" i="3"/>
  <c r="V26" i="4"/>
  <c r="V14" i="5"/>
  <c r="V14" i="6"/>
  <c r="V14" i="7"/>
  <c r="V14" i="8"/>
  <c r="Y27" i="1"/>
  <c r="W26" i="1"/>
  <c r="W26" i="2"/>
  <c r="W26" i="3"/>
  <c r="W26" i="4"/>
  <c r="W14" i="5"/>
  <c r="W14" i="6"/>
  <c r="W14" i="7"/>
  <c r="W14" i="8"/>
  <c r="Y27" i="3"/>
  <c r="Y27" i="4"/>
  <c r="Y15" i="5"/>
  <c r="Y15" i="6"/>
  <c r="Y15" i="7"/>
  <c r="X26" i="1"/>
  <c r="X26" i="3"/>
  <c r="X26" i="4"/>
  <c r="X14" i="5"/>
  <c r="X14" i="6"/>
  <c r="X14" i="7"/>
  <c r="X14" i="8"/>
  <c r="Y26" i="2"/>
  <c r="Y26" i="3"/>
  <c r="Y26" i="4"/>
  <c r="Y14" i="5"/>
  <c r="Y14" i="6"/>
  <c r="Y14" i="7"/>
  <c r="Y14" i="8"/>
</calcChain>
</file>

<file path=xl/sharedStrings.xml><?xml version="1.0" encoding="utf-8"?>
<sst xmlns="http://schemas.openxmlformats.org/spreadsheetml/2006/main" count="1017" uniqueCount="40">
  <si>
    <t>Parameter Array</t>
  </si>
  <si>
    <t>S Parameter Array</t>
  </si>
  <si>
    <t>Kp</t>
  </si>
  <si>
    <t>Tp</t>
  </si>
  <si>
    <t>Td</t>
  </si>
  <si>
    <t>%</t>
  </si>
  <si>
    <t>Th1</t>
  </si>
  <si>
    <t>Th2</t>
  </si>
  <si>
    <t>Tc1</t>
  </si>
  <si>
    <t>Tc2</t>
  </si>
  <si>
    <t>th1_out</t>
  </si>
  <si>
    <t>th2_out</t>
  </si>
  <si>
    <t>tc1_out</t>
  </si>
  <si>
    <t>tc2_out</t>
  </si>
  <si>
    <t>th1_in</t>
  </si>
  <si>
    <t>✔</t>
  </si>
  <si>
    <t>th2_in</t>
  </si>
  <si>
    <t>X</t>
  </si>
  <si>
    <t>tc1_in</t>
  </si>
  <si>
    <t>tc2_in</t>
  </si>
  <si>
    <t>fh1_in</t>
  </si>
  <si>
    <t>fh2_in</t>
  </si>
  <si>
    <t>fc1_in</t>
  </si>
  <si>
    <t>fc2_in</t>
  </si>
  <si>
    <t>°C</t>
  </si>
  <si>
    <t>Dnorm</t>
  </si>
  <si>
    <t>re-arrag</t>
  </si>
  <si>
    <t>D_EE</t>
  </si>
  <si>
    <t>mia</t>
  </si>
  <si>
    <t>re-arrg</t>
  </si>
  <si>
    <t>absolute</t>
  </si>
  <si>
    <t>K</t>
  </si>
  <si>
    <t>th1</t>
  </si>
  <si>
    <t>fh1</t>
  </si>
  <si>
    <t>th2</t>
  </si>
  <si>
    <t>fh2</t>
  </si>
  <si>
    <t>tc1</t>
  </si>
  <si>
    <t>fc1</t>
  </si>
  <si>
    <t>tc2</t>
  </si>
  <si>
    <t>fc2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</si>
</sst>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11" fontId="2" fillId="0" borderId="0" xfId="0" applyNumberFormat="1" applyFont="1"/>
    <xf numFmtId="49" fontId="2" fillId="0" borderId="0" xfId="0" applyNumberFormat="1" applyFont="1"/>
    <xf numFmtId="49" fontId="2" fillId="0" borderId="1" xfId="0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1" fontId="0" fillId="7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Y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-90</v>
      </c>
      <c r="C3" s="1">
        <v>0.26613989701898899</v>
      </c>
      <c r="D3" s="1">
        <v>3.4895295369941</v>
      </c>
      <c r="E3" s="1">
        <v>17.251999999999999</v>
      </c>
      <c r="F3" s="1">
        <v>90.974389257404198</v>
      </c>
      <c r="G3" s="2" t="s">
        <v>6</v>
      </c>
      <c r="I3" s="1">
        <v>-90</v>
      </c>
      <c r="J3" s="1">
        <v>0.29579903287707499</v>
      </c>
      <c r="K3" s="1">
        <v>25.968842148337799</v>
      </c>
      <c r="L3" s="1">
        <v>58.236645134221803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-90</v>
      </c>
      <c r="C4" s="1">
        <v>0.111412146951044</v>
      </c>
      <c r="D4" s="1">
        <v>5.7554468964909402</v>
      </c>
      <c r="E4" s="1">
        <v>18.760999999999999</v>
      </c>
      <c r="F4" s="1">
        <v>92.855097960756794</v>
      </c>
      <c r="G4" s="1" t="s">
        <v>7</v>
      </c>
      <c r="I4" s="1">
        <v>-90</v>
      </c>
      <c r="J4" s="1">
        <v>0.133430894943317</v>
      </c>
      <c r="K4" s="1">
        <v>36.227929170855802</v>
      </c>
      <c r="L4" s="1">
        <v>57.958061809031598</v>
      </c>
      <c r="M4" s="1" t="s">
        <v>7</v>
      </c>
      <c r="P4" s="1">
        <v>-90</v>
      </c>
      <c r="Q4" s="1">
        <v>-6.2172148921701602</v>
      </c>
      <c r="R4" s="1">
        <v>-2.4913949477764299</v>
      </c>
      <c r="S4" s="1">
        <v>-3.1180563032492601</v>
      </c>
      <c r="T4" s="1">
        <v>-1.4639116205037801</v>
      </c>
      <c r="V4" s="1">
        <f t="shared" ref="V4:Y4" si="0">Q5-Q4</f>
        <v>0.68959596459789996</v>
      </c>
      <c r="W4" s="1">
        <f t="shared" si="0"/>
        <v>0.27622771125113976</v>
      </c>
      <c r="X4" s="1">
        <f t="shared" si="0"/>
        <v>0.3468538358723503</v>
      </c>
      <c r="Y4" s="1">
        <f t="shared" si="0"/>
        <v>0.16285310035229017</v>
      </c>
    </row>
    <row r="5" spans="2:25" ht="14.25" customHeight="1" x14ac:dyDescent="0.3">
      <c r="B5" s="1">
        <v>-90</v>
      </c>
      <c r="C5" s="1">
        <v>0.19540720744283199</v>
      </c>
      <c r="D5" s="1">
        <v>5.16613876107166</v>
      </c>
      <c r="E5" s="1">
        <v>17.542999999999999</v>
      </c>
      <c r="F5" s="1">
        <v>94.1405510106093</v>
      </c>
      <c r="G5" s="1" t="s">
        <v>8</v>
      </c>
      <c r="I5" s="1">
        <v>-90</v>
      </c>
      <c r="J5" s="1">
        <v>0.22601079100740801</v>
      </c>
      <c r="K5" s="1">
        <v>31.590447807791598</v>
      </c>
      <c r="L5" s="1">
        <v>58.056036760749102</v>
      </c>
      <c r="M5" s="1" t="s">
        <v>8</v>
      </c>
      <c r="P5" s="1">
        <v>-80</v>
      </c>
      <c r="Q5" s="1">
        <v>-5.5276189275722603</v>
      </c>
      <c r="R5" s="1">
        <v>-2.2151672365252901</v>
      </c>
      <c r="S5" s="1">
        <v>-2.7712024673769098</v>
      </c>
      <c r="T5" s="1">
        <v>-1.3010585201514899</v>
      </c>
      <c r="V5" s="1">
        <f t="shared" ref="V5:Y5" si="1">Q6-Q5</f>
        <v>0.68959596459792039</v>
      </c>
      <c r="W5" s="1">
        <f t="shared" si="1"/>
        <v>0.27622771125118017</v>
      </c>
      <c r="X5" s="1">
        <f t="shared" si="1"/>
        <v>0.34685383587236984</v>
      </c>
      <c r="Y5" s="1">
        <f t="shared" si="1"/>
        <v>0.16285310035229994</v>
      </c>
    </row>
    <row r="6" spans="2:25" ht="14.25" customHeight="1" x14ac:dyDescent="0.3">
      <c r="B6" s="1">
        <v>-90</v>
      </c>
      <c r="C6" s="1">
        <v>5.5838472589151998E-2</v>
      </c>
      <c r="D6" s="1">
        <v>5.9906638600010096</v>
      </c>
      <c r="E6" s="1">
        <v>17.628</v>
      </c>
      <c r="F6" s="1">
        <v>91.983703091902498</v>
      </c>
      <c r="G6" s="1" t="s">
        <v>9</v>
      </c>
      <c r="I6" s="1">
        <v>-90</v>
      </c>
      <c r="J6" s="1">
        <v>6.5153363081105503E-2</v>
      </c>
      <c r="K6" s="1">
        <v>33.115385082427501</v>
      </c>
      <c r="L6" s="1">
        <v>59.437622181929399</v>
      </c>
      <c r="M6" s="1" t="s">
        <v>9</v>
      </c>
      <c r="P6" s="1">
        <v>-70</v>
      </c>
      <c r="Q6" s="1">
        <v>-4.8380229629743399</v>
      </c>
      <c r="R6" s="1">
        <v>-1.93893952527411</v>
      </c>
      <c r="S6" s="1">
        <v>-2.4243486315045399</v>
      </c>
      <c r="T6" s="1">
        <v>-1.13820541979919</v>
      </c>
      <c r="V6" s="1">
        <f t="shared" ref="V6:Y6" si="2">Q7-Q6</f>
        <v>0.68959596459787953</v>
      </c>
      <c r="W6" s="1">
        <f t="shared" si="2"/>
        <v>0.27622771125113998</v>
      </c>
      <c r="X6" s="1">
        <f t="shared" si="2"/>
        <v>0.34685383587234986</v>
      </c>
      <c r="Y6" s="1">
        <f t="shared" si="2"/>
        <v>0.16285310035228295</v>
      </c>
    </row>
    <row r="7" spans="2:25" ht="14.25" customHeight="1" x14ac:dyDescent="0.3">
      <c r="B7" s="1">
        <v>-80</v>
      </c>
      <c r="C7" s="1">
        <v>0.26611035548675399</v>
      </c>
      <c r="D7" s="1">
        <v>3.4373753449399</v>
      </c>
      <c r="E7" s="1">
        <v>17.233000000000001</v>
      </c>
      <c r="F7" s="1">
        <v>90.904418202057002</v>
      </c>
      <c r="G7" s="2" t="s">
        <v>6</v>
      </c>
      <c r="I7" s="1">
        <v>-80</v>
      </c>
      <c r="J7" s="1">
        <v>0.295492833441234</v>
      </c>
      <c r="K7" s="1">
        <v>25.822172798979501</v>
      </c>
      <c r="L7" s="1">
        <v>58.222621400572201</v>
      </c>
      <c r="M7" s="2" t="s">
        <v>6</v>
      </c>
      <c r="P7" s="1">
        <v>-60</v>
      </c>
      <c r="Q7" s="1">
        <v>-4.1484269983764603</v>
      </c>
      <c r="R7" s="1">
        <v>-1.66271181402297</v>
      </c>
      <c r="S7" s="1">
        <v>-2.0774947956321901</v>
      </c>
      <c r="T7" s="1">
        <v>-0.97535231944690703</v>
      </c>
      <c r="V7" s="1">
        <f t="shared" ref="V7:Y7" si="3">Q8-Q7</f>
        <v>0.68959596459793016</v>
      </c>
      <c r="W7" s="1">
        <f t="shared" si="3"/>
        <v>0.27622771125114998</v>
      </c>
      <c r="X7" s="1">
        <f t="shared" si="3"/>
        <v>0.3468538358723301</v>
      </c>
      <c r="Y7" s="1">
        <f t="shared" si="3"/>
        <v>0.16285310035230305</v>
      </c>
    </row>
    <row r="8" spans="2:25" ht="14.25" customHeight="1" x14ac:dyDescent="0.3">
      <c r="B8" s="1">
        <v>-80</v>
      </c>
      <c r="C8" s="1">
        <v>0.111380958843904</v>
      </c>
      <c r="D8" s="1">
        <v>5.6853315170917096</v>
      </c>
      <c r="E8" s="1">
        <v>18.731999999999999</v>
      </c>
      <c r="F8" s="1">
        <v>92.955665767735994</v>
      </c>
      <c r="G8" s="1" t="s">
        <v>7</v>
      </c>
      <c r="I8" s="1">
        <v>-80</v>
      </c>
      <c r="J8" s="1">
        <v>0.13312571100138801</v>
      </c>
      <c r="K8" s="1">
        <v>35.9479816283053</v>
      </c>
      <c r="L8" s="1">
        <v>57.963292032578302</v>
      </c>
      <c r="M8" s="1" t="s">
        <v>7</v>
      </c>
      <c r="P8" s="1">
        <v>-50</v>
      </c>
      <c r="Q8" s="1">
        <v>-3.4588310337785302</v>
      </c>
      <c r="R8" s="1">
        <v>-1.38648410277182</v>
      </c>
      <c r="S8" s="1">
        <v>-1.73064095975986</v>
      </c>
      <c r="T8" s="1">
        <v>-0.81249921909460399</v>
      </c>
      <c r="V8" s="1">
        <f t="shared" ref="V8:Y8" si="4">Q9-Q8</f>
        <v>0.68959596459792039</v>
      </c>
      <c r="W8" s="1">
        <f t="shared" si="4"/>
        <v>0.27622771125115997</v>
      </c>
      <c r="X8" s="1">
        <f t="shared" si="4"/>
        <v>0.34685383587237006</v>
      </c>
      <c r="Y8" s="1">
        <f t="shared" si="4"/>
        <v>0.16285310035230094</v>
      </c>
    </row>
    <row r="9" spans="2:25" ht="14.25" customHeight="1" x14ac:dyDescent="0.3">
      <c r="B9" s="1">
        <v>-80</v>
      </c>
      <c r="C9" s="1">
        <v>0.19536784459465401</v>
      </c>
      <c r="D9" s="1">
        <v>5.1029422581063502</v>
      </c>
      <c r="E9" s="1">
        <v>17.518000000000001</v>
      </c>
      <c r="F9" s="1">
        <v>94.155550141122404</v>
      </c>
      <c r="G9" s="1" t="s">
        <v>8</v>
      </c>
      <c r="I9" s="1">
        <v>-80</v>
      </c>
      <c r="J9" s="1">
        <v>0.22563235929102801</v>
      </c>
      <c r="K9" s="1">
        <v>31.3764918530606</v>
      </c>
      <c r="L9" s="1">
        <v>58.046305096351702</v>
      </c>
      <c r="M9" s="1" t="s">
        <v>8</v>
      </c>
      <c r="P9" s="1">
        <v>-40</v>
      </c>
      <c r="Q9" s="1">
        <v>-2.7692350691806098</v>
      </c>
      <c r="R9" s="1">
        <v>-1.11025639152066</v>
      </c>
      <c r="S9" s="1">
        <v>-1.3837871238874899</v>
      </c>
      <c r="T9" s="1">
        <v>-0.64964611874230305</v>
      </c>
      <c r="V9" s="1">
        <f t="shared" ref="V9:Y9" si="5">Q10-Q9</f>
        <v>0.68959596459790973</v>
      </c>
      <c r="W9" s="1">
        <f t="shared" si="5"/>
        <v>0.27622771125112</v>
      </c>
      <c r="X9" s="1">
        <f t="shared" si="5"/>
        <v>0.34685383587234986</v>
      </c>
      <c r="Y9" s="1">
        <f t="shared" si="5"/>
        <v>0.16285310035230305</v>
      </c>
    </row>
    <row r="10" spans="2:25" ht="14.25" customHeight="1" x14ac:dyDescent="0.3">
      <c r="B10" s="1">
        <v>-80</v>
      </c>
      <c r="C10" s="1">
        <v>5.58242023654252E-2</v>
      </c>
      <c r="D10" s="1">
        <v>5.92037291911479</v>
      </c>
      <c r="E10" s="1">
        <v>17.605</v>
      </c>
      <c r="F10" s="1">
        <v>92.036166481052206</v>
      </c>
      <c r="G10" s="1" t="s">
        <v>9</v>
      </c>
      <c r="I10" s="1">
        <v>-80</v>
      </c>
      <c r="J10" s="1">
        <v>6.50322696876246E-2</v>
      </c>
      <c r="K10" s="1">
        <v>32.881510260789597</v>
      </c>
      <c r="L10" s="1">
        <v>59.434955933760897</v>
      </c>
      <c r="M10" s="1" t="s">
        <v>9</v>
      </c>
      <c r="P10" s="1">
        <v>-30</v>
      </c>
      <c r="Q10" s="1">
        <v>-2.0796391045827001</v>
      </c>
      <c r="R10" s="1">
        <v>-0.83402868026954002</v>
      </c>
      <c r="S10" s="1">
        <v>-1.0369332880151401</v>
      </c>
      <c r="T10" s="1">
        <v>-0.48679301839</v>
      </c>
      <c r="V10" s="1">
        <f t="shared" ref="V10:Y10" si="6">Q11-Q10</f>
        <v>0.68959596459788997</v>
      </c>
      <c r="W10" s="1">
        <f t="shared" si="6"/>
        <v>0.27622771125116707</v>
      </c>
      <c r="X10" s="1">
        <f t="shared" si="6"/>
        <v>0.34685383587234908</v>
      </c>
      <c r="Y10" s="1">
        <f t="shared" si="6"/>
        <v>0.16285310035228501</v>
      </c>
    </row>
    <row r="11" spans="2:25" ht="14.25" customHeight="1" x14ac:dyDescent="0.3">
      <c r="B11" s="1">
        <v>-70</v>
      </c>
      <c r="C11" s="1">
        <v>0.26642879399702801</v>
      </c>
      <c r="D11" s="1">
        <v>3.76835903023041</v>
      </c>
      <c r="E11" s="1">
        <v>16.533999999999999</v>
      </c>
      <c r="F11" s="1">
        <v>91.248335255616595</v>
      </c>
      <c r="G11" s="2" t="s">
        <v>6</v>
      </c>
      <c r="I11" s="1">
        <v>-70</v>
      </c>
      <c r="J11" s="1">
        <v>0.29503009600811603</v>
      </c>
      <c r="K11" s="1">
        <v>25.323458041702001</v>
      </c>
      <c r="L11" s="1">
        <v>58.268923652334998</v>
      </c>
      <c r="M11" s="2" t="s">
        <v>6</v>
      </c>
      <c r="P11" s="1">
        <v>-20</v>
      </c>
      <c r="Q11" s="1">
        <v>-1.3900431399848101</v>
      </c>
      <c r="R11" s="1">
        <v>-0.55780096901837295</v>
      </c>
      <c r="S11" s="1">
        <v>-0.69007945214279098</v>
      </c>
      <c r="T11" s="1">
        <v>-0.32393991803771499</v>
      </c>
      <c r="V11" s="1">
        <f t="shared" ref="V11:Y11" si="7">Q12-Q11</f>
        <v>0.68959596459791506</v>
      </c>
      <c r="W11" s="1">
        <f t="shared" si="7"/>
        <v>0.27622771125115197</v>
      </c>
      <c r="X11" s="1">
        <f t="shared" si="7"/>
        <v>0.34685383587232999</v>
      </c>
      <c r="Y11" s="1">
        <f t="shared" si="7"/>
        <v>0.16285310035230199</v>
      </c>
    </row>
    <row r="12" spans="2:25" ht="14.25" customHeight="1" x14ac:dyDescent="0.3">
      <c r="B12" s="1">
        <v>-70</v>
      </c>
      <c r="C12" s="1">
        <v>0.111278029995194</v>
      </c>
      <c r="D12" s="1">
        <v>5.4530546948855196</v>
      </c>
      <c r="E12" s="1">
        <v>18.585999999999999</v>
      </c>
      <c r="F12" s="1">
        <v>93.191163982616303</v>
      </c>
      <c r="G12" s="1" t="s">
        <v>7</v>
      </c>
      <c r="I12" s="1">
        <v>-70</v>
      </c>
      <c r="J12" s="1">
        <v>0.13278009736212101</v>
      </c>
      <c r="K12" s="1">
        <v>35.253173137642897</v>
      </c>
      <c r="L12" s="1">
        <v>58.090740474723397</v>
      </c>
      <c r="M12" s="1" t="s">
        <v>7</v>
      </c>
      <c r="P12" s="1">
        <v>-10</v>
      </c>
      <c r="Q12" s="1">
        <v>-0.70044717538689505</v>
      </c>
      <c r="R12" s="1">
        <v>-0.28157325776722097</v>
      </c>
      <c r="S12" s="1">
        <v>-0.343225616270461</v>
      </c>
      <c r="T12" s="1">
        <v>-0.161086817685413</v>
      </c>
      <c r="V12" s="1">
        <f t="shared" ref="V12:Y12" si="8">V11</f>
        <v>0.68959596459791506</v>
      </c>
      <c r="W12" s="1">
        <f t="shared" si="8"/>
        <v>0.27622771125115197</v>
      </c>
      <c r="X12" s="1">
        <f t="shared" si="8"/>
        <v>0.34685383587232999</v>
      </c>
      <c r="Y12" s="1">
        <f t="shared" si="8"/>
        <v>0.16285310035230199</v>
      </c>
    </row>
    <row r="13" spans="2:25" ht="14.25" customHeight="1" x14ac:dyDescent="0.3">
      <c r="B13" s="1">
        <v>-70</v>
      </c>
      <c r="C13" s="1">
        <v>0.195235607211558</v>
      </c>
      <c r="D13" s="1">
        <v>4.8869432873088501</v>
      </c>
      <c r="E13" s="1">
        <v>17.38</v>
      </c>
      <c r="F13" s="1">
        <v>94.035707975949506</v>
      </c>
      <c r="G13" s="1" t="s">
        <v>8</v>
      </c>
      <c r="I13" s="1">
        <v>-70</v>
      </c>
      <c r="J13" s="1">
        <v>0.22512072712476</v>
      </c>
      <c r="K13" s="1">
        <v>30.754727656829299</v>
      </c>
      <c r="L13" s="1">
        <v>58.119707896101197</v>
      </c>
      <c r="M13" s="1" t="s">
        <v>8</v>
      </c>
      <c r="P13" s="1">
        <v>10</v>
      </c>
      <c r="Q13" s="1">
        <v>0.67874475380890897</v>
      </c>
      <c r="R13" s="1">
        <v>0.27088216473508497</v>
      </c>
      <c r="S13" s="1">
        <v>0.35048205547425898</v>
      </c>
      <c r="T13" s="1">
        <v>0.164619383019175</v>
      </c>
      <c r="V13" s="1">
        <f t="shared" ref="V13:Y13" si="9">Q14-Q13</f>
        <v>0.68959596459791095</v>
      </c>
      <c r="W13" s="1">
        <f t="shared" si="9"/>
        <v>0.276227711251124</v>
      </c>
      <c r="X13" s="1">
        <f t="shared" si="9"/>
        <v>0.34685383587235002</v>
      </c>
      <c r="Y13" s="1">
        <f t="shared" si="9"/>
        <v>0.16285310035230199</v>
      </c>
    </row>
    <row r="14" spans="2:25" ht="14.25" customHeight="1" x14ac:dyDescent="0.3">
      <c r="B14" s="1">
        <v>-70</v>
      </c>
      <c r="C14" s="1">
        <v>5.5777432495535503E-2</v>
      </c>
      <c r="D14" s="1">
        <v>5.6820592427788004</v>
      </c>
      <c r="E14" s="1">
        <v>17.48</v>
      </c>
      <c r="F14" s="1">
        <v>92.087257378460293</v>
      </c>
      <c r="G14" s="1" t="s">
        <v>9</v>
      </c>
      <c r="I14" s="1">
        <v>-70</v>
      </c>
      <c r="J14" s="1">
        <v>6.4882524022022797E-2</v>
      </c>
      <c r="K14" s="1">
        <v>32.247033682951702</v>
      </c>
      <c r="L14" s="1">
        <v>59.543010927479401</v>
      </c>
      <c r="M14" s="1" t="s">
        <v>9</v>
      </c>
      <c r="P14" s="1">
        <v>20</v>
      </c>
      <c r="Q14" s="1">
        <v>1.3683407184068199</v>
      </c>
      <c r="R14" s="1">
        <v>0.54710987598620897</v>
      </c>
      <c r="S14" s="1">
        <v>0.697335891346609</v>
      </c>
      <c r="T14" s="1">
        <v>0.327472483371477</v>
      </c>
      <c r="V14" s="1">
        <f t="shared" ref="V14:Y14" si="10">Q15-Q14</f>
        <v>0.68959596459792016</v>
      </c>
      <c r="W14" s="1">
        <f t="shared" si="10"/>
        <v>0.27622771125118106</v>
      </c>
      <c r="X14" s="1">
        <f t="shared" si="10"/>
        <v>0.34685383587237095</v>
      </c>
      <c r="Y14" s="1">
        <f t="shared" si="10"/>
        <v>0.16285310035230199</v>
      </c>
    </row>
    <row r="15" spans="2:25" ht="14.25" customHeight="1" x14ac:dyDescent="0.3">
      <c r="B15" s="1">
        <v>-60</v>
      </c>
      <c r="C15" s="1">
        <v>0.26659827220770999</v>
      </c>
      <c r="D15" s="1">
        <v>3.9264417075115698</v>
      </c>
      <c r="E15" s="1">
        <v>14.628</v>
      </c>
      <c r="F15" s="1">
        <v>91.143229514012504</v>
      </c>
      <c r="G15" s="2" t="s">
        <v>6</v>
      </c>
      <c r="I15" s="1">
        <v>-60</v>
      </c>
      <c r="J15" s="1">
        <v>0.289245914811678</v>
      </c>
      <c r="K15" s="1">
        <v>22.234309695264301</v>
      </c>
      <c r="L15" s="1">
        <v>59.113116837644903</v>
      </c>
      <c r="M15" s="2" t="s">
        <v>6</v>
      </c>
      <c r="P15" s="1">
        <v>30</v>
      </c>
      <c r="Q15" s="1">
        <v>2.0579366830047401</v>
      </c>
      <c r="R15" s="1">
        <v>0.82333758723739003</v>
      </c>
      <c r="S15" s="1">
        <v>1.04418972721898</v>
      </c>
      <c r="T15" s="1">
        <v>0.49032558372377899</v>
      </c>
      <c r="V15" s="1">
        <f t="shared" ref="V15:Y15" si="11">Q16-Q15</f>
        <v>0.68959596459789996</v>
      </c>
      <c r="W15" s="1">
        <f t="shared" si="11"/>
        <v>0.27622771125112</v>
      </c>
      <c r="X15" s="1">
        <f t="shared" si="11"/>
        <v>0.34685383587235008</v>
      </c>
      <c r="Y15" s="1">
        <f t="shared" si="11"/>
        <v>0.16285310035230205</v>
      </c>
    </row>
    <row r="16" spans="2:25" ht="14.25" customHeight="1" x14ac:dyDescent="0.3">
      <c r="B16" s="1">
        <v>-60</v>
      </c>
      <c r="C16" s="1">
        <v>0.111029259682045</v>
      </c>
      <c r="D16" s="1">
        <v>4.9097722560707604</v>
      </c>
      <c r="E16" s="1">
        <v>17.315000000000001</v>
      </c>
      <c r="F16" s="1">
        <v>92.879365294147405</v>
      </c>
      <c r="G16" s="1" t="s">
        <v>7</v>
      </c>
      <c r="I16" s="1">
        <v>-60</v>
      </c>
      <c r="J16" s="1">
        <v>0.128116409122596</v>
      </c>
      <c r="K16" s="1">
        <v>30.5436585395531</v>
      </c>
      <c r="L16" s="1">
        <v>58.902771167061601</v>
      </c>
      <c r="M16" s="1" t="s">
        <v>7</v>
      </c>
      <c r="P16" s="1">
        <v>40</v>
      </c>
      <c r="Q16" s="1">
        <v>2.74753264760264</v>
      </c>
      <c r="R16" s="1">
        <v>1.09956529848851</v>
      </c>
      <c r="S16" s="1">
        <v>1.39104356309133</v>
      </c>
      <c r="T16" s="1">
        <v>0.65317868407608104</v>
      </c>
      <c r="V16" s="1">
        <f t="shared" ref="V16:Y16" si="12">Q17-Q16</f>
        <v>0.68959596459791017</v>
      </c>
      <c r="W16" s="1">
        <f t="shared" si="12"/>
        <v>0.27622771125116996</v>
      </c>
      <c r="X16" s="1">
        <f t="shared" si="12"/>
        <v>0.34685383587234986</v>
      </c>
      <c r="Y16" s="1">
        <f t="shared" si="12"/>
        <v>0.16285310035228495</v>
      </c>
    </row>
    <row r="17" spans="2:25" ht="14.25" customHeight="1" x14ac:dyDescent="0.3">
      <c r="B17" s="1">
        <v>-60</v>
      </c>
      <c r="C17" s="1">
        <v>0.19566005772405501</v>
      </c>
      <c r="D17" s="1">
        <v>5.4962351774018501</v>
      </c>
      <c r="E17" s="1">
        <v>14.971</v>
      </c>
      <c r="F17" s="1">
        <v>93.174295148672797</v>
      </c>
      <c r="G17" s="1" t="s">
        <v>8</v>
      </c>
      <c r="I17" s="1">
        <v>-60</v>
      </c>
      <c r="J17" s="1">
        <v>0.21875594322597</v>
      </c>
      <c r="K17" s="1">
        <v>26.774598933726399</v>
      </c>
      <c r="L17" s="1">
        <v>58.967461996799898</v>
      </c>
      <c r="M17" s="1" t="s">
        <v>8</v>
      </c>
      <c r="P17" s="1">
        <v>50</v>
      </c>
      <c r="Q17" s="1">
        <v>3.4371286122005502</v>
      </c>
      <c r="R17" s="1">
        <v>1.37579300973968</v>
      </c>
      <c r="S17" s="1">
        <v>1.7378973989636799</v>
      </c>
      <c r="T17" s="1">
        <v>0.81603178442836599</v>
      </c>
      <c r="V17" s="1">
        <f t="shared" ref="V17:Y17" si="13">Q18-Q17</f>
        <v>0.6895959645979195</v>
      </c>
      <c r="W17" s="1">
        <f t="shared" si="13"/>
        <v>0.27622771125114998</v>
      </c>
      <c r="X17" s="1">
        <f t="shared" si="13"/>
        <v>0.34685383587235008</v>
      </c>
      <c r="Y17" s="1">
        <f t="shared" si="13"/>
        <v>0.16285310035230205</v>
      </c>
    </row>
    <row r="18" spans="2:25" ht="14.25" customHeight="1" x14ac:dyDescent="0.3">
      <c r="B18" s="1">
        <v>-60</v>
      </c>
      <c r="C18" s="1">
        <v>5.56729435674529E-2</v>
      </c>
      <c r="D18" s="1">
        <v>5.1837204814051896</v>
      </c>
      <c r="E18" s="1">
        <v>16.198</v>
      </c>
      <c r="F18" s="1">
        <v>91.471061985547607</v>
      </c>
      <c r="G18" s="1" t="s">
        <v>9</v>
      </c>
      <c r="I18" s="1">
        <v>-60</v>
      </c>
      <c r="J18" s="1">
        <v>6.2915683696109295E-2</v>
      </c>
      <c r="K18" s="1">
        <v>28.059377068992301</v>
      </c>
      <c r="L18" s="1">
        <v>60.420372451844301</v>
      </c>
      <c r="M18" s="1" t="s">
        <v>9</v>
      </c>
      <c r="P18" s="1">
        <v>60</v>
      </c>
      <c r="Q18" s="1">
        <v>4.1267245767984697</v>
      </c>
      <c r="R18" s="1">
        <v>1.65202072099083</v>
      </c>
      <c r="S18" s="1">
        <v>2.08475123483603</v>
      </c>
      <c r="T18" s="1">
        <v>0.97888488478066804</v>
      </c>
      <c r="V18" s="1">
        <f t="shared" ref="V18:Y18" si="14">Q19-Q18</f>
        <v>0.68959596459791062</v>
      </c>
      <c r="W18" s="1">
        <f t="shared" si="14"/>
        <v>0.27622771125115997</v>
      </c>
      <c r="X18" s="1">
        <f t="shared" si="14"/>
        <v>0.34685383587234986</v>
      </c>
      <c r="Y18" s="1">
        <f t="shared" si="14"/>
        <v>0.16285310035230205</v>
      </c>
    </row>
    <row r="19" spans="2:25" ht="14.25" customHeight="1" x14ac:dyDescent="0.3">
      <c r="B19" s="1">
        <v>-50</v>
      </c>
      <c r="C19" s="1">
        <v>0.266283250130394</v>
      </c>
      <c r="D19" s="1">
        <v>3.0668830807645602</v>
      </c>
      <c r="E19" s="1">
        <v>14.457000000000001</v>
      </c>
      <c r="F19" s="1">
        <v>90.838884045842306</v>
      </c>
      <c r="G19" s="2" t="s">
        <v>6</v>
      </c>
      <c r="I19" s="1">
        <v>-50</v>
      </c>
      <c r="J19" s="1">
        <v>0.28780723669599301</v>
      </c>
      <c r="K19" s="1">
        <v>20.7094220303863</v>
      </c>
      <c r="L19" s="1">
        <v>58.500493843227403</v>
      </c>
      <c r="M19" s="2" t="s">
        <v>6</v>
      </c>
      <c r="P19" s="1">
        <v>70</v>
      </c>
      <c r="Q19" s="1">
        <v>4.8163205413963803</v>
      </c>
      <c r="R19" s="1">
        <v>1.9282484322419899</v>
      </c>
      <c r="S19" s="1">
        <v>2.4316050707083798</v>
      </c>
      <c r="T19" s="1">
        <v>1.1417379851329701</v>
      </c>
      <c r="V19" s="1">
        <f t="shared" ref="V19:Y19" si="15">Q20-Q19</f>
        <v>0.68959596459789996</v>
      </c>
      <c r="W19" s="1">
        <f t="shared" si="15"/>
        <v>0.27622771125113021</v>
      </c>
      <c r="X19" s="1">
        <f t="shared" si="15"/>
        <v>0.3468538358723503</v>
      </c>
      <c r="Y19" s="1">
        <f t="shared" si="15"/>
        <v>0.16285310035228995</v>
      </c>
    </row>
    <row r="20" spans="2:25" ht="14.25" customHeight="1" x14ac:dyDescent="0.3">
      <c r="B20" s="1">
        <v>-50</v>
      </c>
      <c r="C20" s="1">
        <v>0.11122734194396</v>
      </c>
      <c r="D20" s="1">
        <v>4.87176703293005</v>
      </c>
      <c r="E20" s="1">
        <v>15.827999999999999</v>
      </c>
      <c r="F20" s="1">
        <v>93.004507828558502</v>
      </c>
      <c r="G20" s="1" t="s">
        <v>7</v>
      </c>
      <c r="I20" s="1">
        <v>-50</v>
      </c>
      <c r="J20" s="1">
        <v>0.12637039844204201</v>
      </c>
      <c r="K20" s="1">
        <v>27.775017840169099</v>
      </c>
      <c r="L20" s="1">
        <v>58.325499833705102</v>
      </c>
      <c r="M20" s="1" t="s">
        <v>7</v>
      </c>
      <c r="P20" s="1">
        <v>80</v>
      </c>
      <c r="Q20" s="1">
        <v>5.5059165059942803</v>
      </c>
      <c r="R20" s="1">
        <v>2.2044761434931202</v>
      </c>
      <c r="S20" s="1">
        <v>2.7784589065807301</v>
      </c>
      <c r="T20" s="1">
        <v>1.30459108548526</v>
      </c>
      <c r="V20" s="1">
        <f t="shared" ref="V20:Y20" si="16">Q21-Q20</f>
        <v>0.6895959645979195</v>
      </c>
      <c r="W20" s="1">
        <f t="shared" si="16"/>
        <v>0.27622771125113976</v>
      </c>
      <c r="X20" s="1">
        <f t="shared" si="16"/>
        <v>0.34685383587234986</v>
      </c>
      <c r="Y20" s="1">
        <f t="shared" si="16"/>
        <v>0.16285310035229994</v>
      </c>
    </row>
    <row r="21" spans="2:25" ht="14.25" customHeight="1" x14ac:dyDescent="0.3">
      <c r="B21" s="1">
        <v>-50</v>
      </c>
      <c r="C21" s="1">
        <v>0.19530807427395799</v>
      </c>
      <c r="D21" s="1">
        <v>4.43769008405246</v>
      </c>
      <c r="E21" s="1">
        <v>14.712</v>
      </c>
      <c r="F21" s="1">
        <v>93.796683044666096</v>
      </c>
      <c r="G21" s="1" t="s">
        <v>8</v>
      </c>
      <c r="I21" s="1">
        <v>-50</v>
      </c>
      <c r="J21" s="1">
        <v>0.21675612183225901</v>
      </c>
      <c r="K21" s="1">
        <v>24.615382722329599</v>
      </c>
      <c r="L21" s="1">
        <v>58.290932997713803</v>
      </c>
      <c r="M21" s="1" t="s">
        <v>8</v>
      </c>
      <c r="P21" s="1">
        <v>90</v>
      </c>
      <c r="Q21" s="1">
        <v>6.1955124705921998</v>
      </c>
      <c r="R21" s="1">
        <v>2.4807038547442599</v>
      </c>
      <c r="S21" s="1">
        <v>3.12531274245308</v>
      </c>
      <c r="T21" s="1">
        <v>1.46744418583756</v>
      </c>
    </row>
    <row r="22" spans="2:25" ht="14.25" customHeight="1" x14ac:dyDescent="0.3">
      <c r="B22" s="1">
        <v>-50</v>
      </c>
      <c r="C22" s="1">
        <v>5.5665965523750999E-2</v>
      </c>
      <c r="D22" s="1">
        <v>4.6112458032263302</v>
      </c>
      <c r="E22" s="1">
        <v>15.347</v>
      </c>
      <c r="F22" s="1">
        <v>91.918677829309999</v>
      </c>
      <c r="G22" s="1" t="s">
        <v>9</v>
      </c>
      <c r="I22" s="1">
        <v>-50</v>
      </c>
      <c r="J22" s="1">
        <v>6.2250147266970597E-2</v>
      </c>
      <c r="K22" s="1">
        <v>25.6907909750153</v>
      </c>
      <c r="L22" s="1">
        <v>59.760628146231703</v>
      </c>
      <c r="M22" s="1" t="s">
        <v>9</v>
      </c>
    </row>
    <row r="23" spans="2:25" ht="14.25" customHeight="1" x14ac:dyDescent="0.3">
      <c r="B23" s="1">
        <v>-40</v>
      </c>
      <c r="C23" s="1">
        <v>0.26649585631974498</v>
      </c>
      <c r="D23" s="1">
        <v>3.2628112457454201</v>
      </c>
      <c r="E23" s="1">
        <v>13.645</v>
      </c>
      <c r="F23" s="1">
        <v>90.781287590060302</v>
      </c>
      <c r="G23" s="2" t="s">
        <v>6</v>
      </c>
      <c r="I23" s="1">
        <v>-40</v>
      </c>
      <c r="J23" s="1">
        <v>0.28597500992476099</v>
      </c>
      <c r="K23" s="1">
        <v>19.745724725445498</v>
      </c>
      <c r="L23" s="1">
        <v>58.580648195273803</v>
      </c>
      <c r="M23" s="2" t="s">
        <v>6</v>
      </c>
    </row>
    <row r="24" spans="2:25" ht="14.25" customHeight="1" x14ac:dyDescent="0.3">
      <c r="B24" s="1">
        <v>-40</v>
      </c>
      <c r="C24" s="1">
        <v>0.11083383136991599</v>
      </c>
      <c r="D24" s="1">
        <v>3.92227999441935</v>
      </c>
      <c r="E24" s="1">
        <v>16.119</v>
      </c>
      <c r="F24" s="1">
        <v>92.750312835315896</v>
      </c>
      <c r="G24" s="1" t="s">
        <v>7</v>
      </c>
      <c r="I24" s="1">
        <v>-40</v>
      </c>
      <c r="J24" s="1">
        <v>0.124834954713507</v>
      </c>
      <c r="K24" s="1">
        <v>26.257171607050299</v>
      </c>
      <c r="L24" s="1">
        <v>58.499108421943802</v>
      </c>
      <c r="M24" s="1" t="s">
        <v>7</v>
      </c>
      <c r="V24" s="1">
        <v>385</v>
      </c>
      <c r="W24" s="1">
        <v>400</v>
      </c>
      <c r="X24" s="1">
        <v>560</v>
      </c>
      <c r="Y24" s="1">
        <v>340</v>
      </c>
    </row>
    <row r="25" spans="2:25" ht="14.25" customHeight="1" x14ac:dyDescent="0.3">
      <c r="B25" s="1">
        <v>-40</v>
      </c>
      <c r="C25" s="1">
        <v>0.19541229817351499</v>
      </c>
      <c r="D25" s="1">
        <v>4.5689237727812397</v>
      </c>
      <c r="E25" s="1">
        <v>13.928000000000001</v>
      </c>
      <c r="F25" s="1">
        <v>93.217638840326202</v>
      </c>
      <c r="G25" s="1" t="s">
        <v>8</v>
      </c>
      <c r="I25" s="1">
        <v>-40</v>
      </c>
      <c r="J25" s="1">
        <v>0.214707844682274</v>
      </c>
      <c r="K25" s="1">
        <v>23.354754833033098</v>
      </c>
      <c r="L25" s="1">
        <v>58.401043494007801</v>
      </c>
      <c r="M25" s="1" t="s">
        <v>8</v>
      </c>
    </row>
    <row r="26" spans="2:25" ht="14.25" customHeight="1" x14ac:dyDescent="0.3">
      <c r="B26" s="1">
        <v>-40</v>
      </c>
      <c r="C26" s="1">
        <v>5.5577740467817598E-2</v>
      </c>
      <c r="D26" s="1">
        <v>4.1614043008879698</v>
      </c>
      <c r="E26" s="1">
        <v>15.15</v>
      </c>
      <c r="F26" s="1">
        <v>91.434586080355501</v>
      </c>
      <c r="G26" s="1" t="s">
        <v>9</v>
      </c>
      <c r="I26" s="1">
        <v>-40</v>
      </c>
      <c r="J26" s="1">
        <v>6.1611302077328498E-2</v>
      </c>
      <c r="K26" s="1">
        <v>24.353917965218599</v>
      </c>
      <c r="L26" s="1">
        <v>59.902253580373603</v>
      </c>
      <c r="M26" s="1" t="s">
        <v>9</v>
      </c>
      <c r="V26" s="1">
        <f t="shared" ref="V26:Y26" si="17">AVERAGE(V4:V20)</f>
        <v>0.68959596459790995</v>
      </c>
      <c r="W26" s="1">
        <f t="shared" si="17"/>
        <v>0.2762277112511492</v>
      </c>
      <c r="X26" s="1">
        <f t="shared" si="17"/>
        <v>0.34685383587235008</v>
      </c>
      <c r="Y26" s="1">
        <f t="shared" si="17"/>
        <v>0.16285310035229728</v>
      </c>
    </row>
    <row r="27" spans="2:25" ht="14.25" customHeight="1" x14ac:dyDescent="0.3">
      <c r="B27" s="1">
        <v>-30</v>
      </c>
      <c r="C27" s="1">
        <v>0.26582664591275201</v>
      </c>
      <c r="D27" s="1">
        <v>2.23062625487281</v>
      </c>
      <c r="E27" s="1">
        <v>14.052</v>
      </c>
      <c r="F27" s="1">
        <v>88.599095133806003</v>
      </c>
      <c r="G27" s="2" t="s">
        <v>6</v>
      </c>
      <c r="I27" s="1">
        <v>-30</v>
      </c>
      <c r="J27" s="1">
        <v>0.284293370496503</v>
      </c>
      <c r="K27" s="1">
        <v>18.597057262290999</v>
      </c>
      <c r="L27" s="1">
        <v>58.600845766285097</v>
      </c>
      <c r="M27" s="2" t="s">
        <v>6</v>
      </c>
      <c r="V27" s="1">
        <f t="shared" ref="V27:Y27" si="18">AVERAGE(V4:V20)*V24%</f>
        <v>2.6549444637019533</v>
      </c>
      <c r="W27" s="1">
        <f t="shared" si="18"/>
        <v>1.1049108450045968</v>
      </c>
      <c r="X27" s="1">
        <f t="shared" si="18"/>
        <v>1.9423814808851603</v>
      </c>
      <c r="Y27" s="1">
        <f t="shared" si="18"/>
        <v>0.55370054119781076</v>
      </c>
    </row>
    <row r="28" spans="2:25" ht="14.25" customHeight="1" x14ac:dyDescent="0.3">
      <c r="B28" s="1">
        <v>-30</v>
      </c>
      <c r="C28" s="1">
        <v>0.110815233853561</v>
      </c>
      <c r="D28" s="1">
        <v>3.7536740914900699</v>
      </c>
      <c r="E28" s="1">
        <v>15.311999999999999</v>
      </c>
      <c r="F28" s="1">
        <v>93.199171232366993</v>
      </c>
      <c r="G28" s="1" t="s">
        <v>7</v>
      </c>
      <c r="I28" s="1">
        <v>-30</v>
      </c>
      <c r="J28" s="1">
        <v>0.123382091517538</v>
      </c>
      <c r="K28" s="1">
        <v>24.453571634113199</v>
      </c>
      <c r="L28" s="1">
        <v>58.5421158524763</v>
      </c>
      <c r="M28" s="1" t="s">
        <v>7</v>
      </c>
      <c r="V28" s="1">
        <f t="shared" ref="V28:Y28" si="19">_xlfn.STDEV.P(V4:V20)</f>
        <v>1.2344873063723539E-14</v>
      </c>
      <c r="W28" s="1">
        <f t="shared" si="19"/>
        <v>1.8688737005014064E-14</v>
      </c>
      <c r="X28" s="1">
        <f t="shared" si="19"/>
        <v>1.1965325312496965E-14</v>
      </c>
      <c r="Y28" s="1">
        <f t="shared" si="19"/>
        <v>7.1264807105255483E-15</v>
      </c>
    </row>
    <row r="29" spans="2:25" ht="14.25" customHeight="1" x14ac:dyDescent="0.3">
      <c r="B29" s="1">
        <v>-30</v>
      </c>
      <c r="C29" s="1">
        <v>0.19511380284916899</v>
      </c>
      <c r="D29" s="1">
        <v>3.9745572380044898</v>
      </c>
      <c r="E29" s="1">
        <v>13.646000000000001</v>
      </c>
      <c r="F29" s="1">
        <v>93.831052992363695</v>
      </c>
      <c r="G29" s="1" t="s">
        <v>8</v>
      </c>
      <c r="I29" s="1">
        <v>-30</v>
      </c>
      <c r="J29" s="1">
        <v>0.212798408918704</v>
      </c>
      <c r="K29" s="1">
        <v>21.856345827570401</v>
      </c>
      <c r="L29" s="1">
        <v>58.405301984737697</v>
      </c>
      <c r="M29" s="1" t="s">
        <v>8</v>
      </c>
    </row>
    <row r="30" spans="2:25" ht="14.25" customHeight="1" x14ac:dyDescent="0.3">
      <c r="B30" s="1">
        <v>-30</v>
      </c>
      <c r="C30" s="1">
        <v>5.5587590478471803E-2</v>
      </c>
      <c r="D30" s="1">
        <v>4.0759665924723603</v>
      </c>
      <c r="E30" s="1">
        <v>14.292999999999999</v>
      </c>
      <c r="F30" s="1">
        <v>91.885184104981306</v>
      </c>
      <c r="G30" s="1" t="s">
        <v>9</v>
      </c>
      <c r="I30" s="1">
        <v>-30</v>
      </c>
      <c r="J30" s="1">
        <v>6.1011356778533997E-2</v>
      </c>
      <c r="K30" s="1">
        <v>22.7573134356848</v>
      </c>
      <c r="L30" s="1">
        <v>59.915549231365098</v>
      </c>
      <c r="M30" s="1" t="s">
        <v>9</v>
      </c>
    </row>
    <row r="31" spans="2:25" ht="14.25" customHeight="1" x14ac:dyDescent="0.3">
      <c r="B31" s="1">
        <v>-20</v>
      </c>
      <c r="C31" s="1">
        <v>0.26617800245170498</v>
      </c>
      <c r="D31" s="1">
        <v>2.59870512400295</v>
      </c>
      <c r="E31" s="1">
        <v>12.486000000000001</v>
      </c>
      <c r="F31" s="1">
        <v>91.187982251427201</v>
      </c>
      <c r="G31" s="2" t="s">
        <v>6</v>
      </c>
      <c r="I31" s="1">
        <v>-20</v>
      </c>
      <c r="J31" s="1">
        <v>0.28347010086943503</v>
      </c>
      <c r="K31" s="1">
        <v>17.285523593418201</v>
      </c>
      <c r="L31" s="1">
        <v>58.669171319894801</v>
      </c>
      <c r="M31" s="2" t="s">
        <v>6</v>
      </c>
    </row>
    <row r="32" spans="2:25" ht="14.25" customHeight="1" x14ac:dyDescent="0.3">
      <c r="B32" s="1">
        <v>-20</v>
      </c>
      <c r="C32" s="1">
        <v>0.111052519638053</v>
      </c>
      <c r="D32" s="1">
        <v>4.1047475798216997</v>
      </c>
      <c r="E32" s="1">
        <v>13.706</v>
      </c>
      <c r="F32" s="1">
        <v>93.562766171058001</v>
      </c>
      <c r="G32" s="1" t="s">
        <v>7</v>
      </c>
      <c r="I32" s="1">
        <v>-20</v>
      </c>
      <c r="J32" s="1">
        <v>0.122727784718717</v>
      </c>
      <c r="K32" s="1">
        <v>22.638031422077201</v>
      </c>
      <c r="L32" s="1">
        <v>58.737931617518399</v>
      </c>
      <c r="M32" s="1" t="s">
        <v>7</v>
      </c>
    </row>
    <row r="33" spans="2:13" ht="14.25" customHeight="1" x14ac:dyDescent="0.3">
      <c r="B33" s="1">
        <v>-20</v>
      </c>
      <c r="C33" s="1">
        <v>0.195090957860691</v>
      </c>
      <c r="D33" s="1">
        <v>3.7750539255284101</v>
      </c>
      <c r="E33" s="1">
        <v>12.691000000000001</v>
      </c>
      <c r="F33" s="1">
        <v>94.243015833159305</v>
      </c>
      <c r="G33" s="1" t="s">
        <v>8</v>
      </c>
      <c r="I33" s="1">
        <v>-20</v>
      </c>
      <c r="J33" s="1">
        <v>0.21192989642195401</v>
      </c>
      <c r="K33" s="1">
        <v>20.288704417555</v>
      </c>
      <c r="L33" s="1">
        <v>58.575507094054799</v>
      </c>
      <c r="M33" s="1" t="s">
        <v>8</v>
      </c>
    </row>
    <row r="34" spans="2:13" ht="14.25" customHeight="1" x14ac:dyDescent="0.3">
      <c r="B34" s="1">
        <v>-20</v>
      </c>
      <c r="C34" s="1">
        <v>5.5701016727166403E-2</v>
      </c>
      <c r="D34" s="1">
        <v>4.4346050132661299</v>
      </c>
      <c r="E34" s="1">
        <v>12.701000000000001</v>
      </c>
      <c r="F34" s="1">
        <v>92.495482500933406</v>
      </c>
      <c r="G34" s="1" t="s">
        <v>9</v>
      </c>
      <c r="I34" s="1">
        <v>-20</v>
      </c>
      <c r="J34" s="1">
        <v>6.0728077951696997E-2</v>
      </c>
      <c r="K34" s="1">
        <v>21.089143735541501</v>
      </c>
      <c r="L34" s="1">
        <v>60.082184909559402</v>
      </c>
      <c r="M34" s="1" t="s">
        <v>9</v>
      </c>
    </row>
    <row r="35" spans="2:13" ht="14.25" customHeight="1" x14ac:dyDescent="0.3">
      <c r="B35" s="1">
        <v>-10</v>
      </c>
      <c r="C35" s="1">
        <v>0.26612089972443698</v>
      </c>
      <c r="D35" s="1">
        <v>2.4986791623998301</v>
      </c>
      <c r="E35" s="1">
        <v>8.4659999999999993</v>
      </c>
      <c r="F35" s="1">
        <v>90.894131994762702</v>
      </c>
      <c r="G35" s="2" t="s">
        <v>6</v>
      </c>
      <c r="I35" s="1">
        <v>-10</v>
      </c>
      <c r="J35" s="1">
        <v>0.27593337539239898</v>
      </c>
      <c r="K35" s="1">
        <v>11.791766610226199</v>
      </c>
      <c r="L35" s="1">
        <v>62.418079057982901</v>
      </c>
      <c r="M35" s="2" t="s">
        <v>6</v>
      </c>
    </row>
    <row r="36" spans="2:13" ht="14.25" customHeight="1" x14ac:dyDescent="0.3">
      <c r="B36" s="1">
        <v>-10</v>
      </c>
      <c r="C36" s="1">
        <v>0.11067876465799199</v>
      </c>
      <c r="D36" s="1">
        <v>2.9859598298972299</v>
      </c>
      <c r="E36" s="1">
        <v>10.113</v>
      </c>
      <c r="F36" s="1">
        <v>92.519966483688506</v>
      </c>
      <c r="G36" s="1" t="s">
        <v>7</v>
      </c>
      <c r="I36" s="1">
        <v>-10</v>
      </c>
      <c r="J36" s="1">
        <v>0.11711971017501201</v>
      </c>
      <c r="K36" s="1">
        <v>15.016419587202099</v>
      </c>
      <c r="L36" s="1">
        <v>61.865981072262898</v>
      </c>
      <c r="M36" s="1" t="s">
        <v>7</v>
      </c>
    </row>
    <row r="37" spans="2:13" ht="14.25" customHeight="1" x14ac:dyDescent="0.3">
      <c r="B37" s="1">
        <v>-10</v>
      </c>
      <c r="C37" s="1">
        <v>0.19493245673481999</v>
      </c>
      <c r="D37" s="1">
        <v>3.3409046662395201</v>
      </c>
      <c r="E37" s="1">
        <v>8.7010000000000005</v>
      </c>
      <c r="F37" s="1">
        <v>94.008299577594897</v>
      </c>
      <c r="G37" s="1" t="s">
        <v>8</v>
      </c>
      <c r="I37" s="1">
        <v>-10</v>
      </c>
      <c r="J37" s="1">
        <v>0.204134759905198</v>
      </c>
      <c r="K37" s="1">
        <v>13.649546928621101</v>
      </c>
      <c r="L37" s="1">
        <v>61.860183316869303</v>
      </c>
      <c r="M37" s="1" t="s">
        <v>8</v>
      </c>
    </row>
    <row r="38" spans="2:13" ht="14.25" customHeight="1" x14ac:dyDescent="0.3">
      <c r="B38" s="1">
        <v>-10</v>
      </c>
      <c r="C38" s="1">
        <v>5.5629034573089903E-2</v>
      </c>
      <c r="D38" s="1">
        <v>3.8235343258679699</v>
      </c>
      <c r="E38" s="1">
        <v>8.6980000000000004</v>
      </c>
      <c r="F38" s="1">
        <v>92.8407937889599</v>
      </c>
      <c r="G38" s="1" t="s">
        <v>9</v>
      </c>
      <c r="I38" s="1">
        <v>-10</v>
      </c>
      <c r="J38" s="1">
        <v>5.8330011077012002E-2</v>
      </c>
      <c r="K38" s="1">
        <v>14.1275496020381</v>
      </c>
      <c r="L38" s="1">
        <v>63.217619791562001</v>
      </c>
      <c r="M38" s="1" t="s">
        <v>9</v>
      </c>
    </row>
    <row r="39" spans="2:13" ht="14.25" customHeight="1" x14ac:dyDescent="0.3">
      <c r="B39" s="1">
        <v>10</v>
      </c>
      <c r="C39" s="1">
        <v>0.26543869535609699</v>
      </c>
      <c r="D39" s="1">
        <v>1.1880361600025999</v>
      </c>
      <c r="E39" s="1">
        <v>12.132999999999999</v>
      </c>
      <c r="F39" s="1">
        <v>84.540998921294502</v>
      </c>
      <c r="G39" s="2" t="s">
        <v>6</v>
      </c>
      <c r="I39" s="1">
        <v>10</v>
      </c>
      <c r="J39" s="1">
        <v>0.27942707852093301</v>
      </c>
      <c r="K39" s="1">
        <v>14.388786305744199</v>
      </c>
      <c r="L39" s="1">
        <v>59.101323025558301</v>
      </c>
      <c r="M39" s="2" t="s">
        <v>6</v>
      </c>
    </row>
    <row r="40" spans="2:13" ht="14.25" customHeight="1" x14ac:dyDescent="0.3">
      <c r="B40" s="1">
        <v>10</v>
      </c>
      <c r="C40" s="1">
        <v>0.11071044064430299</v>
      </c>
      <c r="D40" s="1">
        <v>3.0442964616357902</v>
      </c>
      <c r="E40" s="1">
        <v>12.329000000000001</v>
      </c>
      <c r="F40" s="1">
        <v>93.888215736737095</v>
      </c>
      <c r="G40" s="1" t="s">
        <v>7</v>
      </c>
      <c r="I40" s="1">
        <v>10</v>
      </c>
      <c r="J40" s="1">
        <v>0.11958629611593501</v>
      </c>
      <c r="K40" s="1">
        <v>18.525465870367398</v>
      </c>
      <c r="L40" s="1">
        <v>59.438636192289998</v>
      </c>
      <c r="M40" s="1" t="s">
        <v>7</v>
      </c>
    </row>
    <row r="41" spans="2:13" ht="14.25" customHeight="1" x14ac:dyDescent="0.3">
      <c r="B41" s="1">
        <v>10</v>
      </c>
      <c r="C41" s="1">
        <v>0.19501614870820699</v>
      </c>
      <c r="D41" s="1">
        <v>3.3763957302868399</v>
      </c>
      <c r="E41" s="1">
        <v>10.8</v>
      </c>
      <c r="F41" s="1">
        <v>93.759771745937101</v>
      </c>
      <c r="G41" s="1" t="s">
        <v>8</v>
      </c>
      <c r="I41" s="1">
        <v>10</v>
      </c>
      <c r="J41" s="1">
        <v>0.20763079586053401</v>
      </c>
      <c r="K41" s="1">
        <v>16.736362004548202</v>
      </c>
      <c r="L41" s="1">
        <v>59.179087574188003</v>
      </c>
      <c r="M41" s="1" t="s">
        <v>8</v>
      </c>
    </row>
    <row r="42" spans="2:13" ht="14.25" customHeight="1" x14ac:dyDescent="0.3">
      <c r="B42" s="1">
        <v>10</v>
      </c>
      <c r="C42" s="1">
        <v>5.55452934592943E-2</v>
      </c>
      <c r="D42" s="1">
        <v>3.3857058672029199</v>
      </c>
      <c r="E42" s="1">
        <v>11.403</v>
      </c>
      <c r="F42" s="1">
        <v>92.733023802066896</v>
      </c>
      <c r="G42" s="1" t="s">
        <v>9</v>
      </c>
      <c r="I42" s="1">
        <v>10</v>
      </c>
      <c r="J42" s="1">
        <v>5.9406531480850497E-2</v>
      </c>
      <c r="K42" s="1">
        <v>17.372311941085702</v>
      </c>
      <c r="L42" s="1">
        <v>60.730251445021601</v>
      </c>
      <c r="M42" s="1" t="s">
        <v>9</v>
      </c>
    </row>
    <row r="43" spans="2:13" ht="14.25" customHeight="1" x14ac:dyDescent="0.3">
      <c r="B43" s="1">
        <v>20</v>
      </c>
      <c r="C43" s="1">
        <v>0.26606594143630402</v>
      </c>
      <c r="D43" s="1">
        <v>2.4529778195866601</v>
      </c>
      <c r="E43" s="1">
        <v>12.398999999999999</v>
      </c>
      <c r="F43" s="1">
        <v>91.128518798767004</v>
      </c>
      <c r="G43" s="2" t="s">
        <v>6</v>
      </c>
      <c r="I43" s="1">
        <v>20</v>
      </c>
      <c r="J43" s="1">
        <v>0.28278245394448498</v>
      </c>
      <c r="K43" s="1">
        <v>16.912547445917799</v>
      </c>
      <c r="L43" s="1">
        <v>58.792890661555397</v>
      </c>
      <c r="M43" s="2" t="s">
        <v>6</v>
      </c>
    </row>
    <row r="44" spans="2:13" ht="14.25" customHeight="1" x14ac:dyDescent="0.3">
      <c r="B44" s="1">
        <v>20</v>
      </c>
      <c r="C44" s="1">
        <v>0.11097505081624499</v>
      </c>
      <c r="D44" s="1">
        <v>3.9382590479028399</v>
      </c>
      <c r="E44" s="1">
        <v>13.601000000000001</v>
      </c>
      <c r="F44" s="1">
        <v>93.626850907641497</v>
      </c>
      <c r="G44" s="1" t="s">
        <v>7</v>
      </c>
      <c r="I44" s="1">
        <v>20</v>
      </c>
      <c r="J44" s="1">
        <v>0.122208952587359</v>
      </c>
      <c r="K44" s="1">
        <v>22.110270566640899</v>
      </c>
      <c r="L44" s="1">
        <v>58.871080617310497</v>
      </c>
      <c r="M44" s="1" t="s">
        <v>7</v>
      </c>
    </row>
    <row r="45" spans="2:13" ht="14.25" customHeight="1" x14ac:dyDescent="0.3">
      <c r="B45" s="1">
        <v>20</v>
      </c>
      <c r="C45" s="1">
        <v>0.19498899871991099</v>
      </c>
      <c r="D45" s="1">
        <v>3.6173432392855198</v>
      </c>
      <c r="E45" s="1">
        <v>12.587999999999999</v>
      </c>
      <c r="F45" s="1">
        <v>94.352776453173007</v>
      </c>
      <c r="G45" s="1" t="s">
        <v>8</v>
      </c>
      <c r="I45" s="1">
        <v>20</v>
      </c>
      <c r="J45" s="1">
        <v>0.211194157039967</v>
      </c>
      <c r="K45" s="1">
        <v>19.820314805603399</v>
      </c>
      <c r="L45" s="1">
        <v>58.680470044901803</v>
      </c>
      <c r="M45" s="1" t="s">
        <v>8</v>
      </c>
    </row>
    <row r="46" spans="2:13" ht="14.25" customHeight="1" x14ac:dyDescent="0.3">
      <c r="B46" s="1">
        <v>20</v>
      </c>
      <c r="C46" s="1">
        <v>5.5561489131862402E-2</v>
      </c>
      <c r="D46" s="1">
        <v>3.72650975054668</v>
      </c>
      <c r="E46" s="1">
        <v>13.194000000000001</v>
      </c>
      <c r="F46" s="1">
        <v>91.944589764764302</v>
      </c>
      <c r="G46" s="1" t="s">
        <v>9</v>
      </c>
      <c r="I46" s="1">
        <v>20</v>
      </c>
      <c r="J46" s="1">
        <v>6.0503732672826903E-2</v>
      </c>
      <c r="K46" s="1">
        <v>20.605419920806899</v>
      </c>
      <c r="L46" s="1">
        <v>60.215226254051203</v>
      </c>
      <c r="M46" s="1" t="s">
        <v>9</v>
      </c>
    </row>
    <row r="47" spans="2:13" ht="14.25" customHeight="1" x14ac:dyDescent="0.3">
      <c r="B47" s="1">
        <v>30</v>
      </c>
      <c r="C47" s="1">
        <v>0.26579841731972498</v>
      </c>
      <c r="D47" s="1">
        <v>2.17566724827961</v>
      </c>
      <c r="E47" s="1">
        <v>14.025</v>
      </c>
      <c r="F47" s="1">
        <v>88.325673789310898</v>
      </c>
      <c r="G47" s="2" t="s">
        <v>6</v>
      </c>
      <c r="I47" s="1">
        <v>30</v>
      </c>
      <c r="J47" s="1">
        <v>0.284035498621863</v>
      </c>
      <c r="K47" s="1">
        <v>18.453045463506399</v>
      </c>
      <c r="L47" s="1">
        <v>58.605748240013</v>
      </c>
      <c r="M47" s="2" t="s">
        <v>6</v>
      </c>
    </row>
    <row r="48" spans="2:13" ht="14.25" customHeight="1" x14ac:dyDescent="0.3">
      <c r="B48" s="1">
        <v>30</v>
      </c>
      <c r="C48" s="1">
        <v>0.110787186505339</v>
      </c>
      <c r="D48" s="1">
        <v>3.6821583218804399</v>
      </c>
      <c r="E48" s="1">
        <v>15.273999999999999</v>
      </c>
      <c r="F48" s="1">
        <v>93.101932996621102</v>
      </c>
      <c r="G48" s="1" t="s">
        <v>7</v>
      </c>
      <c r="I48" s="1">
        <v>30</v>
      </c>
      <c r="J48" s="1">
        <v>0.123170229973288</v>
      </c>
      <c r="K48" s="1">
        <v>24.231021328960299</v>
      </c>
      <c r="L48" s="1">
        <v>58.568190753458303</v>
      </c>
      <c r="M48" s="1" t="s">
        <v>7</v>
      </c>
    </row>
    <row r="49" spans="2:13" ht="14.25" customHeight="1" x14ac:dyDescent="0.3">
      <c r="B49" s="1">
        <v>30</v>
      </c>
      <c r="C49" s="1">
        <v>0.19507147079162801</v>
      </c>
      <c r="D49" s="1">
        <v>3.9048826843705702</v>
      </c>
      <c r="E49" s="1">
        <v>13.611000000000001</v>
      </c>
      <c r="F49" s="1">
        <v>93.885131552876999</v>
      </c>
      <c r="G49" s="1" t="s">
        <v>8</v>
      </c>
      <c r="I49" s="1">
        <v>30</v>
      </c>
      <c r="J49" s="1">
        <v>0.21251329522533799</v>
      </c>
      <c r="K49" s="1">
        <v>21.669743457837299</v>
      </c>
      <c r="L49" s="1">
        <v>58.416729326212</v>
      </c>
      <c r="M49" s="1" t="s">
        <v>8</v>
      </c>
    </row>
    <row r="50" spans="2:13" ht="14.25" customHeight="1" x14ac:dyDescent="0.3">
      <c r="B50" s="1">
        <v>30</v>
      </c>
      <c r="C50" s="1">
        <v>5.5574342656299097E-2</v>
      </c>
      <c r="D50" s="1">
        <v>4.0025972516125998</v>
      </c>
      <c r="E50" s="1">
        <v>14.262</v>
      </c>
      <c r="F50" s="1">
        <v>91.817338774710095</v>
      </c>
      <c r="G50" s="1" t="s">
        <v>9</v>
      </c>
      <c r="I50" s="1">
        <v>30</v>
      </c>
      <c r="J50" s="1">
        <v>6.09229741831726E-2</v>
      </c>
      <c r="K50" s="1">
        <v>22.560323829088201</v>
      </c>
      <c r="L50" s="1">
        <v>59.933300295557302</v>
      </c>
      <c r="M50" s="1" t="s">
        <v>9</v>
      </c>
    </row>
    <row r="51" spans="2:13" ht="14.25" customHeight="1" x14ac:dyDescent="0.3">
      <c r="B51" s="1">
        <v>40</v>
      </c>
      <c r="C51" s="1">
        <v>0.26641900442722899</v>
      </c>
      <c r="D51" s="1">
        <v>3.180688035278</v>
      </c>
      <c r="E51" s="1">
        <v>13.606999999999999</v>
      </c>
      <c r="F51" s="1">
        <v>90.835966801132699</v>
      </c>
      <c r="G51" s="2" t="s">
        <v>6</v>
      </c>
      <c r="I51" s="1">
        <v>40</v>
      </c>
      <c r="J51" s="1">
        <v>0.28505182085492198</v>
      </c>
      <c r="K51" s="1">
        <v>19.467195400801899</v>
      </c>
      <c r="L51" s="1">
        <v>58.632940076291099</v>
      </c>
      <c r="M51" s="2" t="s">
        <v>6</v>
      </c>
    </row>
    <row r="52" spans="2:13" ht="14.25" customHeight="1" x14ac:dyDescent="0.3">
      <c r="B52" s="1">
        <v>40</v>
      </c>
      <c r="C52" s="1">
        <v>0.110782407477599</v>
      </c>
      <c r="D52" s="1">
        <v>3.8548452529627402</v>
      </c>
      <c r="E52" s="1">
        <v>16.055</v>
      </c>
      <c r="F52" s="1">
        <v>92.604532074482194</v>
      </c>
      <c r="G52" s="1" t="s">
        <v>7</v>
      </c>
      <c r="I52" s="1">
        <v>40</v>
      </c>
      <c r="J52" s="1">
        <v>0.12409218336074</v>
      </c>
      <c r="K52" s="1">
        <v>25.7960154797954</v>
      </c>
      <c r="L52" s="1">
        <v>58.6103075740821</v>
      </c>
      <c r="M52" s="1" t="s">
        <v>7</v>
      </c>
    </row>
    <row r="53" spans="2:13" ht="14.25" customHeight="1" x14ac:dyDescent="0.3">
      <c r="B53" s="1">
        <v>40</v>
      </c>
      <c r="C53" s="1">
        <v>0.19532209745444001</v>
      </c>
      <c r="D53" s="1">
        <v>4.4820278421124202</v>
      </c>
      <c r="E53" s="1">
        <v>13.88</v>
      </c>
      <c r="F53" s="1">
        <v>93.393493712990306</v>
      </c>
      <c r="G53" s="1" t="s">
        <v>8</v>
      </c>
      <c r="I53" s="1">
        <v>40</v>
      </c>
      <c r="J53" s="1">
        <v>0.21369686066479299</v>
      </c>
      <c r="K53" s="1">
        <v>22.975611179832399</v>
      </c>
      <c r="L53" s="1">
        <v>58.4745739254599</v>
      </c>
      <c r="M53" s="1" t="s">
        <v>8</v>
      </c>
    </row>
    <row r="54" spans="2:13" ht="14.25" customHeight="1" x14ac:dyDescent="0.3">
      <c r="B54" s="1">
        <v>40</v>
      </c>
      <c r="C54" s="1">
        <v>5.5552720781363203E-2</v>
      </c>
      <c r="D54" s="1">
        <v>4.0825067867355598</v>
      </c>
      <c r="E54" s="1">
        <v>15.101000000000001</v>
      </c>
      <c r="F54" s="1">
        <v>91.307868633284301</v>
      </c>
      <c r="G54" s="1" t="s">
        <v>9</v>
      </c>
      <c r="I54" s="1">
        <v>40</v>
      </c>
      <c r="J54" s="1">
        <v>6.1299134382095499E-2</v>
      </c>
      <c r="K54" s="1">
        <v>23.954587103376898</v>
      </c>
      <c r="L54" s="1">
        <v>59.996104255308303</v>
      </c>
      <c r="M54" s="1" t="s">
        <v>9</v>
      </c>
    </row>
    <row r="55" spans="2:13" ht="14.25" customHeight="1" x14ac:dyDescent="0.3">
      <c r="B55" s="1">
        <v>50</v>
      </c>
      <c r="C55" s="1">
        <v>0.26621306717106802</v>
      </c>
      <c r="D55" s="1">
        <v>2.9661691084314201</v>
      </c>
      <c r="E55" s="1">
        <v>14.41</v>
      </c>
      <c r="F55" s="1">
        <v>90.7386883286065</v>
      </c>
      <c r="G55" s="2" t="s">
        <v>6</v>
      </c>
      <c r="I55" s="1">
        <v>50</v>
      </c>
      <c r="J55" s="1">
        <v>0.28730759890551999</v>
      </c>
      <c r="K55" s="1">
        <v>20.451346114908201</v>
      </c>
      <c r="L55" s="1">
        <v>58.522579808478099</v>
      </c>
      <c r="M55" s="2" t="s">
        <v>6</v>
      </c>
    </row>
    <row r="56" spans="2:13" ht="14.25" customHeight="1" x14ac:dyDescent="0.3">
      <c r="B56" s="1">
        <v>50</v>
      </c>
      <c r="C56" s="1">
        <v>0.111168607388083</v>
      </c>
      <c r="D56" s="1">
        <v>4.7513048537354301</v>
      </c>
      <c r="E56" s="1">
        <v>15.766</v>
      </c>
      <c r="F56" s="1">
        <v>93.163905946891305</v>
      </c>
      <c r="G56" s="1" t="s">
        <v>7</v>
      </c>
      <c r="I56" s="1">
        <v>50</v>
      </c>
      <c r="J56" s="1">
        <v>0.12595766315854601</v>
      </c>
      <c r="K56" s="1">
        <v>27.3737557578396</v>
      </c>
      <c r="L56" s="1">
        <v>58.387772624227502</v>
      </c>
      <c r="M56" s="1" t="s">
        <v>7</v>
      </c>
    </row>
    <row r="57" spans="2:13" ht="14.25" customHeight="1" x14ac:dyDescent="0.3">
      <c r="B57" s="1">
        <v>50</v>
      </c>
      <c r="C57" s="1">
        <v>0.19523001394842199</v>
      </c>
      <c r="D57" s="1">
        <v>4.3277043971829201</v>
      </c>
      <c r="E57" s="1">
        <v>14.653</v>
      </c>
      <c r="F57" s="1">
        <v>93.883749499428006</v>
      </c>
      <c r="G57" s="1" t="s">
        <v>8</v>
      </c>
      <c r="I57" s="1">
        <v>50</v>
      </c>
      <c r="J57" s="1">
        <v>0.216201841298793</v>
      </c>
      <c r="K57" s="1">
        <v>24.280439718130602</v>
      </c>
      <c r="L57" s="1">
        <v>58.331642128469902</v>
      </c>
      <c r="M57" s="1" t="s">
        <v>8</v>
      </c>
    </row>
    <row r="58" spans="2:13" ht="14.25" customHeight="1" x14ac:dyDescent="0.3">
      <c r="B58" s="1">
        <v>50</v>
      </c>
      <c r="C58" s="1">
        <v>5.5641213515460801E-2</v>
      </c>
      <c r="D58" s="1">
        <v>4.4964483864106004</v>
      </c>
      <c r="E58" s="1">
        <v>15.292</v>
      </c>
      <c r="F58" s="1">
        <v>91.847570231926895</v>
      </c>
      <c r="G58" s="1" t="s">
        <v>9</v>
      </c>
      <c r="I58" s="1">
        <v>50</v>
      </c>
      <c r="J58" s="1">
        <v>6.20781586156227E-2</v>
      </c>
      <c r="K58" s="1">
        <v>25.337241156571601</v>
      </c>
      <c r="L58" s="1">
        <v>59.813148730165302</v>
      </c>
      <c r="M58" s="1" t="s">
        <v>9</v>
      </c>
    </row>
    <row r="59" spans="2:13" ht="14.25" customHeight="1" x14ac:dyDescent="0.3">
      <c r="B59" s="1">
        <v>60</v>
      </c>
      <c r="C59" s="1">
        <v>0.26653019642004699</v>
      </c>
      <c r="D59" s="1">
        <v>3.8461079671710201</v>
      </c>
      <c r="E59" s="1">
        <v>14.579000000000001</v>
      </c>
      <c r="F59" s="1">
        <v>91.190706146014605</v>
      </c>
      <c r="G59" s="2" t="s">
        <v>6</v>
      </c>
      <c r="I59" s="1">
        <v>60</v>
      </c>
      <c r="J59" s="1">
        <v>0.28880764675448301</v>
      </c>
      <c r="K59" s="1">
        <v>22.009163113823099</v>
      </c>
      <c r="L59" s="1">
        <v>59.162833509203701</v>
      </c>
      <c r="M59" s="2" t="s">
        <v>6</v>
      </c>
    </row>
    <row r="60" spans="2:13" ht="14.25" customHeight="1" x14ac:dyDescent="0.3">
      <c r="B60" s="1">
        <v>60</v>
      </c>
      <c r="C60" s="1">
        <v>0.11098752896120199</v>
      </c>
      <c r="D60" s="1">
        <v>4.8390259859155096</v>
      </c>
      <c r="E60" s="1">
        <v>17.253</v>
      </c>
      <c r="F60" s="1">
        <v>92.824478431378395</v>
      </c>
      <c r="G60" s="1" t="s">
        <v>7</v>
      </c>
      <c r="I60" s="1">
        <v>60</v>
      </c>
      <c r="J60" s="1">
        <v>0.127770395024179</v>
      </c>
      <c r="K60" s="1">
        <v>30.212647622455702</v>
      </c>
      <c r="L60" s="1">
        <v>58.9988936459144</v>
      </c>
      <c r="M60" s="1" t="s">
        <v>7</v>
      </c>
    </row>
    <row r="61" spans="2:13" ht="14.25" customHeight="1" x14ac:dyDescent="0.3">
      <c r="B61" s="1">
        <v>60</v>
      </c>
      <c r="C61" s="1">
        <v>0.19558913158049601</v>
      </c>
      <c r="D61" s="1">
        <v>5.4137587212160501</v>
      </c>
      <c r="E61" s="1">
        <v>14.914</v>
      </c>
      <c r="F61" s="1">
        <v>93.344176919326401</v>
      </c>
      <c r="G61" s="1" t="s">
        <v>8</v>
      </c>
      <c r="I61" s="1">
        <v>60</v>
      </c>
      <c r="J61" s="1">
        <v>0.218275352219404</v>
      </c>
      <c r="K61" s="1">
        <v>26.487754278133799</v>
      </c>
      <c r="L61" s="1">
        <v>59.038222046405302</v>
      </c>
      <c r="M61" s="1" t="s">
        <v>8</v>
      </c>
    </row>
    <row r="62" spans="2:13" ht="14.25" customHeight="1" x14ac:dyDescent="0.3">
      <c r="B62" s="1">
        <v>60</v>
      </c>
      <c r="C62" s="1">
        <v>5.5652886881394803E-2</v>
      </c>
      <c r="D62" s="1">
        <v>5.1067935670522697</v>
      </c>
      <c r="E62" s="1">
        <v>16.143999999999998</v>
      </c>
      <c r="F62" s="1">
        <v>91.385003762308799</v>
      </c>
      <c r="G62" s="1" t="s">
        <v>9</v>
      </c>
      <c r="I62" s="1">
        <v>60</v>
      </c>
      <c r="J62" s="1">
        <v>6.2769052810257103E-2</v>
      </c>
      <c r="K62" s="1">
        <v>27.763011425583301</v>
      </c>
      <c r="L62" s="1">
        <v>60.509925771324298</v>
      </c>
      <c r="M62" s="1" t="s">
        <v>9</v>
      </c>
    </row>
    <row r="63" spans="2:13" ht="14.25" customHeight="1" x14ac:dyDescent="0.3">
      <c r="B63" s="1">
        <v>70</v>
      </c>
      <c r="C63" s="1">
        <v>0.266342145984381</v>
      </c>
      <c r="D63" s="1">
        <v>3.6469826723963998</v>
      </c>
      <c r="E63" s="1">
        <v>16.460999999999999</v>
      </c>
      <c r="F63" s="1">
        <v>91.170333361140095</v>
      </c>
      <c r="G63" s="2" t="s">
        <v>6</v>
      </c>
      <c r="I63" s="1">
        <v>70</v>
      </c>
      <c r="J63" s="1">
        <v>0.29420213070644302</v>
      </c>
      <c r="K63" s="1">
        <v>24.929531328772001</v>
      </c>
      <c r="L63" s="1">
        <v>58.3171456524165</v>
      </c>
      <c r="M63" s="2" t="s">
        <v>6</v>
      </c>
    </row>
    <row r="64" spans="2:13" ht="14.25" customHeight="1" x14ac:dyDescent="0.3">
      <c r="B64" s="1">
        <v>70</v>
      </c>
      <c r="C64" s="1">
        <v>0.11120763669405501</v>
      </c>
      <c r="D64" s="1">
        <v>5.3125320723765102</v>
      </c>
      <c r="E64" s="1">
        <v>18.498999999999999</v>
      </c>
      <c r="F64" s="1">
        <v>93.2241629565588</v>
      </c>
      <c r="G64" s="1" t="s">
        <v>7</v>
      </c>
      <c r="I64" s="1">
        <v>70</v>
      </c>
      <c r="J64" s="1">
        <v>0.13206310141317501</v>
      </c>
      <c r="K64" s="1">
        <v>34.601000010670198</v>
      </c>
      <c r="L64" s="1">
        <v>58.162321624645102</v>
      </c>
      <c r="M64" s="1" t="s">
        <v>7</v>
      </c>
    </row>
    <row r="65" spans="2:13" ht="14.25" customHeight="1" x14ac:dyDescent="0.3">
      <c r="B65" s="1">
        <v>70</v>
      </c>
      <c r="C65" s="1">
        <v>0.19515049505009199</v>
      </c>
      <c r="D65" s="1">
        <v>4.7591487322383701</v>
      </c>
      <c r="E65" s="1">
        <v>17.295999999999999</v>
      </c>
      <c r="F65" s="1">
        <v>93.865231650881299</v>
      </c>
      <c r="G65" s="1" t="s">
        <v>8</v>
      </c>
      <c r="I65" s="1">
        <v>70</v>
      </c>
      <c r="J65" s="1">
        <v>0.224166190478434</v>
      </c>
      <c r="K65" s="1">
        <v>30.218739008112699</v>
      </c>
      <c r="L65" s="1">
        <v>58.171008528651001</v>
      </c>
      <c r="M65" s="1" t="s">
        <v>8</v>
      </c>
    </row>
    <row r="66" spans="2:13" ht="14.25" customHeight="1" x14ac:dyDescent="0.3">
      <c r="B66" s="1">
        <v>70</v>
      </c>
      <c r="C66" s="1">
        <v>5.5745108259144298E-2</v>
      </c>
      <c r="D66" s="1">
        <v>5.53771822522289</v>
      </c>
      <c r="E66" s="1">
        <v>17.405999999999999</v>
      </c>
      <c r="F66" s="1">
        <v>92.035369721206905</v>
      </c>
      <c r="G66" s="1" t="s">
        <v>9</v>
      </c>
      <c r="I66" s="1">
        <v>70</v>
      </c>
      <c r="J66" s="1">
        <v>6.4586475552388597E-2</v>
      </c>
      <c r="K66" s="1">
        <v>31.6806248852116</v>
      </c>
      <c r="L66" s="1">
        <v>59.605598815692403</v>
      </c>
      <c r="M66" s="1" t="s">
        <v>9</v>
      </c>
    </row>
    <row r="67" spans="2:13" ht="14.25" customHeight="1" x14ac:dyDescent="0.3">
      <c r="B67" s="1">
        <v>80</v>
      </c>
      <c r="C67" s="1">
        <v>0.26602590808996401</v>
      </c>
      <c r="D67" s="1">
        <v>3.3239016639132002</v>
      </c>
      <c r="E67" s="1">
        <v>17.146000000000001</v>
      </c>
      <c r="F67" s="1">
        <v>90.577905610767402</v>
      </c>
      <c r="G67" s="2" t="s">
        <v>6</v>
      </c>
      <c r="I67" s="1">
        <v>80</v>
      </c>
      <c r="J67" s="1">
        <v>0.29459718309423599</v>
      </c>
      <c r="K67" s="1">
        <v>25.3965287347194</v>
      </c>
      <c r="L67" s="1">
        <v>58.302893454500897</v>
      </c>
      <c r="M67" s="2" t="s">
        <v>6</v>
      </c>
    </row>
    <row r="68" spans="2:13" ht="14.25" customHeight="1" x14ac:dyDescent="0.3">
      <c r="B68" s="1">
        <v>80</v>
      </c>
      <c r="C68" s="1">
        <v>0.111310407950011</v>
      </c>
      <c r="D68" s="1">
        <v>5.5579795361937698</v>
      </c>
      <c r="E68" s="1">
        <v>18.634</v>
      </c>
      <c r="F68" s="1">
        <v>93.127301731023707</v>
      </c>
      <c r="G68" s="1" t="s">
        <v>7</v>
      </c>
      <c r="I68" s="1">
        <v>80</v>
      </c>
      <c r="J68" s="1">
        <v>0.13240119734508099</v>
      </c>
      <c r="K68" s="1">
        <v>35.287603891816701</v>
      </c>
      <c r="L68" s="1">
        <v>58.090853359035201</v>
      </c>
      <c r="M68" s="1" t="s">
        <v>7</v>
      </c>
    </row>
    <row r="69" spans="2:13" ht="14.25" customHeight="1" x14ac:dyDescent="0.3">
      <c r="B69" s="1">
        <v>80</v>
      </c>
      <c r="C69" s="1">
        <v>0.19527403575123001</v>
      </c>
      <c r="D69" s="1">
        <v>4.9821691091562199</v>
      </c>
      <c r="E69" s="1">
        <v>17.420000000000002</v>
      </c>
      <c r="F69" s="1">
        <v>94.098111112630505</v>
      </c>
      <c r="G69" s="1" t="s">
        <v>8</v>
      </c>
      <c r="I69" s="1">
        <v>80</v>
      </c>
      <c r="J69" s="1">
        <v>0.22463379724305199</v>
      </c>
      <c r="K69" s="1">
        <v>30.816106132034601</v>
      </c>
      <c r="L69" s="1">
        <v>58.147024555183499</v>
      </c>
      <c r="M69" s="1" t="s">
        <v>8</v>
      </c>
    </row>
    <row r="70" spans="2:13" ht="14.25" customHeight="1" x14ac:dyDescent="0.3">
      <c r="B70" s="1">
        <v>80</v>
      </c>
      <c r="C70" s="1">
        <v>5.5790831787722497E-2</v>
      </c>
      <c r="D70" s="1">
        <v>5.7871741911056302</v>
      </c>
      <c r="E70" s="1">
        <v>17.518000000000001</v>
      </c>
      <c r="F70" s="1">
        <v>92.086555454674297</v>
      </c>
      <c r="G70" s="1" t="s">
        <v>9</v>
      </c>
      <c r="I70" s="1">
        <v>80</v>
      </c>
      <c r="J70" s="1">
        <v>6.4728344255274697E-2</v>
      </c>
      <c r="K70" s="1">
        <v>32.3000468902056</v>
      </c>
      <c r="L70" s="1">
        <v>59.554917367333999</v>
      </c>
      <c r="M70" s="1" t="s">
        <v>9</v>
      </c>
    </row>
    <row r="71" spans="2:13" ht="14.25" customHeight="1" x14ac:dyDescent="0.3">
      <c r="B71" s="1">
        <v>90</v>
      </c>
      <c r="C71" s="1">
        <v>0.26612789638873902</v>
      </c>
      <c r="D71" s="1">
        <v>3.4749119156803099</v>
      </c>
      <c r="E71" s="1">
        <v>17.239999999999998</v>
      </c>
      <c r="F71" s="1">
        <v>90.937978470881305</v>
      </c>
      <c r="G71" s="2" t="s">
        <v>6</v>
      </c>
      <c r="I71" s="1">
        <v>90</v>
      </c>
      <c r="J71" s="1">
        <v>0.29567948733224497</v>
      </c>
      <c r="K71" s="1">
        <v>25.912734543761399</v>
      </c>
      <c r="L71" s="1">
        <v>58.249068124472601</v>
      </c>
      <c r="M71" s="2" t="s">
        <v>6</v>
      </c>
    </row>
    <row r="72" spans="2:13" ht="14.25" customHeight="1" x14ac:dyDescent="0.3">
      <c r="B72" s="1">
        <v>90</v>
      </c>
      <c r="C72" s="1">
        <v>0.11140427071466601</v>
      </c>
      <c r="D72" s="1">
        <v>5.7384421707689404</v>
      </c>
      <c r="E72" s="1">
        <v>18.748999999999999</v>
      </c>
      <c r="F72" s="1">
        <v>92.877335046937603</v>
      </c>
      <c r="G72" s="1" t="s">
        <v>7</v>
      </c>
      <c r="I72" s="1">
        <v>90</v>
      </c>
      <c r="J72" s="1">
        <v>0.133331983038673</v>
      </c>
      <c r="K72" s="1">
        <v>36.137850269613502</v>
      </c>
      <c r="L72" s="1">
        <v>57.971856648798898</v>
      </c>
      <c r="M72" s="1" t="s">
        <v>7</v>
      </c>
    </row>
    <row r="73" spans="2:13" ht="14.25" customHeight="1" x14ac:dyDescent="0.3">
      <c r="B73" s="1">
        <v>90</v>
      </c>
      <c r="C73" s="1">
        <v>0.195395780622347</v>
      </c>
      <c r="D73" s="1">
        <v>5.1510627118225001</v>
      </c>
      <c r="E73" s="1">
        <v>17.53</v>
      </c>
      <c r="F73" s="1">
        <v>94.139843051489393</v>
      </c>
      <c r="G73" s="1" t="s">
        <v>8</v>
      </c>
      <c r="I73" s="1">
        <v>90</v>
      </c>
      <c r="J73" s="1">
        <v>0.225877684341523</v>
      </c>
      <c r="K73" s="1">
        <v>31.516283768619601</v>
      </c>
      <c r="L73" s="1">
        <v>58.070381122044402</v>
      </c>
      <c r="M73" s="1" t="s">
        <v>8</v>
      </c>
    </row>
    <row r="74" spans="2:13" ht="14.25" customHeight="1" x14ac:dyDescent="0.3">
      <c r="B74" s="1">
        <v>90</v>
      </c>
      <c r="C74" s="1">
        <v>5.5834622849182697E-2</v>
      </c>
      <c r="D74" s="1">
        <v>5.9734389571622399</v>
      </c>
      <c r="E74" s="1">
        <v>17.617000000000001</v>
      </c>
      <c r="F74" s="1">
        <v>91.991982151319107</v>
      </c>
      <c r="G74" s="1" t="s">
        <v>9</v>
      </c>
      <c r="I74" s="1">
        <v>90</v>
      </c>
      <c r="J74" s="1">
        <v>6.51123620873197E-2</v>
      </c>
      <c r="K74" s="1">
        <v>33.037153642122199</v>
      </c>
      <c r="L74" s="1">
        <v>59.452235393414298</v>
      </c>
      <c r="M74" s="1" t="s">
        <v>9</v>
      </c>
    </row>
    <row r="75" spans="2:13" ht="14.25" customHeight="1" x14ac:dyDescent="0.3"/>
    <row r="76" spans="2:13" ht="14.25" customHeight="1" x14ac:dyDescent="0.3"/>
    <row r="77" spans="2:13" ht="14.25" customHeight="1" x14ac:dyDescent="0.3"/>
    <row r="78" spans="2:13" ht="14.25" customHeight="1" x14ac:dyDescent="0.3"/>
    <row r="79" spans="2:13" ht="14.25" customHeight="1" x14ac:dyDescent="0.3"/>
    <row r="80" spans="2:13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J87" s="1">
        <v>-30</v>
      </c>
      <c r="K87" s="1">
        <v>-20</v>
      </c>
      <c r="L87" s="1">
        <v>-10</v>
      </c>
      <c r="M87" s="1">
        <v>10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Y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-90</v>
      </c>
      <c r="C3" s="3">
        <v>-1.35846263217546E-11</v>
      </c>
      <c r="D3" s="1">
        <v>2.03199428591125E-2</v>
      </c>
      <c r="E3" s="1">
        <v>0.28699999999999998</v>
      </c>
      <c r="F3" s="1">
        <v>8.5290338380083899</v>
      </c>
      <c r="G3" s="2" t="s">
        <v>6</v>
      </c>
      <c r="I3" s="1">
        <v>-90</v>
      </c>
      <c r="J3" s="3">
        <v>-1.35846263217546E-11</v>
      </c>
      <c r="K3" s="1">
        <v>1.9984644864223501E-2</v>
      </c>
      <c r="L3" s="1">
        <v>8.5290338380083792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-90</v>
      </c>
      <c r="C4" s="1">
        <v>0.178655203433357</v>
      </c>
      <c r="D4" s="1">
        <v>3.6499006302664498</v>
      </c>
      <c r="E4" s="1">
        <v>20.236000000000001</v>
      </c>
      <c r="F4" s="1">
        <v>90.044811969262</v>
      </c>
      <c r="G4" s="1" t="s">
        <v>7</v>
      </c>
      <c r="I4" s="1">
        <v>-90</v>
      </c>
      <c r="J4" s="1">
        <v>0.207947973525061</v>
      </c>
      <c r="K4" s="1">
        <v>32.739937695874303</v>
      </c>
      <c r="L4" s="1">
        <v>57.554519728576402</v>
      </c>
      <c r="M4" s="1" t="s">
        <v>7</v>
      </c>
      <c r="P4" s="1">
        <v>-90</v>
      </c>
      <c r="Q4" s="1">
        <v>-1.0851210789000599E-2</v>
      </c>
      <c r="R4" s="1">
        <v>-4.0127909855519297</v>
      </c>
      <c r="S4" s="1">
        <v>-7.5677025447390998</v>
      </c>
      <c r="T4" s="1">
        <v>-2.3608674707811299</v>
      </c>
      <c r="V4" s="1">
        <f t="shared" ref="V4:Y4" si="0">Q5-Q4</f>
        <v>1.4798925973558141E-14</v>
      </c>
      <c r="W4" s="1">
        <f t="shared" si="0"/>
        <v>0.44527171544845956</v>
      </c>
      <c r="X4" s="1">
        <f t="shared" si="0"/>
        <v>0.84125897381565995</v>
      </c>
      <c r="Y4" s="1">
        <f t="shared" si="0"/>
        <v>0.26251486149423009</v>
      </c>
    </row>
    <row r="5" spans="2:25" ht="14.25" customHeight="1" x14ac:dyDescent="0.3">
      <c r="B5" s="1">
        <v>-90</v>
      </c>
      <c r="C5" s="1">
        <v>0.47649245115225503</v>
      </c>
      <c r="D5" s="1">
        <v>8.4317800908802596</v>
      </c>
      <c r="E5" s="1">
        <v>8.0779999999999994</v>
      </c>
      <c r="F5" s="1">
        <v>87.345665763768295</v>
      </c>
      <c r="G5" s="1" t="s">
        <v>8</v>
      </c>
      <c r="I5" s="1">
        <v>-90</v>
      </c>
      <c r="J5" s="1">
        <v>0.494721390523438</v>
      </c>
      <c r="K5" s="1">
        <v>17.7981550442844</v>
      </c>
      <c r="L5" s="1">
        <v>72.647180282498496</v>
      </c>
      <c r="M5" s="1" t="s">
        <v>8</v>
      </c>
      <c r="P5" s="1">
        <v>-80</v>
      </c>
      <c r="Q5" s="1">
        <v>-1.08512107889858E-2</v>
      </c>
      <c r="R5" s="1">
        <v>-3.5675192701034701</v>
      </c>
      <c r="S5" s="1">
        <v>-6.7264435709234398</v>
      </c>
      <c r="T5" s="1">
        <v>-2.0983526092868998</v>
      </c>
      <c r="V5" s="1">
        <f t="shared" ref="V5:Y5" si="1">Q6-Q5</f>
        <v>-1.4798925973558141E-14</v>
      </c>
      <c r="W5" s="1">
        <f t="shared" si="1"/>
        <v>0.44527171544841027</v>
      </c>
      <c r="X5" s="1">
        <f t="shared" si="1"/>
        <v>0.84125897381565995</v>
      </c>
      <c r="Y5" s="1">
        <f t="shared" si="1"/>
        <v>0.26251486149420988</v>
      </c>
    </row>
    <row r="6" spans="2:25" ht="14.25" customHeight="1" x14ac:dyDescent="0.3">
      <c r="B6" s="1">
        <v>-90</v>
      </c>
      <c r="C6" s="1">
        <v>8.9671478513321801E-2</v>
      </c>
      <c r="D6" s="1">
        <v>4.41162018614604</v>
      </c>
      <c r="E6" s="1">
        <v>18.350999999999999</v>
      </c>
      <c r="F6" s="1">
        <v>89.798118577745797</v>
      </c>
      <c r="G6" s="1" t="s">
        <v>9</v>
      </c>
      <c r="I6" s="1">
        <v>-90</v>
      </c>
      <c r="J6" s="1">
        <v>0.10159848469784</v>
      </c>
      <c r="K6" s="1">
        <v>29.534655805716898</v>
      </c>
      <c r="L6" s="1">
        <v>59.450952241359502</v>
      </c>
      <c r="M6" s="1" t="s">
        <v>9</v>
      </c>
      <c r="P6" s="1">
        <v>-70</v>
      </c>
      <c r="Q6" s="1">
        <v>-1.0851210789000599E-2</v>
      </c>
      <c r="R6" s="1">
        <v>-3.1222475546550599</v>
      </c>
      <c r="S6" s="1">
        <v>-5.8851845971077799</v>
      </c>
      <c r="T6" s="1">
        <v>-1.8358377477926899</v>
      </c>
      <c r="V6" s="1">
        <f t="shared" ref="V6:Y6" si="2">Q7-Q6</f>
        <v>0</v>
      </c>
      <c r="W6" s="1">
        <f t="shared" si="2"/>
        <v>0.44527171544844002</v>
      </c>
      <c r="X6" s="1">
        <f t="shared" si="2"/>
        <v>0.84125897381569015</v>
      </c>
      <c r="Y6" s="1">
        <f t="shared" si="2"/>
        <v>0.26251486149422987</v>
      </c>
    </row>
    <row r="7" spans="2:25" ht="14.25" customHeight="1" x14ac:dyDescent="0.3">
      <c r="B7" s="1">
        <v>-80</v>
      </c>
      <c r="C7" s="3">
        <v>-3.5145124564477802E-16</v>
      </c>
      <c r="D7" s="1">
        <v>1.40467390687086E-2</v>
      </c>
      <c r="E7" s="1">
        <v>0.111</v>
      </c>
      <c r="F7" s="1">
        <v>0.71267335463075498</v>
      </c>
      <c r="G7" s="2" t="s">
        <v>6</v>
      </c>
      <c r="I7" s="1">
        <v>-80</v>
      </c>
      <c r="J7" s="3">
        <v>-3.5145124564478098E-16</v>
      </c>
      <c r="K7" s="1">
        <v>1.40713328609275E-2</v>
      </c>
      <c r="L7" s="1">
        <v>0.71267335463075498</v>
      </c>
      <c r="M7" s="2" t="s">
        <v>6</v>
      </c>
      <c r="P7" s="1">
        <v>-60</v>
      </c>
      <c r="Q7" s="1">
        <v>-1.0851210789000599E-2</v>
      </c>
      <c r="R7" s="1">
        <v>-2.6769758392066199</v>
      </c>
      <c r="S7" s="1">
        <v>-5.0439256232920897</v>
      </c>
      <c r="T7" s="1">
        <v>-1.5733228862984601</v>
      </c>
      <c r="V7" s="1">
        <f t="shared" ref="V7:Y7" si="3">Q8-Q7</f>
        <v>0</v>
      </c>
      <c r="W7" s="1">
        <f t="shared" si="3"/>
        <v>0.44527171544840005</v>
      </c>
      <c r="X7" s="1">
        <f t="shared" si="3"/>
        <v>0.84125897381567949</v>
      </c>
      <c r="Y7" s="1">
        <f t="shared" si="3"/>
        <v>0.26251486149425007</v>
      </c>
    </row>
    <row r="8" spans="2:25" ht="14.25" customHeight="1" x14ac:dyDescent="0.3">
      <c r="B8" s="1">
        <v>-80</v>
      </c>
      <c r="C8" s="1">
        <v>0.17860049194007099</v>
      </c>
      <c r="D8" s="1">
        <v>3.4818325926789502</v>
      </c>
      <c r="E8" s="1">
        <v>20.163</v>
      </c>
      <c r="F8" s="1">
        <v>89.767900003647497</v>
      </c>
      <c r="G8" s="1" t="s">
        <v>7</v>
      </c>
      <c r="I8" s="1">
        <v>-80</v>
      </c>
      <c r="J8" s="1">
        <v>0.20687279225539501</v>
      </c>
      <c r="K8" s="1">
        <v>32.060668607841698</v>
      </c>
      <c r="L8" s="1">
        <v>57.565014164527703</v>
      </c>
      <c r="M8" s="1" t="s">
        <v>7</v>
      </c>
      <c r="P8" s="1">
        <v>-50</v>
      </c>
      <c r="Q8" s="1">
        <v>-1.0851210789000599E-2</v>
      </c>
      <c r="R8" s="1">
        <v>-2.2317041237582198</v>
      </c>
      <c r="S8" s="1">
        <v>-4.2026666494764102</v>
      </c>
      <c r="T8" s="1">
        <v>-1.31080802480421</v>
      </c>
      <c r="V8" s="1">
        <f t="shared" ref="V8:Y8" si="4">Q9-Q8</f>
        <v>0</v>
      </c>
      <c r="W8" s="1">
        <f t="shared" si="4"/>
        <v>0.4452717154484398</v>
      </c>
      <c r="X8" s="1">
        <f t="shared" si="4"/>
        <v>0.84125897381566039</v>
      </c>
      <c r="Y8" s="1">
        <f t="shared" si="4"/>
        <v>0.26251486149419989</v>
      </c>
    </row>
    <row r="9" spans="2:25" ht="14.25" customHeight="1" x14ac:dyDescent="0.3">
      <c r="B9" s="1">
        <v>-80</v>
      </c>
      <c r="C9" s="1">
        <v>0.476320518792057</v>
      </c>
      <c r="D9" s="1">
        <v>8.2749763016845002</v>
      </c>
      <c r="E9" s="1">
        <v>8.0489999999999995</v>
      </c>
      <c r="F9" s="1">
        <v>87.338884162538704</v>
      </c>
      <c r="G9" s="1" t="s">
        <v>8</v>
      </c>
      <c r="I9" s="1">
        <v>-80</v>
      </c>
      <c r="J9" s="1">
        <v>0.49416436780179201</v>
      </c>
      <c r="K9" s="1">
        <v>17.5542842409108</v>
      </c>
      <c r="L9" s="1">
        <v>72.639769913954694</v>
      </c>
      <c r="M9" s="1" t="s">
        <v>8</v>
      </c>
      <c r="P9" s="1">
        <v>-40</v>
      </c>
      <c r="Q9" s="1">
        <v>-1.0851210789000599E-2</v>
      </c>
      <c r="R9" s="1">
        <v>-1.78643240830978</v>
      </c>
      <c r="S9" s="1">
        <v>-3.3614076756607498</v>
      </c>
      <c r="T9" s="1">
        <v>-1.0482931633100101</v>
      </c>
      <c r="V9" s="1">
        <f t="shared" ref="V9:Y9" si="5">Q10-Q9</f>
        <v>0</v>
      </c>
      <c r="W9" s="1">
        <f t="shared" si="5"/>
        <v>0.44527171544841004</v>
      </c>
      <c r="X9" s="1">
        <f t="shared" si="5"/>
        <v>0.84125897381564974</v>
      </c>
      <c r="Y9" s="1">
        <f t="shared" si="5"/>
        <v>0.26251486149424308</v>
      </c>
    </row>
    <row r="10" spans="2:25" ht="14.25" customHeight="1" x14ac:dyDescent="0.3">
      <c r="B10" s="1">
        <v>-80</v>
      </c>
      <c r="C10" s="1">
        <v>8.9641024727560303E-2</v>
      </c>
      <c r="D10" s="1">
        <v>4.2431947133620804</v>
      </c>
      <c r="E10" s="1">
        <v>18.277999999999999</v>
      </c>
      <c r="F10" s="1">
        <v>89.706156230968006</v>
      </c>
      <c r="G10" s="1" t="s">
        <v>9</v>
      </c>
      <c r="I10" s="1">
        <v>-80</v>
      </c>
      <c r="J10" s="1">
        <v>0.101180370064234</v>
      </c>
      <c r="K10" s="1">
        <v>28.966762766658402</v>
      </c>
      <c r="L10" s="1">
        <v>59.459061016477698</v>
      </c>
      <c r="M10" s="1" t="s">
        <v>9</v>
      </c>
      <c r="P10" s="1">
        <v>-30</v>
      </c>
      <c r="Q10" s="1">
        <v>-1.0851210789000599E-2</v>
      </c>
      <c r="R10" s="1">
        <v>-1.34116069286137</v>
      </c>
      <c r="S10" s="1">
        <v>-2.5201487018451001</v>
      </c>
      <c r="T10" s="1">
        <v>-0.78577830181576702</v>
      </c>
      <c r="V10" s="1">
        <f t="shared" ref="V10:Y10" si="6">Q11-Q10</f>
        <v>0</v>
      </c>
      <c r="W10" s="1">
        <f t="shared" si="6"/>
        <v>0.44527171544844701</v>
      </c>
      <c r="X10" s="1">
        <f t="shared" si="6"/>
        <v>0.84125897381568016</v>
      </c>
      <c r="Y10" s="1">
        <f t="shared" si="6"/>
        <v>0.26251486149421299</v>
      </c>
    </row>
    <row r="11" spans="2:25" ht="14.25" customHeight="1" x14ac:dyDescent="0.3">
      <c r="B11" s="1">
        <v>-70</v>
      </c>
      <c r="C11" s="3">
        <v>-3.0893162424351698E-16</v>
      </c>
      <c r="D11" s="1">
        <v>1.4000342621104099E-2</v>
      </c>
      <c r="E11" s="1">
        <v>0.47299999999999998</v>
      </c>
      <c r="F11" s="1">
        <v>0.44408814766420102</v>
      </c>
      <c r="G11" s="2" t="s">
        <v>6</v>
      </c>
      <c r="I11" s="1">
        <v>-70</v>
      </c>
      <c r="J11" s="3">
        <v>-3.0893162424352201E-16</v>
      </c>
      <c r="K11" s="1">
        <v>1.4000342621104099E-2</v>
      </c>
      <c r="L11" s="1">
        <v>0.44408814766421201</v>
      </c>
      <c r="M11" s="2" t="s">
        <v>6</v>
      </c>
      <c r="P11" s="1">
        <v>-20</v>
      </c>
      <c r="Q11" s="1">
        <v>-1.0851210789000599E-2</v>
      </c>
      <c r="R11" s="1">
        <v>-0.89588897741292295</v>
      </c>
      <c r="S11" s="1">
        <v>-1.6788897280294199</v>
      </c>
      <c r="T11" s="1">
        <v>-0.52326344032155403</v>
      </c>
      <c r="V11" s="1">
        <f t="shared" ref="V11:Y11" si="7">Q12-Q11</f>
        <v>0</v>
      </c>
      <c r="W11" s="1">
        <f t="shared" si="7"/>
        <v>0.44527171544842697</v>
      </c>
      <c r="X11" s="1">
        <f t="shared" si="7"/>
        <v>0.84125897381566594</v>
      </c>
      <c r="Y11" s="1">
        <f t="shared" si="7"/>
        <v>0.26251486149423003</v>
      </c>
    </row>
    <row r="12" spans="2:25" ht="14.25" customHeight="1" x14ac:dyDescent="0.3">
      <c r="B12" s="1">
        <v>-70</v>
      </c>
      <c r="C12" s="1">
        <v>0.17849645449528301</v>
      </c>
      <c r="D12" s="1">
        <v>3.2647570370756802</v>
      </c>
      <c r="E12" s="1">
        <v>20.050999999999998</v>
      </c>
      <c r="F12" s="1">
        <v>89.291315136763899</v>
      </c>
      <c r="G12" s="1" t="s">
        <v>7</v>
      </c>
      <c r="I12" s="1">
        <v>-70</v>
      </c>
      <c r="J12" s="1">
        <v>0.20645480360146801</v>
      </c>
      <c r="K12" s="1">
        <v>31.459375067044402</v>
      </c>
      <c r="L12" s="1">
        <v>57.6175484514225</v>
      </c>
      <c r="M12" s="1" t="s">
        <v>7</v>
      </c>
      <c r="P12" s="1">
        <v>-10</v>
      </c>
      <c r="Q12" s="1">
        <v>-1.0851210789000599E-2</v>
      </c>
      <c r="R12" s="1">
        <v>-0.45061726196449597</v>
      </c>
      <c r="S12" s="1">
        <v>-0.83763075421375399</v>
      </c>
      <c r="T12" s="1">
        <v>-0.260748578827324</v>
      </c>
      <c r="V12" s="1">
        <f t="shared" ref="V12:Y12" si="8">V11</f>
        <v>0</v>
      </c>
      <c r="W12" s="1">
        <f t="shared" si="8"/>
        <v>0.44527171544842697</v>
      </c>
      <c r="X12" s="1">
        <f t="shared" si="8"/>
        <v>0.84125897381566594</v>
      </c>
      <c r="Y12" s="1">
        <f t="shared" si="8"/>
        <v>0.26251486149423003</v>
      </c>
    </row>
    <row r="13" spans="2:25" ht="14.25" customHeight="1" x14ac:dyDescent="0.3">
      <c r="B13" s="1">
        <v>-70</v>
      </c>
      <c r="C13" s="1">
        <v>0.47615911097818397</v>
      </c>
      <c r="D13" s="1">
        <v>8.0696132629724495</v>
      </c>
      <c r="E13" s="1">
        <v>8.0109999999999992</v>
      </c>
      <c r="F13" s="1">
        <v>87.286047428346905</v>
      </c>
      <c r="G13" s="1" t="s">
        <v>8</v>
      </c>
      <c r="I13" s="1">
        <v>-70</v>
      </c>
      <c r="J13" s="1">
        <v>0.49395804396012499</v>
      </c>
      <c r="K13" s="1">
        <v>17.276783151973</v>
      </c>
      <c r="L13" s="1">
        <v>72.629210750859301</v>
      </c>
      <c r="M13" s="1" t="s">
        <v>8</v>
      </c>
      <c r="P13" s="1">
        <v>10</v>
      </c>
      <c r="Q13" s="1">
        <v>-1.0851210789000599E-2</v>
      </c>
      <c r="R13" s="1">
        <v>0.43992616893235997</v>
      </c>
      <c r="S13" s="1">
        <v>0.84488719341757301</v>
      </c>
      <c r="T13" s="1">
        <v>0.26428114416111897</v>
      </c>
      <c r="V13" s="1">
        <f t="shared" ref="V13:Y13" si="9">Q14-Q13</f>
        <v>0</v>
      </c>
      <c r="W13" s="1">
        <f t="shared" si="9"/>
        <v>0.445271715448399</v>
      </c>
      <c r="X13" s="1">
        <f t="shared" si="9"/>
        <v>0.84125897381568704</v>
      </c>
      <c r="Y13" s="1">
        <f t="shared" si="9"/>
        <v>0.26251486149423003</v>
      </c>
    </row>
    <row r="14" spans="2:25" ht="14.25" customHeight="1" x14ac:dyDescent="0.3">
      <c r="B14" s="1">
        <v>-70</v>
      </c>
      <c r="C14" s="1">
        <v>8.9588182951841094E-2</v>
      </c>
      <c r="D14" s="1">
        <v>4.0210489351267897</v>
      </c>
      <c r="E14" s="1">
        <v>18.172000000000001</v>
      </c>
      <c r="F14" s="1">
        <v>89.532590523832198</v>
      </c>
      <c r="G14" s="1" t="s">
        <v>9</v>
      </c>
      <c r="I14" s="1">
        <v>-70</v>
      </c>
      <c r="J14" s="1">
        <v>0.101016115750619</v>
      </c>
      <c r="K14" s="1">
        <v>28.4394958508672</v>
      </c>
      <c r="L14" s="1">
        <v>59.503792441467503</v>
      </c>
      <c r="M14" s="1" t="s">
        <v>9</v>
      </c>
      <c r="P14" s="1">
        <v>20</v>
      </c>
      <c r="Q14" s="1">
        <v>-1.0851210789000599E-2</v>
      </c>
      <c r="R14" s="1">
        <v>0.88519788438075897</v>
      </c>
      <c r="S14" s="1">
        <v>1.6861461672332601</v>
      </c>
      <c r="T14" s="1">
        <v>0.52679600565534901</v>
      </c>
      <c r="V14" s="1">
        <f t="shared" ref="V14:Y14" si="10">Q15-Q14</f>
        <v>0</v>
      </c>
      <c r="W14" s="1">
        <f t="shared" si="10"/>
        <v>0.44527171544845101</v>
      </c>
      <c r="X14" s="1">
        <f t="shared" si="10"/>
        <v>0.84125897381565995</v>
      </c>
      <c r="Y14" s="1">
        <f t="shared" si="10"/>
        <v>0.26251486149421299</v>
      </c>
    </row>
    <row r="15" spans="2:25" ht="14.25" customHeight="1" x14ac:dyDescent="0.3">
      <c r="B15" s="1">
        <v>-60</v>
      </c>
      <c r="C15" s="3">
        <v>3.7479177270889101E-16</v>
      </c>
      <c r="D15" s="1">
        <v>1.42713614952652E-2</v>
      </c>
      <c r="E15" s="1">
        <v>0.47799999999999998</v>
      </c>
      <c r="F15" s="1">
        <v>0.47873676408959298</v>
      </c>
      <c r="G15" s="2" t="s">
        <v>6</v>
      </c>
      <c r="I15" s="1">
        <v>-60</v>
      </c>
      <c r="J15" s="3">
        <v>3.7479177270870898E-16</v>
      </c>
      <c r="K15" s="1">
        <v>1.46126590556152E-2</v>
      </c>
      <c r="L15" s="1">
        <v>0.47873676408959298</v>
      </c>
      <c r="M15" s="2" t="s">
        <v>6</v>
      </c>
      <c r="P15" s="1">
        <v>30</v>
      </c>
      <c r="Q15" s="1">
        <v>-1.0851210789000599E-2</v>
      </c>
      <c r="R15" s="1">
        <v>1.33046959982921</v>
      </c>
      <c r="S15" s="1">
        <v>2.52740514104892</v>
      </c>
      <c r="T15" s="1">
        <v>0.789310867149562</v>
      </c>
      <c r="V15" s="1">
        <f t="shared" ref="V15:Y15" si="11">Q16-Q15</f>
        <v>0</v>
      </c>
      <c r="W15" s="1">
        <f t="shared" si="11"/>
        <v>0.44527171544842004</v>
      </c>
      <c r="X15" s="1">
        <f t="shared" si="11"/>
        <v>0.84125897381567993</v>
      </c>
      <c r="Y15" s="1">
        <f t="shared" si="11"/>
        <v>0.26251486149422798</v>
      </c>
    </row>
    <row r="16" spans="2:25" ht="14.25" customHeight="1" x14ac:dyDescent="0.3">
      <c r="B16" s="1">
        <v>-60</v>
      </c>
      <c r="C16" s="1">
        <v>0.17869281839859699</v>
      </c>
      <c r="D16" s="1">
        <v>3.5436201381718</v>
      </c>
      <c r="E16" s="1">
        <v>19.251000000000001</v>
      </c>
      <c r="F16" s="1">
        <v>90.249176025211398</v>
      </c>
      <c r="G16" s="1" t="s">
        <v>7</v>
      </c>
      <c r="I16" s="1">
        <v>-60</v>
      </c>
      <c r="J16" s="1">
        <v>0.205660316971191</v>
      </c>
      <c r="K16" s="1">
        <v>30.615868284063701</v>
      </c>
      <c r="L16" s="1">
        <v>57.623905391633301</v>
      </c>
      <c r="M16" s="1" t="s">
        <v>7</v>
      </c>
      <c r="P16" s="1">
        <v>40</v>
      </c>
      <c r="Q16" s="1">
        <v>-1.0851210789000599E-2</v>
      </c>
      <c r="R16" s="1">
        <v>1.77574131527763</v>
      </c>
      <c r="S16" s="1">
        <v>3.3686641148645999</v>
      </c>
      <c r="T16" s="1">
        <v>1.05182572864379</v>
      </c>
      <c r="V16" s="1">
        <f t="shared" ref="V16:Y16" si="12">Q17-Q16</f>
        <v>0</v>
      </c>
      <c r="W16" s="1">
        <f t="shared" si="12"/>
        <v>0.44527171544843003</v>
      </c>
      <c r="X16" s="1">
        <f t="shared" si="12"/>
        <v>0.84125897381564974</v>
      </c>
      <c r="Y16" s="1">
        <f t="shared" si="12"/>
        <v>0.26251486149421011</v>
      </c>
    </row>
    <row r="17" spans="2:25" ht="14.25" customHeight="1" x14ac:dyDescent="0.3">
      <c r="B17" s="1">
        <v>-60</v>
      </c>
      <c r="C17" s="1">
        <v>0.476762349590726</v>
      </c>
      <c r="D17" s="1">
        <v>8.3227092373558396</v>
      </c>
      <c r="E17" s="1">
        <v>7.4320000000000004</v>
      </c>
      <c r="F17" s="1">
        <v>87.687539571034094</v>
      </c>
      <c r="G17" s="1" t="s">
        <v>8</v>
      </c>
      <c r="I17" s="1">
        <v>-60</v>
      </c>
      <c r="J17" s="1">
        <v>0.49361616831871902</v>
      </c>
      <c r="K17" s="1">
        <v>16.928399804158399</v>
      </c>
      <c r="L17" s="1">
        <v>72.564501550621401</v>
      </c>
      <c r="M17" s="1" t="s">
        <v>8</v>
      </c>
      <c r="P17" s="1">
        <v>50</v>
      </c>
      <c r="Q17" s="1">
        <v>-1.0851210789000599E-2</v>
      </c>
      <c r="R17" s="1">
        <v>2.22101303072606</v>
      </c>
      <c r="S17" s="1">
        <v>4.2099230886802497</v>
      </c>
      <c r="T17" s="1">
        <v>1.3143405901380001</v>
      </c>
      <c r="V17" s="1">
        <f t="shared" ref="V17:Y17" si="13">Q18-Q17</f>
        <v>1.4798925973558141E-14</v>
      </c>
      <c r="W17" s="1">
        <f t="shared" si="13"/>
        <v>0.44527171544844002</v>
      </c>
      <c r="X17" s="1">
        <f t="shared" si="13"/>
        <v>0.84125897381568038</v>
      </c>
      <c r="Y17" s="1">
        <f t="shared" si="13"/>
        <v>0.26251486149421988</v>
      </c>
    </row>
    <row r="18" spans="2:25" ht="14.25" customHeight="1" x14ac:dyDescent="0.3">
      <c r="B18" s="1">
        <v>-60</v>
      </c>
      <c r="C18" s="1">
        <v>8.9545253629603902E-2</v>
      </c>
      <c r="D18" s="1">
        <v>3.73864702290944</v>
      </c>
      <c r="E18" s="1">
        <v>18.045999999999999</v>
      </c>
      <c r="F18" s="1">
        <v>89.198474613622494</v>
      </c>
      <c r="G18" s="1" t="s">
        <v>9</v>
      </c>
      <c r="I18" s="1">
        <v>-60</v>
      </c>
      <c r="J18" s="1">
        <v>0.100705361030517</v>
      </c>
      <c r="K18" s="1">
        <v>27.705372740999302</v>
      </c>
      <c r="L18" s="1">
        <v>59.4749758514942</v>
      </c>
      <c r="M18" s="1" t="s">
        <v>9</v>
      </c>
      <c r="P18" s="1">
        <v>60</v>
      </c>
      <c r="Q18" s="1">
        <v>-1.08512107889858E-2</v>
      </c>
      <c r="R18" s="1">
        <v>2.6662847461745001</v>
      </c>
      <c r="S18" s="1">
        <v>5.05118206249593</v>
      </c>
      <c r="T18" s="1">
        <v>1.57685545163222</v>
      </c>
      <c r="V18" s="1">
        <f t="shared" ref="V18:Y18" si="14">Q19-Q18</f>
        <v>-1.4798925973558141E-14</v>
      </c>
      <c r="W18" s="1">
        <f t="shared" si="14"/>
        <v>0.44527171544844002</v>
      </c>
      <c r="X18" s="1">
        <f t="shared" si="14"/>
        <v>0.84125897381566972</v>
      </c>
      <c r="Y18" s="1">
        <f t="shared" si="14"/>
        <v>0.26251486149423009</v>
      </c>
    </row>
    <row r="19" spans="2:25" ht="14.25" customHeight="1" x14ac:dyDescent="0.3">
      <c r="B19" s="1">
        <v>-50</v>
      </c>
      <c r="C19" s="3">
        <v>6.2723772536064298E-16</v>
      </c>
      <c r="D19" s="1">
        <v>1.42792956352677E-2</v>
      </c>
      <c r="E19" s="1">
        <v>0.45400000000000001</v>
      </c>
      <c r="F19" s="1">
        <v>0.93095192357432999</v>
      </c>
      <c r="G19" s="2" t="s">
        <v>6</v>
      </c>
      <c r="I19" s="1">
        <v>-50</v>
      </c>
      <c r="J19" s="3">
        <v>6.2723772536064002E-16</v>
      </c>
      <c r="K19" s="1">
        <v>1.42792956352677E-2</v>
      </c>
      <c r="L19" s="1">
        <v>0.93095192357432999</v>
      </c>
      <c r="M19" s="2" t="s">
        <v>6</v>
      </c>
      <c r="P19" s="1">
        <v>70</v>
      </c>
      <c r="Q19" s="1">
        <v>-1.0851210789000599E-2</v>
      </c>
      <c r="R19" s="1">
        <v>3.1115564616229401</v>
      </c>
      <c r="S19" s="1">
        <v>5.8924410363115998</v>
      </c>
      <c r="T19" s="1">
        <v>1.8393703131264501</v>
      </c>
      <c r="V19" s="1">
        <f t="shared" ref="V19:Y19" si="15">Q20-Q19</f>
        <v>0</v>
      </c>
      <c r="W19" s="1">
        <f t="shared" si="15"/>
        <v>0.44527171544838007</v>
      </c>
      <c r="X19" s="1">
        <f t="shared" si="15"/>
        <v>0.84125897381568038</v>
      </c>
      <c r="Y19" s="1">
        <f t="shared" si="15"/>
        <v>0.26251486149422987</v>
      </c>
    </row>
    <row r="20" spans="2:25" ht="14.25" customHeight="1" x14ac:dyDescent="0.3">
      <c r="B20" s="1">
        <v>-50</v>
      </c>
      <c r="C20" s="1">
        <v>0.17848325964075301</v>
      </c>
      <c r="D20" s="1">
        <v>2.5821702506205599</v>
      </c>
      <c r="E20" s="1">
        <v>17.106000000000002</v>
      </c>
      <c r="F20" s="1">
        <v>88.517196974638097</v>
      </c>
      <c r="G20" s="1" t="s">
        <v>7</v>
      </c>
      <c r="I20" s="1">
        <v>-50</v>
      </c>
      <c r="J20" s="1">
        <v>0.19795864384695</v>
      </c>
      <c r="K20" s="1">
        <v>24.369196469647399</v>
      </c>
      <c r="L20" s="1">
        <v>57.832514855652001</v>
      </c>
      <c r="M20" s="1" t="s">
        <v>7</v>
      </c>
      <c r="P20" s="1">
        <v>80</v>
      </c>
      <c r="Q20" s="1">
        <v>-1.0851210789000599E-2</v>
      </c>
      <c r="R20" s="1">
        <v>3.5568281770713202</v>
      </c>
      <c r="S20" s="1">
        <v>6.7337000101272801</v>
      </c>
      <c r="T20" s="1">
        <v>2.1018851746206799</v>
      </c>
      <c r="V20" s="1">
        <f t="shared" ref="V20:Y20" si="16">Q21-Q20</f>
        <v>0</v>
      </c>
      <c r="W20" s="1">
        <f t="shared" si="16"/>
        <v>0.44527171544845023</v>
      </c>
      <c r="X20" s="1">
        <f t="shared" si="16"/>
        <v>0.84125897381563952</v>
      </c>
      <c r="Y20" s="1">
        <f t="shared" si="16"/>
        <v>0.26251486149423009</v>
      </c>
    </row>
    <row r="21" spans="2:25" ht="14.25" customHeight="1" x14ac:dyDescent="0.3">
      <c r="B21" s="1">
        <v>-50</v>
      </c>
      <c r="C21" s="1">
        <v>0.47579188632047098</v>
      </c>
      <c r="D21" s="1">
        <v>7.1472619360570704</v>
      </c>
      <c r="E21" s="1">
        <v>6.1840000000000002</v>
      </c>
      <c r="F21" s="1">
        <v>86.181704756881203</v>
      </c>
      <c r="G21" s="1" t="s">
        <v>8</v>
      </c>
      <c r="I21" s="1">
        <v>-50</v>
      </c>
      <c r="J21" s="1">
        <v>0.48801828836366501</v>
      </c>
      <c r="K21" s="1">
        <v>13.870979379598401</v>
      </c>
      <c r="L21" s="1">
        <v>74.333840472024306</v>
      </c>
      <c r="M21" s="1" t="s">
        <v>8</v>
      </c>
      <c r="P21" s="1">
        <v>90</v>
      </c>
      <c r="Q21" s="1">
        <v>-1.0851210789000599E-2</v>
      </c>
      <c r="R21" s="1">
        <v>4.0020998925197704</v>
      </c>
      <c r="S21" s="1">
        <v>7.5749589839429197</v>
      </c>
      <c r="T21" s="1">
        <v>2.36440003611491</v>
      </c>
    </row>
    <row r="22" spans="2:25" ht="14.25" customHeight="1" x14ac:dyDescent="0.3">
      <c r="B22" s="1">
        <v>-50</v>
      </c>
      <c r="C22" s="1">
        <v>8.9575619987844801E-2</v>
      </c>
      <c r="D22" s="1">
        <v>3.3476726480363301</v>
      </c>
      <c r="E22" s="1">
        <v>15.348000000000001</v>
      </c>
      <c r="F22" s="1">
        <v>89.129782160890997</v>
      </c>
      <c r="G22" s="1" t="s">
        <v>9</v>
      </c>
      <c r="I22" s="1">
        <v>-50</v>
      </c>
      <c r="J22" s="1">
        <v>9.7629988080190494E-2</v>
      </c>
      <c r="K22" s="1">
        <v>22.287768039051102</v>
      </c>
      <c r="L22" s="1">
        <v>59.830402906655799</v>
      </c>
      <c r="M22" s="1" t="s">
        <v>9</v>
      </c>
    </row>
    <row r="23" spans="2:25" ht="14.25" customHeight="1" x14ac:dyDescent="0.3">
      <c r="B23" s="1">
        <v>-40</v>
      </c>
      <c r="C23" s="3">
        <v>-6.8604126211319199E-16</v>
      </c>
      <c r="D23" s="1">
        <v>1.4320249039572E-2</v>
      </c>
      <c r="E23" s="1">
        <v>0.45800000000000002</v>
      </c>
      <c r="F23" s="1">
        <v>0.59849084074556902</v>
      </c>
      <c r="G23" s="2" t="s">
        <v>6</v>
      </c>
      <c r="I23" s="1">
        <v>-40</v>
      </c>
      <c r="J23" s="3">
        <v>-6.8604126211319997E-16</v>
      </c>
      <c r="K23" s="1">
        <v>1.440881298826E-2</v>
      </c>
      <c r="L23" s="1">
        <v>0.59849084074556902</v>
      </c>
      <c r="M23" s="2" t="s">
        <v>6</v>
      </c>
    </row>
    <row r="24" spans="2:25" ht="14.25" customHeight="1" x14ac:dyDescent="0.3">
      <c r="B24" s="1">
        <v>-40</v>
      </c>
      <c r="C24" s="1">
        <v>0.178517394212486</v>
      </c>
      <c r="D24" s="1">
        <v>2.6435618261780598</v>
      </c>
      <c r="E24" s="1">
        <v>16.228999999999999</v>
      </c>
      <c r="F24" s="1">
        <v>89.546802302462396</v>
      </c>
      <c r="G24" s="1" t="s">
        <v>7</v>
      </c>
      <c r="I24" s="1">
        <v>-40</v>
      </c>
      <c r="J24" s="1">
        <v>0.195961378525142</v>
      </c>
      <c r="K24" s="1">
        <v>22.97629640645</v>
      </c>
      <c r="L24" s="1">
        <v>57.912029349991897</v>
      </c>
      <c r="M24" s="1" t="s">
        <v>7</v>
      </c>
      <c r="V24" s="1">
        <v>385</v>
      </c>
      <c r="W24" s="1">
        <v>400</v>
      </c>
      <c r="X24" s="1">
        <v>560</v>
      </c>
      <c r="Y24" s="1">
        <v>340</v>
      </c>
    </row>
    <row r="25" spans="2:25" ht="14.25" customHeight="1" x14ac:dyDescent="0.3">
      <c r="B25" s="1">
        <v>-40</v>
      </c>
      <c r="C25" s="1">
        <v>0.47535038125137602</v>
      </c>
      <c r="D25" s="1">
        <v>6.7228190312888296</v>
      </c>
      <c r="E25" s="1">
        <v>6.1420000000000003</v>
      </c>
      <c r="F25" s="1">
        <v>86.211663335902699</v>
      </c>
      <c r="G25" s="1" t="s">
        <v>8</v>
      </c>
      <c r="I25" s="1">
        <v>-40</v>
      </c>
      <c r="J25" s="1">
        <v>0.486967961365871</v>
      </c>
      <c r="K25" s="1">
        <v>13.322836800887</v>
      </c>
      <c r="L25" s="1">
        <v>74.168480156641493</v>
      </c>
      <c r="M25" s="1" t="s">
        <v>8</v>
      </c>
    </row>
    <row r="26" spans="2:25" ht="14.25" customHeight="1" x14ac:dyDescent="0.3">
      <c r="B26" s="1">
        <v>-40</v>
      </c>
      <c r="C26" s="1">
        <v>8.9464496335619995E-2</v>
      </c>
      <c r="D26" s="1">
        <v>2.8455431330944698</v>
      </c>
      <c r="E26" s="1">
        <v>15.2</v>
      </c>
      <c r="F26" s="1">
        <v>88.513055135247598</v>
      </c>
      <c r="G26" s="1" t="s">
        <v>9</v>
      </c>
      <c r="I26" s="1">
        <v>-40</v>
      </c>
      <c r="J26" s="1">
        <v>9.6839879384071695E-2</v>
      </c>
      <c r="K26" s="1">
        <v>21.094339790145</v>
      </c>
      <c r="L26" s="1">
        <v>59.859198411876598</v>
      </c>
      <c r="M26" s="1" t="s">
        <v>9</v>
      </c>
      <c r="V26" s="1">
        <f t="shared" ref="V26:Y26" si="17">AVERAGE(V4:V20)</f>
        <v>0</v>
      </c>
      <c r="W26" s="1">
        <f t="shared" si="17"/>
        <v>0.44527171544842781</v>
      </c>
      <c r="X26" s="1">
        <f t="shared" si="17"/>
        <v>0.84125897381566828</v>
      </c>
      <c r="Y26" s="1">
        <f t="shared" si="17"/>
        <v>0.26251486149422509</v>
      </c>
    </row>
    <row r="27" spans="2:25" ht="14.25" customHeight="1" x14ac:dyDescent="0.3">
      <c r="B27" s="1">
        <v>-30</v>
      </c>
      <c r="C27" s="3">
        <v>7.8020378828559802E-16</v>
      </c>
      <c r="D27" s="1">
        <v>1.43672090816073E-2</v>
      </c>
      <c r="E27" s="1">
        <v>0.43</v>
      </c>
      <c r="F27" s="1">
        <v>0.47551386890538599</v>
      </c>
      <c r="G27" s="2" t="s">
        <v>6</v>
      </c>
      <c r="I27" s="1">
        <v>-30</v>
      </c>
      <c r="J27" s="3">
        <v>7.8020378828562603E-16</v>
      </c>
      <c r="K27" s="1">
        <v>1.4677209440525399E-2</v>
      </c>
      <c r="L27" s="1">
        <v>0.47551386890538599</v>
      </c>
      <c r="M27" s="2" t="s">
        <v>6</v>
      </c>
      <c r="V27" s="1">
        <f t="shared" ref="V27:Y27" si="18">AVERAGE(V4:V20)*V24%</f>
        <v>0</v>
      </c>
      <c r="W27" s="1">
        <f t="shared" si="18"/>
        <v>1.7810868617937112</v>
      </c>
      <c r="X27" s="1">
        <f t="shared" si="18"/>
        <v>4.7110502533677421</v>
      </c>
      <c r="Y27" s="1">
        <f t="shared" si="18"/>
        <v>0.89255052908036525</v>
      </c>
    </row>
    <row r="28" spans="2:25" ht="14.25" customHeight="1" x14ac:dyDescent="0.3">
      <c r="B28" s="1">
        <v>-30</v>
      </c>
      <c r="C28" s="1">
        <v>0.17832027035433801</v>
      </c>
      <c r="D28" s="1">
        <v>2.0154071453523099</v>
      </c>
      <c r="E28" s="1">
        <v>16.027999999999999</v>
      </c>
      <c r="F28" s="1">
        <v>87.8998829134148</v>
      </c>
      <c r="G28" s="1" t="s">
        <v>7</v>
      </c>
      <c r="I28" s="1">
        <v>-30</v>
      </c>
      <c r="J28" s="1">
        <v>0.194688443259938</v>
      </c>
      <c r="K28" s="1">
        <v>21.532307079193899</v>
      </c>
      <c r="L28" s="1">
        <v>57.839146712225798</v>
      </c>
      <c r="M28" s="1" t="s">
        <v>7</v>
      </c>
      <c r="V28" s="1">
        <f t="shared" ref="V28:Y28" si="19">_xlfn.STDEV.P(V4:V20)</f>
        <v>7.1785335217266931E-15</v>
      </c>
      <c r="W28" s="1">
        <f t="shared" si="19"/>
        <v>2.1114691917200609E-14</v>
      </c>
      <c r="X28" s="1">
        <f t="shared" si="19"/>
        <v>1.3982096366525652E-14</v>
      </c>
      <c r="Y28" s="1">
        <f t="shared" si="19"/>
        <v>1.2273238103873403E-14</v>
      </c>
    </row>
    <row r="29" spans="2:25" ht="14.25" customHeight="1" x14ac:dyDescent="0.3">
      <c r="B29" s="1">
        <v>-30</v>
      </c>
      <c r="C29" s="1">
        <v>0.47498239485509702</v>
      </c>
      <c r="D29" s="1">
        <v>6.200731647334</v>
      </c>
      <c r="E29" s="1">
        <v>6.093</v>
      </c>
      <c r="F29" s="1">
        <v>86.183165666670504</v>
      </c>
      <c r="G29" s="1" t="s">
        <v>8</v>
      </c>
      <c r="I29" s="1">
        <v>-30</v>
      </c>
      <c r="J29" s="1">
        <v>0.48640878349255701</v>
      </c>
      <c r="K29" s="1">
        <v>12.693647470033399</v>
      </c>
      <c r="L29" s="1">
        <v>73.897571042837598</v>
      </c>
      <c r="M29" s="1" t="s">
        <v>8</v>
      </c>
    </row>
    <row r="30" spans="2:25" ht="14.25" customHeight="1" x14ac:dyDescent="0.3">
      <c r="B30" s="1">
        <v>-30</v>
      </c>
      <c r="C30" s="1">
        <v>8.9369967720144203E-2</v>
      </c>
      <c r="D30" s="1">
        <v>2.2438523822768301</v>
      </c>
      <c r="E30" s="1">
        <v>15.034000000000001</v>
      </c>
      <c r="F30" s="1">
        <v>86.731446513214493</v>
      </c>
      <c r="G30" s="1" t="s">
        <v>9</v>
      </c>
      <c r="I30" s="1">
        <v>-30</v>
      </c>
      <c r="J30" s="1">
        <v>9.6348174680027293E-2</v>
      </c>
      <c r="K30" s="1">
        <v>19.843783955724899</v>
      </c>
      <c r="L30" s="1">
        <v>59.791137420493499</v>
      </c>
      <c r="M30" s="1" t="s">
        <v>9</v>
      </c>
    </row>
    <row r="31" spans="2:25" ht="14.25" customHeight="1" x14ac:dyDescent="0.3">
      <c r="B31" s="1">
        <v>-20</v>
      </c>
      <c r="C31" s="3">
        <v>-1.00515801644112E-15</v>
      </c>
      <c r="D31" s="1">
        <v>1.44786394109345E-2</v>
      </c>
      <c r="E31" s="1">
        <v>0.47899999999999998</v>
      </c>
      <c r="F31" s="1">
        <v>0.42208575362035999</v>
      </c>
      <c r="G31" s="2" t="s">
        <v>6</v>
      </c>
      <c r="I31" s="1">
        <v>-20</v>
      </c>
      <c r="J31" s="3">
        <v>-1.00515801644112E-15</v>
      </c>
      <c r="K31" s="1">
        <v>1.44786394109345E-2</v>
      </c>
      <c r="L31" s="1">
        <v>0.42208575362035999</v>
      </c>
      <c r="M31" s="2" t="s">
        <v>6</v>
      </c>
    </row>
    <row r="32" spans="2:25" ht="14.25" customHeight="1" x14ac:dyDescent="0.3">
      <c r="B32" s="1">
        <v>-20</v>
      </c>
      <c r="C32" s="1">
        <v>0.17832536126440601</v>
      </c>
      <c r="D32" s="1">
        <v>1.60072747381521</v>
      </c>
      <c r="E32" s="1">
        <v>15.231</v>
      </c>
      <c r="F32" s="1">
        <v>87.302091043646399</v>
      </c>
      <c r="G32" s="1" t="s">
        <v>7</v>
      </c>
      <c r="I32" s="1">
        <v>-20</v>
      </c>
      <c r="J32" s="1">
        <v>0.19314718815576001</v>
      </c>
      <c r="K32" s="1">
        <v>19.6485236968153</v>
      </c>
      <c r="L32" s="1">
        <v>57.575191290997097</v>
      </c>
      <c r="M32" s="1" t="s">
        <v>7</v>
      </c>
    </row>
    <row r="33" spans="2:13" ht="14.25" customHeight="1" x14ac:dyDescent="0.3">
      <c r="B33" s="1">
        <v>-20</v>
      </c>
      <c r="C33" s="1">
        <v>0.474521638506823</v>
      </c>
      <c r="D33" s="1">
        <v>5.4989504303971</v>
      </c>
      <c r="E33" s="1">
        <v>6.0380000000000003</v>
      </c>
      <c r="F33" s="1">
        <v>86.034629122382</v>
      </c>
      <c r="G33" s="1" t="s">
        <v>8</v>
      </c>
      <c r="I33" s="1">
        <v>-20</v>
      </c>
      <c r="J33" s="1">
        <v>0.485774489226456</v>
      </c>
      <c r="K33" s="1">
        <v>11.8641135910283</v>
      </c>
      <c r="L33" s="1">
        <v>73.424590103285695</v>
      </c>
      <c r="M33" s="1" t="s">
        <v>8</v>
      </c>
    </row>
    <row r="34" spans="2:13" ht="14.25" customHeight="1" x14ac:dyDescent="0.3">
      <c r="B34" s="1">
        <v>-20</v>
      </c>
      <c r="C34" s="1">
        <v>8.9399813707008696E-2</v>
      </c>
      <c r="D34" s="1">
        <v>2.04262091905417</v>
      </c>
      <c r="E34" s="1">
        <v>14.051</v>
      </c>
      <c r="F34" s="1">
        <v>86.522730730463394</v>
      </c>
      <c r="G34" s="1" t="s">
        <v>9</v>
      </c>
      <c r="I34" s="1">
        <v>-20</v>
      </c>
      <c r="J34" s="1">
        <v>9.5753700513543399E-2</v>
      </c>
      <c r="K34" s="1">
        <v>18.2080882069742</v>
      </c>
      <c r="L34" s="1">
        <v>59.649598491940502</v>
      </c>
      <c r="M34" s="1" t="s">
        <v>9</v>
      </c>
    </row>
    <row r="35" spans="2:13" ht="14.25" customHeight="1" x14ac:dyDescent="0.3">
      <c r="B35" s="1">
        <v>-10</v>
      </c>
      <c r="C35" s="3">
        <v>3.2379162642232401E-15</v>
      </c>
      <c r="D35" s="1">
        <v>1.49812362286249E-2</v>
      </c>
      <c r="E35" s="1">
        <v>0.309</v>
      </c>
      <c r="F35" s="1">
        <v>1.0604753606276001</v>
      </c>
      <c r="G35" s="2" t="s">
        <v>6</v>
      </c>
      <c r="I35" s="1">
        <v>-10</v>
      </c>
      <c r="J35" s="3">
        <v>3.2379162642232401E-15</v>
      </c>
      <c r="K35" s="1">
        <v>1.49812362286249E-2</v>
      </c>
      <c r="L35" s="1">
        <v>1.0604753606276001</v>
      </c>
      <c r="M35" s="2" t="s">
        <v>6</v>
      </c>
    </row>
    <row r="36" spans="2:13" ht="14.25" customHeight="1" x14ac:dyDescent="0.3">
      <c r="B36" s="1">
        <v>-10</v>
      </c>
      <c r="C36" s="1">
        <v>0.17887888488699</v>
      </c>
      <c r="D36" s="1">
        <v>2.4027702085099398</v>
      </c>
      <c r="E36" s="1">
        <v>11.673999999999999</v>
      </c>
      <c r="F36" s="1">
        <v>90.480446228883196</v>
      </c>
      <c r="G36" s="1" t="s">
        <v>7</v>
      </c>
      <c r="I36" s="1">
        <v>-10</v>
      </c>
      <c r="J36" s="1">
        <v>0.18923596696206499</v>
      </c>
      <c r="K36" s="1">
        <v>15.953539552957199</v>
      </c>
      <c r="L36" s="1">
        <v>58.055667938037203</v>
      </c>
      <c r="M36" s="1" t="s">
        <v>7</v>
      </c>
    </row>
    <row r="37" spans="2:13" ht="14.25" customHeight="1" x14ac:dyDescent="0.3">
      <c r="B37" s="1">
        <v>-10</v>
      </c>
      <c r="C37" s="1">
        <v>0.47403644619390101</v>
      </c>
      <c r="D37" s="1">
        <v>4.7023533731228602</v>
      </c>
      <c r="E37" s="1">
        <v>5.0640000000000001</v>
      </c>
      <c r="F37" s="1">
        <v>86.186844778351798</v>
      </c>
      <c r="G37" s="1" t="s">
        <v>8</v>
      </c>
      <c r="I37" s="1">
        <v>-10</v>
      </c>
      <c r="J37" s="1">
        <v>0.482777712558076</v>
      </c>
      <c r="K37" s="1">
        <v>9.89954665510251</v>
      </c>
      <c r="L37" s="1">
        <v>74.107608201524897</v>
      </c>
      <c r="M37" s="1" t="s">
        <v>8</v>
      </c>
    </row>
    <row r="38" spans="2:13" ht="14.25" customHeight="1" x14ac:dyDescent="0.3">
      <c r="B38" s="1">
        <v>-10</v>
      </c>
      <c r="C38" s="1">
        <v>8.9287285707863803E-2</v>
      </c>
      <c r="D38" s="1">
        <v>0.31627347635064301</v>
      </c>
      <c r="E38" s="1">
        <v>15.22</v>
      </c>
      <c r="F38" s="1">
        <v>61.785996660606997</v>
      </c>
      <c r="G38" s="1" t="s">
        <v>9</v>
      </c>
      <c r="I38" s="1">
        <v>-10</v>
      </c>
      <c r="J38" s="1">
        <v>9.4123579044131794E-2</v>
      </c>
      <c r="K38" s="1">
        <v>14.881602855750099</v>
      </c>
      <c r="L38" s="1">
        <v>60.097835049456599</v>
      </c>
      <c r="M38" s="1" t="s">
        <v>9</v>
      </c>
    </row>
    <row r="39" spans="2:13" ht="14.25" customHeight="1" x14ac:dyDescent="0.3">
      <c r="B39" s="1">
        <v>10</v>
      </c>
      <c r="C39" s="3">
        <v>2.4464256218575302E-15</v>
      </c>
      <c r="D39" s="1">
        <v>1.48614253678949E-2</v>
      </c>
      <c r="E39" s="1">
        <v>0.46700000000000003</v>
      </c>
      <c r="F39" s="1">
        <v>0.609536719597781</v>
      </c>
      <c r="G39" s="2" t="s">
        <v>6</v>
      </c>
      <c r="I39" s="1">
        <v>10</v>
      </c>
      <c r="J39" s="3">
        <v>2.4464256218575499E-15</v>
      </c>
      <c r="K39" s="1">
        <v>1.4916369120616699E-2</v>
      </c>
      <c r="L39" s="1">
        <v>0.609536719597781</v>
      </c>
      <c r="M39" s="2" t="s">
        <v>6</v>
      </c>
    </row>
    <row r="40" spans="2:13" ht="14.25" customHeight="1" x14ac:dyDescent="0.3">
      <c r="B40" s="1">
        <v>10</v>
      </c>
      <c r="C40" s="1">
        <v>0.178822554397082</v>
      </c>
      <c r="D40" s="1">
        <v>2.2713210479166501</v>
      </c>
      <c r="E40" s="1">
        <v>11.641</v>
      </c>
      <c r="F40" s="1">
        <v>90.580677010341404</v>
      </c>
      <c r="G40" s="1" t="s">
        <v>7</v>
      </c>
      <c r="I40" s="1">
        <v>10</v>
      </c>
      <c r="J40" s="1">
        <v>0.18891239654785899</v>
      </c>
      <c r="K40" s="1">
        <v>15.685699929922899</v>
      </c>
      <c r="L40" s="1">
        <v>58.128785951462604</v>
      </c>
      <c r="M40" s="1" t="s">
        <v>7</v>
      </c>
    </row>
    <row r="41" spans="2:13" ht="14.25" customHeight="1" x14ac:dyDescent="0.3">
      <c r="B41" s="1">
        <v>10</v>
      </c>
      <c r="C41" s="1">
        <v>0.473926880577905</v>
      </c>
      <c r="D41" s="1">
        <v>4.6108844699559803</v>
      </c>
      <c r="E41" s="1">
        <v>5.0220000000000002</v>
      </c>
      <c r="F41" s="1">
        <v>85.865972826522693</v>
      </c>
      <c r="G41" s="1" t="s">
        <v>8</v>
      </c>
      <c r="I41" s="1">
        <v>10</v>
      </c>
      <c r="J41" s="1">
        <v>0.482446960511416</v>
      </c>
      <c r="K41" s="1">
        <v>9.7336825386278605</v>
      </c>
      <c r="L41" s="1">
        <v>74.338606445513605</v>
      </c>
      <c r="M41" s="1" t="s">
        <v>8</v>
      </c>
    </row>
    <row r="42" spans="2:13" ht="14.25" customHeight="1" x14ac:dyDescent="0.3">
      <c r="B42" s="1">
        <v>10</v>
      </c>
      <c r="C42" s="1">
        <v>8.9285971855529001E-2</v>
      </c>
      <c r="D42" s="1">
        <v>0.246586158411048</v>
      </c>
      <c r="E42" s="1">
        <v>15.333</v>
      </c>
      <c r="F42" s="1">
        <v>59.804591903852099</v>
      </c>
      <c r="G42" s="1" t="s">
        <v>9</v>
      </c>
      <c r="I42" s="1">
        <v>10</v>
      </c>
      <c r="J42" s="1">
        <v>9.3987152955320605E-2</v>
      </c>
      <c r="K42" s="1">
        <v>14.6411824380115</v>
      </c>
      <c r="L42" s="1">
        <v>60.187337511352503</v>
      </c>
      <c r="M42" s="1" t="s">
        <v>9</v>
      </c>
    </row>
    <row r="43" spans="2:13" ht="14.25" customHeight="1" x14ac:dyDescent="0.3">
      <c r="B43" s="1">
        <v>20</v>
      </c>
      <c r="C43" s="3">
        <v>9.3583677392793096E-16</v>
      </c>
      <c r="D43" s="1">
        <v>1.44487412498763E-2</v>
      </c>
      <c r="E43" s="1">
        <v>0.47699999999999998</v>
      </c>
      <c r="F43" s="1">
        <v>0.34965896705413402</v>
      </c>
      <c r="G43" s="2" t="s">
        <v>6</v>
      </c>
      <c r="I43" s="1">
        <v>20</v>
      </c>
      <c r="J43" s="3">
        <v>9.3583677392793707E-16</v>
      </c>
      <c r="K43" s="1">
        <v>1.44487412498763E-2</v>
      </c>
      <c r="L43" s="1">
        <v>0.34965896705413402</v>
      </c>
      <c r="M43" s="2" t="s">
        <v>6</v>
      </c>
    </row>
    <row r="44" spans="2:13" ht="14.25" customHeight="1" x14ac:dyDescent="0.3">
      <c r="B44" s="1">
        <v>20</v>
      </c>
      <c r="C44" s="1">
        <v>0.17825754263033999</v>
      </c>
      <c r="D44" s="1">
        <v>1.45552809220063</v>
      </c>
      <c r="E44" s="1">
        <v>15.177</v>
      </c>
      <c r="F44" s="1">
        <v>86.1241991815521</v>
      </c>
      <c r="G44" s="1" t="s">
        <v>7</v>
      </c>
      <c r="I44" s="1">
        <v>20</v>
      </c>
      <c r="J44" s="1">
        <v>0.192527561025025</v>
      </c>
      <c r="K44" s="1">
        <v>19.2000777492234</v>
      </c>
      <c r="L44" s="1">
        <v>57.763933673307697</v>
      </c>
      <c r="M44" s="1" t="s">
        <v>7</v>
      </c>
    </row>
    <row r="45" spans="2:13" ht="14.25" customHeight="1" x14ac:dyDescent="0.3">
      <c r="B45" s="1">
        <v>20</v>
      </c>
      <c r="C45" s="1">
        <v>0.47513356162826598</v>
      </c>
      <c r="D45" s="1">
        <v>5.92222343956493</v>
      </c>
      <c r="E45" s="1">
        <v>5.3239999999999998</v>
      </c>
      <c r="F45" s="1">
        <v>86.823310758986395</v>
      </c>
      <c r="G45" s="1" t="s">
        <v>8</v>
      </c>
      <c r="I45" s="1">
        <v>20</v>
      </c>
      <c r="J45" s="1">
        <v>0.485161646977811</v>
      </c>
      <c r="K45" s="1">
        <v>11.5867996987366</v>
      </c>
      <c r="L45" s="1">
        <v>73.765451114616795</v>
      </c>
      <c r="M45" s="1" t="s">
        <v>8</v>
      </c>
    </row>
    <row r="46" spans="2:13" ht="14.25" customHeight="1" x14ac:dyDescent="0.3">
      <c r="B46" s="1">
        <v>20</v>
      </c>
      <c r="C46" s="1">
        <v>8.9483448339274699E-2</v>
      </c>
      <c r="D46" s="1">
        <v>2.4598835959655898</v>
      </c>
      <c r="E46" s="1">
        <v>13.231</v>
      </c>
      <c r="F46" s="1">
        <v>88.6366646812711</v>
      </c>
      <c r="G46" s="1" t="s">
        <v>9</v>
      </c>
      <c r="I46" s="1">
        <v>20</v>
      </c>
      <c r="J46" s="1">
        <v>9.54865794164554E-2</v>
      </c>
      <c r="K46" s="1">
        <v>17.7942943832774</v>
      </c>
      <c r="L46" s="1">
        <v>59.8531535298482</v>
      </c>
      <c r="M46" s="1" t="s">
        <v>9</v>
      </c>
    </row>
    <row r="47" spans="2:13" ht="14.25" customHeight="1" x14ac:dyDescent="0.3">
      <c r="B47" s="1">
        <v>30</v>
      </c>
      <c r="C47" s="3">
        <v>6.2416303062846805E-16</v>
      </c>
      <c r="D47" s="1">
        <v>1.42815848378396E-2</v>
      </c>
      <c r="E47" s="1">
        <v>0.33600000000000002</v>
      </c>
      <c r="F47" s="1">
        <v>0.34270628143975301</v>
      </c>
      <c r="G47" s="2" t="s">
        <v>6</v>
      </c>
      <c r="I47" s="1">
        <v>30</v>
      </c>
      <c r="J47" s="3">
        <v>6.2416303062847998E-16</v>
      </c>
      <c r="K47" s="1">
        <v>1.42815848378396E-2</v>
      </c>
      <c r="L47" s="1">
        <v>0.34270628143975301</v>
      </c>
      <c r="M47" s="2" t="s">
        <v>6</v>
      </c>
    </row>
    <row r="48" spans="2:13" ht="14.25" customHeight="1" x14ac:dyDescent="0.3">
      <c r="B48" s="1">
        <v>30</v>
      </c>
      <c r="C48" s="1">
        <v>0.178293033836461</v>
      </c>
      <c r="D48" s="1">
        <v>1.96093873928045</v>
      </c>
      <c r="E48" s="1">
        <v>16.006</v>
      </c>
      <c r="F48" s="1">
        <v>87.648313301494099</v>
      </c>
      <c r="G48" s="1" t="s">
        <v>7</v>
      </c>
      <c r="I48" s="1">
        <v>30</v>
      </c>
      <c r="J48" s="1">
        <v>0.19447366339515801</v>
      </c>
      <c r="K48" s="1">
        <v>21.378040432180001</v>
      </c>
      <c r="L48" s="1">
        <v>57.861480252505999</v>
      </c>
      <c r="M48" s="1" t="s">
        <v>7</v>
      </c>
    </row>
    <row r="49" spans="2:13" ht="14.25" customHeight="1" x14ac:dyDescent="0.3">
      <c r="B49" s="1">
        <v>30</v>
      </c>
      <c r="C49" s="1">
        <v>0.47492617741376297</v>
      </c>
      <c r="D49" s="1">
        <v>6.1472497196262701</v>
      </c>
      <c r="E49" s="1">
        <v>6.09</v>
      </c>
      <c r="F49" s="1">
        <v>86.1943495893576</v>
      </c>
      <c r="G49" s="1" t="s">
        <v>8</v>
      </c>
      <c r="I49" s="1">
        <v>30</v>
      </c>
      <c r="J49" s="1">
        <v>0.48628681747240099</v>
      </c>
      <c r="K49" s="1">
        <v>12.628504310156</v>
      </c>
      <c r="L49" s="1">
        <v>73.870393414629504</v>
      </c>
      <c r="M49" s="1" t="s">
        <v>8</v>
      </c>
    </row>
    <row r="50" spans="2:13" ht="14.25" customHeight="1" x14ac:dyDescent="0.3">
      <c r="B50" s="1">
        <v>30</v>
      </c>
      <c r="C50" s="1">
        <v>8.93581923056809E-2</v>
      </c>
      <c r="D50" s="1">
        <v>2.1907207228094401</v>
      </c>
      <c r="E50" s="1">
        <v>15.015000000000001</v>
      </c>
      <c r="F50" s="1">
        <v>86.479513590931901</v>
      </c>
      <c r="G50" s="1" t="s">
        <v>9</v>
      </c>
      <c r="I50" s="1">
        <v>30</v>
      </c>
      <c r="J50" s="1">
        <v>9.6260888765639097E-2</v>
      </c>
      <c r="K50" s="1">
        <v>19.708188702350501</v>
      </c>
      <c r="L50" s="1">
        <v>59.809998309701598</v>
      </c>
      <c r="M50" s="1" t="s">
        <v>9</v>
      </c>
    </row>
    <row r="51" spans="2:13" ht="14.25" customHeight="1" x14ac:dyDescent="0.3">
      <c r="B51" s="1">
        <v>40</v>
      </c>
      <c r="C51" s="3">
        <v>5.2269810446720003E-16</v>
      </c>
      <c r="D51" s="1">
        <v>1.46240386357684E-2</v>
      </c>
      <c r="E51" s="1">
        <v>0.34499999999999997</v>
      </c>
      <c r="F51" s="1">
        <v>0.434625962991109</v>
      </c>
      <c r="G51" s="2" t="s">
        <v>6</v>
      </c>
      <c r="I51" s="1">
        <v>40</v>
      </c>
      <c r="J51" s="3">
        <v>5.2269810446720003E-16</v>
      </c>
      <c r="K51" s="1">
        <v>1.4271562412248801E-2</v>
      </c>
      <c r="L51" s="1">
        <v>0.434625962991109</v>
      </c>
      <c r="M51" s="2" t="s">
        <v>6</v>
      </c>
    </row>
    <row r="52" spans="2:13" ht="14.25" customHeight="1" x14ac:dyDescent="0.3">
      <c r="B52" s="1">
        <v>40</v>
      </c>
      <c r="C52" s="1">
        <v>0.17847275933988299</v>
      </c>
      <c r="D52" s="1">
        <v>2.5507742864490699</v>
      </c>
      <c r="E52" s="1">
        <v>16.196000000000002</v>
      </c>
      <c r="F52" s="1">
        <v>89.409591599150303</v>
      </c>
      <c r="G52" s="1" t="s">
        <v>7</v>
      </c>
      <c r="I52" s="1">
        <v>40</v>
      </c>
      <c r="J52" s="1">
        <v>0.195616578654877</v>
      </c>
      <c r="K52" s="1">
        <v>22.729265656715501</v>
      </c>
      <c r="L52" s="1">
        <v>57.932506171252697</v>
      </c>
      <c r="M52" s="1" t="s">
        <v>7</v>
      </c>
    </row>
    <row r="53" spans="2:13" ht="14.25" customHeight="1" x14ac:dyDescent="0.3">
      <c r="B53" s="1">
        <v>40</v>
      </c>
      <c r="C53" s="1">
        <v>0.47527071718271302</v>
      </c>
      <c r="D53" s="1">
        <v>6.6442837641277297</v>
      </c>
      <c r="E53" s="1">
        <v>6.1369999999999996</v>
      </c>
      <c r="F53" s="1">
        <v>86.219353375330101</v>
      </c>
      <c r="G53" s="1" t="s">
        <v>8</v>
      </c>
      <c r="I53" s="1">
        <v>40</v>
      </c>
      <c r="J53" s="1">
        <v>0.48678679475610098</v>
      </c>
      <c r="K53" s="1">
        <v>13.225178339752301</v>
      </c>
      <c r="L53" s="1">
        <v>74.128478080291799</v>
      </c>
      <c r="M53" s="1" t="s">
        <v>8</v>
      </c>
    </row>
    <row r="54" spans="2:13" ht="14.25" customHeight="1" x14ac:dyDescent="0.3">
      <c r="B54" s="1">
        <v>40</v>
      </c>
      <c r="C54" s="1">
        <v>8.9444083855822906E-2</v>
      </c>
      <c r="D54" s="1">
        <v>2.7546111604916499</v>
      </c>
      <c r="E54" s="1">
        <v>15.173</v>
      </c>
      <c r="F54" s="1">
        <v>88.342455729753397</v>
      </c>
      <c r="G54" s="1" t="s">
        <v>9</v>
      </c>
      <c r="I54" s="1">
        <v>40</v>
      </c>
      <c r="J54" s="1">
        <v>9.6703284919929799E-2</v>
      </c>
      <c r="K54" s="1">
        <v>20.882504942889</v>
      </c>
      <c r="L54" s="1">
        <v>59.868429825098097</v>
      </c>
      <c r="M54" s="1" t="s">
        <v>9</v>
      </c>
    </row>
    <row r="55" spans="2:13" ht="14.25" customHeight="1" x14ac:dyDescent="0.3">
      <c r="B55" s="1">
        <v>50</v>
      </c>
      <c r="C55" s="3">
        <v>-5.7496791491392101E-16</v>
      </c>
      <c r="D55" s="1">
        <v>1.4255102295434301E-2</v>
      </c>
      <c r="E55" s="1">
        <v>0.42399999999999999</v>
      </c>
      <c r="F55" s="1">
        <v>0.77839091024151097</v>
      </c>
      <c r="G55" s="2" t="s">
        <v>6</v>
      </c>
      <c r="I55" s="1">
        <v>50</v>
      </c>
      <c r="J55" s="3">
        <v>-5.7496791491393196E-16</v>
      </c>
      <c r="K55" s="1">
        <v>1.4420861818764501E-2</v>
      </c>
      <c r="L55" s="1">
        <v>0.77839091024151097</v>
      </c>
      <c r="M55" s="2" t="s">
        <v>6</v>
      </c>
    </row>
    <row r="56" spans="2:13" ht="14.25" customHeight="1" x14ac:dyDescent="0.3">
      <c r="B56" s="1">
        <v>50</v>
      </c>
      <c r="C56" s="1">
        <v>0.17843237877969001</v>
      </c>
      <c r="D56" s="1">
        <v>2.4923838304514199</v>
      </c>
      <c r="E56" s="1">
        <v>17.056000000000001</v>
      </c>
      <c r="F56" s="1">
        <v>88.220342410526399</v>
      </c>
      <c r="G56" s="1" t="s">
        <v>7</v>
      </c>
      <c r="I56" s="1">
        <v>50</v>
      </c>
      <c r="J56" s="1">
        <v>0.19751607346397401</v>
      </c>
      <c r="K56" s="1">
        <v>24.06878878353</v>
      </c>
      <c r="L56" s="1">
        <v>57.8944076975271</v>
      </c>
      <c r="M56" s="1" t="s">
        <v>7</v>
      </c>
    </row>
    <row r="57" spans="2:13" ht="14.25" customHeight="1" x14ac:dyDescent="0.3">
      <c r="B57" s="1">
        <v>50</v>
      </c>
      <c r="C57" s="1">
        <v>0.47568187205038198</v>
      </c>
      <c r="D57" s="1">
        <v>7.0519565523369199</v>
      </c>
      <c r="E57" s="1">
        <v>6.1740000000000004</v>
      </c>
      <c r="F57" s="1">
        <v>86.212884715689597</v>
      </c>
      <c r="G57" s="1" t="s">
        <v>8</v>
      </c>
      <c r="I57" s="1">
        <v>50</v>
      </c>
      <c r="J57" s="1">
        <v>0.48776955453746501</v>
      </c>
      <c r="K57" s="1">
        <v>13.746530280496099</v>
      </c>
      <c r="L57" s="1">
        <v>74.316166973166204</v>
      </c>
      <c r="M57" s="1" t="s">
        <v>8</v>
      </c>
    </row>
    <row r="58" spans="2:13" ht="14.25" customHeight="1" x14ac:dyDescent="0.3">
      <c r="B58" s="1">
        <v>50</v>
      </c>
      <c r="C58" s="1">
        <v>8.9547500135564395E-2</v>
      </c>
      <c r="D58" s="1">
        <v>3.2446367010387398</v>
      </c>
      <c r="E58" s="1">
        <v>15.308999999999999</v>
      </c>
      <c r="F58" s="1">
        <v>89.047289095757606</v>
      </c>
      <c r="G58" s="1" t="s">
        <v>9</v>
      </c>
      <c r="I58" s="1">
        <v>50</v>
      </c>
      <c r="J58" s="1">
        <v>9.7451342193886098E-2</v>
      </c>
      <c r="K58" s="1">
        <v>22.025379888857302</v>
      </c>
      <c r="L58" s="1">
        <v>59.875480985770899</v>
      </c>
      <c r="M58" s="1" t="s">
        <v>9</v>
      </c>
    </row>
    <row r="59" spans="2:13" ht="14.25" customHeight="1" x14ac:dyDescent="0.3">
      <c r="B59" s="1">
        <v>60</v>
      </c>
      <c r="C59" s="3">
        <v>4.4766795073578103E-16</v>
      </c>
      <c r="D59" s="1">
        <v>1.4344460140174001E-2</v>
      </c>
      <c r="E59" s="1">
        <v>0.49</v>
      </c>
      <c r="F59" s="1">
        <v>0.66188792352828196</v>
      </c>
      <c r="G59" s="2" t="s">
        <v>6</v>
      </c>
      <c r="I59" s="1">
        <v>60</v>
      </c>
      <c r="J59" s="3">
        <v>4.4766795073530101E-16</v>
      </c>
      <c r="K59" s="1">
        <v>1.4142573202445601E-2</v>
      </c>
      <c r="L59" s="1">
        <v>0.66188792352828196</v>
      </c>
      <c r="M59" s="2" t="s">
        <v>6</v>
      </c>
    </row>
    <row r="60" spans="2:13" ht="14.25" customHeight="1" x14ac:dyDescent="0.3">
      <c r="B60" s="1">
        <v>60</v>
      </c>
      <c r="C60" s="1">
        <v>0.17863890370222699</v>
      </c>
      <c r="D60" s="1">
        <v>3.4553420519529601</v>
      </c>
      <c r="E60" s="1">
        <v>19.202000000000002</v>
      </c>
      <c r="F60" s="1">
        <v>90.169167567739905</v>
      </c>
      <c r="G60" s="1" t="s">
        <v>7</v>
      </c>
      <c r="I60" s="1">
        <v>60</v>
      </c>
      <c r="J60" s="1">
        <v>0.20511456777468301</v>
      </c>
      <c r="K60" s="1">
        <v>30.274528968723999</v>
      </c>
      <c r="L60" s="1">
        <v>57.669269909091803</v>
      </c>
      <c r="M60" s="1" t="s">
        <v>7</v>
      </c>
    </row>
    <row r="61" spans="2:13" ht="14.25" customHeight="1" x14ac:dyDescent="0.3">
      <c r="B61" s="1">
        <v>60</v>
      </c>
      <c r="C61" s="1">
        <v>0.47665407126688503</v>
      </c>
      <c r="D61" s="1">
        <v>8.2328301162774498</v>
      </c>
      <c r="E61" s="1">
        <v>7.4249999999999998</v>
      </c>
      <c r="F61" s="1">
        <v>87.728878775966194</v>
      </c>
      <c r="G61" s="1" t="s">
        <v>8</v>
      </c>
      <c r="I61" s="1">
        <v>60</v>
      </c>
      <c r="J61" s="1">
        <v>0.49334390114863802</v>
      </c>
      <c r="K61" s="1">
        <v>16.807621895393201</v>
      </c>
      <c r="L61" s="1">
        <v>72.527716940382803</v>
      </c>
      <c r="M61" s="1" t="s">
        <v>8</v>
      </c>
    </row>
    <row r="62" spans="2:13" ht="14.25" customHeight="1" x14ac:dyDescent="0.3">
      <c r="B62" s="1">
        <v>60</v>
      </c>
      <c r="C62" s="1">
        <v>8.9655348274898003E-2</v>
      </c>
      <c r="D62" s="1">
        <v>4.1525533918198096</v>
      </c>
      <c r="E62" s="1">
        <v>17.425000000000001</v>
      </c>
      <c r="F62" s="1">
        <v>90.032376981365601</v>
      </c>
      <c r="G62" s="1" t="s">
        <v>9</v>
      </c>
      <c r="I62" s="1">
        <v>60</v>
      </c>
      <c r="J62" s="1">
        <v>0.100490637741843</v>
      </c>
      <c r="K62" s="1">
        <v>27.416384142309202</v>
      </c>
      <c r="L62" s="1">
        <v>59.501655850826602</v>
      </c>
      <c r="M62" s="1" t="s">
        <v>9</v>
      </c>
    </row>
    <row r="63" spans="2:13" ht="14.25" customHeight="1" x14ac:dyDescent="0.3">
      <c r="B63" s="1">
        <v>70</v>
      </c>
      <c r="C63" s="3">
        <v>-4.2785369035017E-16</v>
      </c>
      <c r="D63" s="1">
        <v>1.41250678608432E-2</v>
      </c>
      <c r="E63" s="1">
        <v>0.50700000000000001</v>
      </c>
      <c r="F63" s="1">
        <v>0.80905324466095097</v>
      </c>
      <c r="G63" s="2" t="s">
        <v>6</v>
      </c>
      <c r="I63" s="1">
        <v>70</v>
      </c>
      <c r="J63" s="3">
        <v>-4.2785369035016798E-16</v>
      </c>
      <c r="K63" s="1">
        <v>1.41250678608432E-2</v>
      </c>
      <c r="L63" s="1">
        <v>0.80905324466095097</v>
      </c>
      <c r="M63" s="2" t="s">
        <v>6</v>
      </c>
    </row>
    <row r="64" spans="2:13" ht="14.25" customHeight="1" x14ac:dyDescent="0.3">
      <c r="B64" s="1">
        <v>70</v>
      </c>
      <c r="C64" s="1">
        <v>0.17872524915624999</v>
      </c>
      <c r="D64" s="1">
        <v>3.7387852285049901</v>
      </c>
      <c r="E64" s="1">
        <v>19.324999999999999</v>
      </c>
      <c r="F64" s="1">
        <v>90.421546822022506</v>
      </c>
      <c r="G64" s="1" t="s">
        <v>7</v>
      </c>
      <c r="I64" s="1">
        <v>70</v>
      </c>
      <c r="J64" s="1">
        <v>0.20489881046129099</v>
      </c>
      <c r="K64" s="1">
        <v>30.805292388571502</v>
      </c>
      <c r="L64" s="1">
        <v>57.6806020786522</v>
      </c>
      <c r="M64" s="1" t="s">
        <v>7</v>
      </c>
    </row>
    <row r="65" spans="2:13" ht="14.25" customHeight="1" x14ac:dyDescent="0.3">
      <c r="B65" s="1">
        <v>70</v>
      </c>
      <c r="C65" s="1">
        <v>0.47666395757662</v>
      </c>
      <c r="D65" s="1">
        <v>8.4562942338747806</v>
      </c>
      <c r="E65" s="1">
        <v>7.4720000000000004</v>
      </c>
      <c r="F65" s="1">
        <v>87.772330522090797</v>
      </c>
      <c r="G65" s="1" t="s">
        <v>8</v>
      </c>
      <c r="I65" s="1">
        <v>70</v>
      </c>
      <c r="J65" s="1">
        <v>0.49311369138081801</v>
      </c>
      <c r="K65" s="1">
        <v>17.092683350608802</v>
      </c>
      <c r="L65" s="1">
        <v>72.606133057718907</v>
      </c>
      <c r="M65" s="1" t="s">
        <v>8</v>
      </c>
    </row>
    <row r="66" spans="2:13" ht="14.25" customHeight="1" x14ac:dyDescent="0.3">
      <c r="B66" s="1">
        <v>70</v>
      </c>
      <c r="C66" s="1">
        <v>8.9554634211349696E-2</v>
      </c>
      <c r="D66" s="1">
        <v>3.9228173717911501</v>
      </c>
      <c r="E66" s="1">
        <v>18.117999999999999</v>
      </c>
      <c r="F66" s="1">
        <v>89.456245409733498</v>
      </c>
      <c r="G66" s="1" t="s">
        <v>9</v>
      </c>
      <c r="I66" s="1">
        <v>70</v>
      </c>
      <c r="J66" s="1">
        <v>0.10040696403022099</v>
      </c>
      <c r="K66" s="1">
        <v>27.911674208516501</v>
      </c>
      <c r="L66" s="1">
        <v>59.556569560092797</v>
      </c>
      <c r="M66" s="1" t="s">
        <v>9</v>
      </c>
    </row>
    <row r="67" spans="2:13" ht="14.25" customHeight="1" x14ac:dyDescent="0.3">
      <c r="B67" s="1">
        <v>80</v>
      </c>
      <c r="C67" s="3">
        <v>-3.2853051223316498E-16</v>
      </c>
      <c r="D67" s="1">
        <v>1.4019870618443399E-2</v>
      </c>
      <c r="E67" s="1">
        <v>0.47699999999999998</v>
      </c>
      <c r="F67" s="1">
        <v>0.59065790364484205</v>
      </c>
      <c r="G67" s="2" t="s">
        <v>6</v>
      </c>
      <c r="I67" s="1">
        <v>80</v>
      </c>
      <c r="J67" s="3">
        <v>-3.2853051223316498E-16</v>
      </c>
      <c r="K67" s="1">
        <v>1.4019870618443399E-2</v>
      </c>
      <c r="L67" s="1">
        <v>0.59065790364484205</v>
      </c>
      <c r="M67" s="2" t="s">
        <v>6</v>
      </c>
    </row>
    <row r="68" spans="2:13" ht="14.25" customHeight="1" x14ac:dyDescent="0.3">
      <c r="B68" s="1">
        <v>80</v>
      </c>
      <c r="C68" s="1">
        <v>0.178540029656509</v>
      </c>
      <c r="D68" s="1">
        <v>3.3726383280615502</v>
      </c>
      <c r="E68" s="1">
        <v>20.105</v>
      </c>
      <c r="F68" s="1">
        <v>89.539607856038899</v>
      </c>
      <c r="G68" s="1" t="s">
        <v>7</v>
      </c>
      <c r="I68" s="1">
        <v>80</v>
      </c>
      <c r="J68" s="1">
        <v>0.20616342802040299</v>
      </c>
      <c r="K68" s="1">
        <v>31.6137773198666</v>
      </c>
      <c r="L68" s="1">
        <v>57.613149598698598</v>
      </c>
      <c r="M68" s="1" t="s">
        <v>7</v>
      </c>
    </row>
    <row r="69" spans="2:13" ht="14.25" customHeight="1" x14ac:dyDescent="0.3">
      <c r="B69" s="1">
        <v>80</v>
      </c>
      <c r="C69" s="1">
        <v>0.47618142271045799</v>
      </c>
      <c r="D69" s="1">
        <v>8.1610564089420201</v>
      </c>
      <c r="E69" s="1">
        <v>8.0340000000000007</v>
      </c>
      <c r="F69" s="1">
        <v>87.384781919417605</v>
      </c>
      <c r="G69" s="1" t="s">
        <v>8</v>
      </c>
      <c r="I69" s="1">
        <v>80</v>
      </c>
      <c r="J69" s="1">
        <v>0.49379477532518001</v>
      </c>
      <c r="K69" s="1">
        <v>17.392118257798199</v>
      </c>
      <c r="L69" s="1">
        <v>72.614911910137494</v>
      </c>
      <c r="M69" s="1" t="s">
        <v>8</v>
      </c>
    </row>
    <row r="70" spans="2:13" ht="14.25" customHeight="1" x14ac:dyDescent="0.3">
      <c r="B70" s="1">
        <v>80</v>
      </c>
      <c r="C70" s="1">
        <v>8.9609486956159098E-2</v>
      </c>
      <c r="D70" s="1">
        <v>4.1312186487393898</v>
      </c>
      <c r="E70" s="1">
        <v>18.221</v>
      </c>
      <c r="F70" s="1">
        <v>89.634865311224999</v>
      </c>
      <c r="G70" s="1" t="s">
        <v>9</v>
      </c>
      <c r="I70" s="1">
        <v>80</v>
      </c>
      <c r="J70" s="1">
        <v>0.10090227284173101</v>
      </c>
      <c r="K70" s="1">
        <v>28.590992708607299</v>
      </c>
      <c r="L70" s="1">
        <v>59.5012138544637</v>
      </c>
      <c r="M70" s="1" t="s">
        <v>9</v>
      </c>
    </row>
    <row r="71" spans="2:13" ht="14.25" customHeight="1" x14ac:dyDescent="0.3">
      <c r="B71" s="1">
        <v>90</v>
      </c>
      <c r="C71" s="3">
        <v>2.7460588821645998E-16</v>
      </c>
      <c r="D71" s="1">
        <v>1.3954321190163699E-2</v>
      </c>
      <c r="E71" s="1">
        <v>0.36099999999999999</v>
      </c>
      <c r="F71" s="1">
        <v>0.530338910786465</v>
      </c>
      <c r="G71" s="2" t="s">
        <v>6</v>
      </c>
      <c r="I71" s="1">
        <v>90</v>
      </c>
      <c r="J71" s="3">
        <v>2.7460588821658299E-16</v>
      </c>
      <c r="K71" s="1">
        <v>1.4560616404815201E-2</v>
      </c>
      <c r="L71" s="1">
        <v>0.530338910786465</v>
      </c>
      <c r="M71" s="2" t="s">
        <v>6</v>
      </c>
    </row>
    <row r="72" spans="2:13" ht="14.25" customHeight="1" x14ac:dyDescent="0.3">
      <c r="B72" s="1">
        <v>90</v>
      </c>
      <c r="C72" s="1">
        <v>0.17865075074724299</v>
      </c>
      <c r="D72" s="1">
        <v>3.5515487606317899</v>
      </c>
      <c r="E72" s="1">
        <v>20.190999999999999</v>
      </c>
      <c r="F72" s="1">
        <v>89.842907136577693</v>
      </c>
      <c r="G72" s="1" t="s">
        <v>7</v>
      </c>
      <c r="I72" s="1">
        <v>90</v>
      </c>
      <c r="J72" s="1">
        <v>0.20831031425319599</v>
      </c>
      <c r="K72" s="1">
        <v>32.606332040908697</v>
      </c>
      <c r="L72" s="1">
        <v>57.543851459376199</v>
      </c>
      <c r="M72" s="1" t="s">
        <v>7</v>
      </c>
    </row>
    <row r="73" spans="2:13" ht="14.25" customHeight="1" x14ac:dyDescent="0.3">
      <c r="B73" s="1">
        <v>90</v>
      </c>
      <c r="C73" s="1">
        <v>0.47647634586637</v>
      </c>
      <c r="D73" s="1">
        <v>8.3315125166105997</v>
      </c>
      <c r="E73" s="1">
        <v>8.0640000000000001</v>
      </c>
      <c r="F73" s="1">
        <v>87.406313678712607</v>
      </c>
      <c r="G73" s="1" t="s">
        <v>8</v>
      </c>
      <c r="I73" s="1">
        <v>90</v>
      </c>
      <c r="J73" s="1">
        <v>0.49495573273335303</v>
      </c>
      <c r="K73" s="1">
        <v>17.695822945291201</v>
      </c>
      <c r="L73" s="1">
        <v>72.609166823897695</v>
      </c>
      <c r="M73" s="1" t="s">
        <v>8</v>
      </c>
    </row>
    <row r="74" spans="2:13" ht="14.25" customHeight="1" x14ac:dyDescent="0.3">
      <c r="B74" s="1">
        <v>90</v>
      </c>
      <c r="C74" s="1">
        <v>8.9667282409304203E-2</v>
      </c>
      <c r="D74" s="1">
        <v>4.31328318198356</v>
      </c>
      <c r="E74" s="1">
        <v>18.303000000000001</v>
      </c>
      <c r="F74" s="1">
        <v>89.716284069306198</v>
      </c>
      <c r="G74" s="1" t="s">
        <v>9</v>
      </c>
      <c r="I74" s="1">
        <v>90</v>
      </c>
      <c r="J74" s="1">
        <v>0.101739026797268</v>
      </c>
      <c r="K74" s="1">
        <v>29.3972455014279</v>
      </c>
      <c r="L74" s="1">
        <v>59.442506653218402</v>
      </c>
      <c r="M74" s="1" t="s">
        <v>9</v>
      </c>
    </row>
    <row r="75" spans="2:13" ht="14.25" customHeight="1" x14ac:dyDescent="0.3"/>
    <row r="76" spans="2:13" ht="14.25" customHeight="1" x14ac:dyDescent="0.3"/>
    <row r="77" spans="2:13" ht="14.25" customHeight="1" x14ac:dyDescent="0.3"/>
    <row r="78" spans="2:13" ht="14.25" customHeight="1" x14ac:dyDescent="0.3"/>
    <row r="79" spans="2:13" ht="14.25" customHeight="1" x14ac:dyDescent="0.3"/>
    <row r="80" spans="2:13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J87" s="1">
        <v>-30</v>
      </c>
      <c r="K87" s="1">
        <v>-20</v>
      </c>
      <c r="L87" s="1">
        <v>-10</v>
      </c>
      <c r="M87" s="1">
        <v>10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Y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-90</v>
      </c>
      <c r="C3" s="3">
        <v>0.74802720072081996</v>
      </c>
      <c r="D3" s="1">
        <v>11.4344230105243</v>
      </c>
      <c r="E3" s="1">
        <v>12.372999999999999</v>
      </c>
      <c r="F3" s="1">
        <v>87.171892446836097</v>
      </c>
      <c r="G3" s="2" t="s">
        <v>6</v>
      </c>
      <c r="I3" s="1">
        <v>-90</v>
      </c>
      <c r="J3" s="3">
        <v>0.80996444873170204</v>
      </c>
      <c r="K3" s="1">
        <v>28.403998504117698</v>
      </c>
      <c r="L3" s="1">
        <v>69.425610305842198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-90</v>
      </c>
      <c r="C4" s="1">
        <v>0.19144408292204301</v>
      </c>
      <c r="D4" s="1">
        <v>4.9021934614848002</v>
      </c>
      <c r="E4" s="1">
        <v>30.37</v>
      </c>
      <c r="F4" s="1">
        <v>94.092987806075897</v>
      </c>
      <c r="G4" s="1" t="s">
        <v>7</v>
      </c>
      <c r="I4" s="1">
        <v>-90</v>
      </c>
      <c r="J4" s="1">
        <v>0.32097855220371202</v>
      </c>
      <c r="K4" s="1">
        <v>86.844974263280207</v>
      </c>
      <c r="L4" s="1">
        <v>53.891836557349102</v>
      </c>
      <c r="M4" s="1" t="s">
        <v>7</v>
      </c>
      <c r="P4" s="1">
        <v>-90</v>
      </c>
      <c r="Q4" s="1">
        <v>-17.181110906031201</v>
      </c>
      <c r="R4" s="1">
        <v>-4.2886102477147299</v>
      </c>
      <c r="S4" s="1">
        <v>-5.3747850646344597</v>
      </c>
      <c r="T4" s="1">
        <v>-2.52347976545874</v>
      </c>
      <c r="V4" s="1">
        <f t="shared" ref="V4:Y4" si="0">Q5-Q4</f>
        <v>1.9078066328047001</v>
      </c>
      <c r="W4" s="1">
        <f t="shared" si="0"/>
        <v>0.47591830013316994</v>
      </c>
      <c r="X4" s="1">
        <f t="shared" si="0"/>
        <v>0.59760147602624958</v>
      </c>
      <c r="Y4" s="1">
        <f t="shared" si="0"/>
        <v>0.28058289423618987</v>
      </c>
    </row>
    <row r="5" spans="2:25" ht="14.25" customHeight="1" x14ac:dyDescent="0.3">
      <c r="B5" s="1">
        <v>-90</v>
      </c>
      <c r="C5" s="1">
        <v>0.33621640861412999</v>
      </c>
      <c r="D5" s="1">
        <v>4.57822595164596</v>
      </c>
      <c r="E5" s="1">
        <v>28.667999999999999</v>
      </c>
      <c r="F5" s="1">
        <v>96.064411982212107</v>
      </c>
      <c r="G5" s="1" t="s">
        <v>8</v>
      </c>
      <c r="I5" s="1">
        <v>-90</v>
      </c>
      <c r="J5" s="1">
        <v>0.50687306978811997</v>
      </c>
      <c r="K5" s="1">
        <v>71.111286459079395</v>
      </c>
      <c r="L5" s="1">
        <v>53.276624345129697</v>
      </c>
      <c r="M5" s="1" t="s">
        <v>8</v>
      </c>
      <c r="P5" s="1">
        <v>-80</v>
      </c>
      <c r="Q5" s="1">
        <v>-15.273304273226501</v>
      </c>
      <c r="R5" s="1">
        <v>-3.8126919475815599</v>
      </c>
      <c r="S5" s="1">
        <v>-4.7771835886082101</v>
      </c>
      <c r="T5" s="1">
        <v>-2.2428968712225501</v>
      </c>
      <c r="V5" s="1">
        <f t="shared" ref="V5:Y5" si="1">Q6-Q5</f>
        <v>1.9078066328047001</v>
      </c>
      <c r="W5" s="1">
        <f t="shared" si="1"/>
        <v>0.47591830013318992</v>
      </c>
      <c r="X5" s="1">
        <f t="shared" si="1"/>
        <v>0.59760147602627978</v>
      </c>
      <c r="Y5" s="1">
        <f t="shared" si="1"/>
        <v>0.2805828942361801</v>
      </c>
    </row>
    <row r="6" spans="2:25" ht="14.25" customHeight="1" x14ac:dyDescent="0.3">
      <c r="B6" s="1">
        <v>-90</v>
      </c>
      <c r="C6" s="1">
        <v>9.5965904475071001E-2</v>
      </c>
      <c r="D6" s="1">
        <v>5.1865562706644903</v>
      </c>
      <c r="E6" s="1">
        <v>29.113</v>
      </c>
      <c r="F6" s="1">
        <v>92.999994251239798</v>
      </c>
      <c r="G6" s="1" t="s">
        <v>9</v>
      </c>
      <c r="I6" s="1">
        <v>-90</v>
      </c>
      <c r="J6" s="1">
        <v>0.14950811238433401</v>
      </c>
      <c r="K6" s="1">
        <v>76.080511080917603</v>
      </c>
      <c r="L6" s="1">
        <v>54.807690956556499</v>
      </c>
      <c r="M6" s="1" t="s">
        <v>9</v>
      </c>
      <c r="P6" s="1">
        <v>-70</v>
      </c>
      <c r="Q6" s="1">
        <v>-13.3654976404218</v>
      </c>
      <c r="R6" s="1">
        <v>-3.33677364744837</v>
      </c>
      <c r="S6" s="1">
        <v>-4.1795821125819304</v>
      </c>
      <c r="T6" s="1">
        <v>-1.96231397698637</v>
      </c>
      <c r="V6" s="1">
        <f t="shared" ref="V6:Y6" si="2">Q7-Q6</f>
        <v>1.9078066328047001</v>
      </c>
      <c r="W6" s="1">
        <f t="shared" si="2"/>
        <v>0.47591830013318015</v>
      </c>
      <c r="X6" s="1">
        <f t="shared" si="2"/>
        <v>0.59760147602627045</v>
      </c>
      <c r="Y6" s="1">
        <f t="shared" si="2"/>
        <v>0.2805828942361801</v>
      </c>
    </row>
    <row r="7" spans="2:25" ht="14.25" customHeight="1" x14ac:dyDescent="0.3">
      <c r="B7" s="1">
        <v>-80</v>
      </c>
      <c r="C7" s="3">
        <v>0.74762127723754901</v>
      </c>
      <c r="D7" s="1">
        <v>11.130705905822399</v>
      </c>
      <c r="E7" s="1">
        <v>12.333</v>
      </c>
      <c r="F7" s="1">
        <v>87.157146233959594</v>
      </c>
      <c r="G7" s="2" t="s">
        <v>6</v>
      </c>
      <c r="I7" s="1">
        <v>-80</v>
      </c>
      <c r="J7" s="3">
        <v>0.80914189074679499</v>
      </c>
      <c r="K7" s="1">
        <v>27.9462254737191</v>
      </c>
      <c r="L7" s="1">
        <v>69.330451955979001</v>
      </c>
      <c r="M7" s="2" t="s">
        <v>6</v>
      </c>
      <c r="P7" s="1">
        <v>-60</v>
      </c>
      <c r="Q7" s="1">
        <v>-11.4576910076171</v>
      </c>
      <c r="R7" s="1">
        <v>-2.8608553473151899</v>
      </c>
      <c r="S7" s="1">
        <v>-3.5819806365556599</v>
      </c>
      <c r="T7" s="1">
        <v>-1.6817310827501899</v>
      </c>
      <c r="V7" s="1">
        <f t="shared" ref="V7:Y7" si="3">Q8-Q7</f>
        <v>1.907806632804661</v>
      </c>
      <c r="W7" s="1">
        <f t="shared" si="3"/>
        <v>0.47591830013319969</v>
      </c>
      <c r="X7" s="1">
        <f t="shared" si="3"/>
        <v>0.59760147602625002</v>
      </c>
      <c r="Y7" s="1">
        <f t="shared" si="3"/>
        <v>0.2805828942361599</v>
      </c>
    </row>
    <row r="8" spans="2:25" ht="14.25" customHeight="1" x14ac:dyDescent="0.3">
      <c r="B8" s="1">
        <v>-80</v>
      </c>
      <c r="C8" s="1">
        <v>0.191654254329578</v>
      </c>
      <c r="D8" s="1">
        <v>5.0958144402516101</v>
      </c>
      <c r="E8" s="1">
        <v>29.603999999999999</v>
      </c>
      <c r="F8" s="1">
        <v>94.200628320197097</v>
      </c>
      <c r="G8" s="1" t="s">
        <v>7</v>
      </c>
      <c r="I8" s="1">
        <v>-80</v>
      </c>
      <c r="J8" s="1">
        <v>0.316214078579514</v>
      </c>
      <c r="K8" s="1">
        <v>83.745615840819497</v>
      </c>
      <c r="L8" s="1">
        <v>53.863774030693499</v>
      </c>
      <c r="M8" s="1" t="s">
        <v>7</v>
      </c>
      <c r="P8" s="1">
        <v>-50</v>
      </c>
      <c r="Q8" s="1">
        <v>-9.5498843748124393</v>
      </c>
      <c r="R8" s="1">
        <v>-2.3849370471819902</v>
      </c>
      <c r="S8" s="1">
        <v>-2.9843791605294099</v>
      </c>
      <c r="T8" s="1">
        <v>-1.40114818851403</v>
      </c>
      <c r="V8" s="1">
        <f t="shared" ref="V8:Y8" si="4">Q9-Q8</f>
        <v>1.9078066328046894</v>
      </c>
      <c r="W8" s="1">
        <f t="shared" si="4"/>
        <v>0.47591830013317016</v>
      </c>
      <c r="X8" s="1">
        <f t="shared" si="4"/>
        <v>0.59760147602625002</v>
      </c>
      <c r="Y8" s="1">
        <f t="shared" si="4"/>
        <v>0.28058289423619009</v>
      </c>
    </row>
    <row r="9" spans="2:25" ht="14.25" customHeight="1" x14ac:dyDescent="0.3">
      <c r="B9" s="1">
        <v>-80</v>
      </c>
      <c r="C9" s="1">
        <v>0.335980033353521</v>
      </c>
      <c r="D9" s="1">
        <v>4.2960651869338298</v>
      </c>
      <c r="E9" s="1">
        <v>28.436</v>
      </c>
      <c r="F9" s="1">
        <v>96.095726822749896</v>
      </c>
      <c r="G9" s="1" t="s">
        <v>8</v>
      </c>
      <c r="I9" s="1">
        <v>-80</v>
      </c>
      <c r="J9" s="1">
        <v>0.50149011775470098</v>
      </c>
      <c r="K9" s="1">
        <v>68.9247220737155</v>
      </c>
      <c r="L9" s="1">
        <v>53.279193620412201</v>
      </c>
      <c r="M9" s="1" t="s">
        <v>8</v>
      </c>
      <c r="P9" s="1">
        <v>-40</v>
      </c>
      <c r="Q9" s="1">
        <v>-7.6420777420077499</v>
      </c>
      <c r="R9" s="1">
        <v>-1.90901874704882</v>
      </c>
      <c r="S9" s="1">
        <v>-2.3867776845031599</v>
      </c>
      <c r="T9" s="1">
        <v>-1.1205652942778399</v>
      </c>
      <c r="V9" s="1">
        <f t="shared" ref="V9:Y9" si="5">Q10-Q9</f>
        <v>1.9078066328047001</v>
      </c>
      <c r="W9" s="1">
        <f t="shared" si="5"/>
        <v>0.47591830013319991</v>
      </c>
      <c r="X9" s="1">
        <f t="shared" si="5"/>
        <v>0.59760147602628977</v>
      </c>
      <c r="Y9" s="1">
        <f t="shared" si="5"/>
        <v>0.28058289423619687</v>
      </c>
    </row>
    <row r="10" spans="2:25" ht="14.25" customHeight="1" x14ac:dyDescent="0.3">
      <c r="B10" s="1">
        <v>-80</v>
      </c>
      <c r="C10" s="1">
        <v>9.6052986511619601E-2</v>
      </c>
      <c r="D10" s="1">
        <v>5.3503690011582901</v>
      </c>
      <c r="E10" s="1">
        <v>28.385000000000002</v>
      </c>
      <c r="F10" s="1">
        <v>93.346339066858107</v>
      </c>
      <c r="G10" s="1" t="s">
        <v>9</v>
      </c>
      <c r="I10" s="1">
        <v>-80</v>
      </c>
      <c r="J10" s="1">
        <v>0.14775907682546499</v>
      </c>
      <c r="K10" s="1">
        <v>73.649438746473507</v>
      </c>
      <c r="L10" s="1">
        <v>54.785042592965603</v>
      </c>
      <c r="M10" s="1" t="s">
        <v>9</v>
      </c>
      <c r="P10" s="1">
        <v>-30</v>
      </c>
      <c r="Q10" s="1">
        <v>-5.7342711092030498</v>
      </c>
      <c r="R10" s="1">
        <v>-1.4331004469156201</v>
      </c>
      <c r="S10" s="1">
        <v>-1.7891762084768701</v>
      </c>
      <c r="T10" s="1">
        <v>-0.83998240004164304</v>
      </c>
      <c r="V10" s="1">
        <f t="shared" ref="V10:Y10" si="6">Q11-Q10</f>
        <v>1.9078066328046699</v>
      </c>
      <c r="W10" s="1">
        <f t="shared" si="6"/>
        <v>0.47591830013316205</v>
      </c>
      <c r="X10" s="1">
        <f t="shared" si="6"/>
        <v>0.59760147602626001</v>
      </c>
      <c r="Y10" s="1">
        <f t="shared" si="6"/>
        <v>0.28058289423616101</v>
      </c>
    </row>
    <row r="11" spans="2:25" ht="14.25" customHeight="1" x14ac:dyDescent="0.3">
      <c r="B11" s="1">
        <v>-70</v>
      </c>
      <c r="C11" s="3">
        <v>0.74660264709108604</v>
      </c>
      <c r="D11" s="1">
        <v>10.8148622042723</v>
      </c>
      <c r="E11" s="1">
        <v>12.275</v>
      </c>
      <c r="F11" s="1">
        <v>87.249149026621197</v>
      </c>
      <c r="G11" s="2" t="s">
        <v>6</v>
      </c>
      <c r="I11" s="1">
        <v>-70</v>
      </c>
      <c r="J11" s="3">
        <v>0.80419473425561205</v>
      </c>
      <c r="K11" s="1">
        <v>27.197368380280601</v>
      </c>
      <c r="L11" s="1">
        <v>69.335522513087099</v>
      </c>
      <c r="M11" s="2" t="s">
        <v>6</v>
      </c>
      <c r="P11" s="1">
        <v>-20</v>
      </c>
      <c r="Q11" s="1">
        <v>-3.8264644763983799</v>
      </c>
      <c r="R11" s="1">
        <v>-0.95718214678245805</v>
      </c>
      <c r="S11" s="1">
        <v>-1.1915747324506101</v>
      </c>
      <c r="T11" s="1">
        <v>-0.55939950580548203</v>
      </c>
      <c r="V11" s="1">
        <f t="shared" ref="V11:Y11" si="7">Q12-Q11</f>
        <v>1.9078066328046899</v>
      </c>
      <c r="W11" s="1">
        <f t="shared" si="7"/>
        <v>0.47591830013320208</v>
      </c>
      <c r="X11" s="1">
        <f t="shared" si="7"/>
        <v>0.59760147602626812</v>
      </c>
      <c r="Y11" s="1">
        <f t="shared" si="7"/>
        <v>0.28058289423619404</v>
      </c>
    </row>
    <row r="12" spans="2:25" ht="14.25" customHeight="1" x14ac:dyDescent="0.3">
      <c r="B12" s="1">
        <v>-70</v>
      </c>
      <c r="C12" s="1">
        <v>0.191603271240915</v>
      </c>
      <c r="D12" s="1">
        <v>5.4074046782170004</v>
      </c>
      <c r="E12" s="1">
        <v>28.832999999999998</v>
      </c>
      <c r="F12" s="1">
        <v>94.539469814006296</v>
      </c>
      <c r="G12" s="1" t="s">
        <v>7</v>
      </c>
      <c r="I12" s="1">
        <v>-70</v>
      </c>
      <c r="J12" s="1">
        <v>0.30180337500822602</v>
      </c>
      <c r="K12" s="1">
        <v>77.717732675719404</v>
      </c>
      <c r="L12" s="1">
        <v>54.203646410631599</v>
      </c>
      <c r="M12" s="1" t="s">
        <v>7</v>
      </c>
      <c r="P12" s="1">
        <v>-10</v>
      </c>
      <c r="Q12" s="1">
        <v>-1.9186578435936901</v>
      </c>
      <c r="R12" s="1">
        <v>-0.48126384664925598</v>
      </c>
      <c r="S12" s="1">
        <v>-0.59397325642434196</v>
      </c>
      <c r="T12" s="1">
        <v>-0.278816611569288</v>
      </c>
      <c r="V12" s="1">
        <f t="shared" ref="V12:Y12" si="8">V11</f>
        <v>1.9078066328046899</v>
      </c>
      <c r="W12" s="1">
        <f t="shared" si="8"/>
        <v>0.47591830013320208</v>
      </c>
      <c r="X12" s="1">
        <f t="shared" si="8"/>
        <v>0.59760147602626812</v>
      </c>
      <c r="Y12" s="1">
        <f t="shared" si="8"/>
        <v>0.28058289423619404</v>
      </c>
    </row>
    <row r="13" spans="2:25" ht="14.25" customHeight="1" x14ac:dyDescent="0.3">
      <c r="B13" s="1">
        <v>-70</v>
      </c>
      <c r="C13" s="1">
        <v>0.33546987300483899</v>
      </c>
      <c r="D13" s="1">
        <v>4.0945331340650801</v>
      </c>
      <c r="E13" s="1">
        <v>28.181999999999999</v>
      </c>
      <c r="F13" s="1">
        <v>95.860786951453306</v>
      </c>
      <c r="G13" s="1" t="s">
        <v>8</v>
      </c>
      <c r="I13" s="1">
        <v>-70</v>
      </c>
      <c r="J13" s="1">
        <v>0.483334786641204</v>
      </c>
      <c r="K13" s="1">
        <v>64.510337019153098</v>
      </c>
      <c r="L13" s="1">
        <v>53.478407782253399</v>
      </c>
      <c r="M13" s="1" t="s">
        <v>8</v>
      </c>
      <c r="P13" s="1">
        <v>10</v>
      </c>
      <c r="Q13" s="1">
        <v>1.8969554220157001</v>
      </c>
      <c r="R13" s="1">
        <v>0.47057275361711998</v>
      </c>
      <c r="S13" s="1">
        <v>0.60122969562816098</v>
      </c>
      <c r="T13" s="1">
        <v>0.28234917690308298</v>
      </c>
      <c r="V13" s="1">
        <f t="shared" ref="V13:Y13" si="9">Q14-Q13</f>
        <v>1.9078066328046901</v>
      </c>
      <c r="W13" s="1">
        <f t="shared" si="9"/>
        <v>0.47591830013317299</v>
      </c>
      <c r="X13" s="1">
        <f t="shared" si="9"/>
        <v>0.59760147602626901</v>
      </c>
      <c r="Y13" s="1">
        <f t="shared" si="9"/>
        <v>0.28058289423616106</v>
      </c>
    </row>
    <row r="14" spans="2:25" ht="14.25" customHeight="1" x14ac:dyDescent="0.3">
      <c r="B14" s="1">
        <v>-70</v>
      </c>
      <c r="C14" s="1">
        <v>9.5874044233705102E-2</v>
      </c>
      <c r="D14" s="1">
        <v>5.1379021749818001</v>
      </c>
      <c r="E14" s="1">
        <v>28.157</v>
      </c>
      <c r="F14" s="1">
        <v>93.4136488090558</v>
      </c>
      <c r="G14" s="1" t="s">
        <v>9</v>
      </c>
      <c r="I14" s="1">
        <v>-70</v>
      </c>
      <c r="J14" s="1">
        <v>0.141757195556312</v>
      </c>
      <c r="K14" s="1">
        <v>68.581425729269597</v>
      </c>
      <c r="L14" s="1">
        <v>55.066334078121699</v>
      </c>
      <c r="M14" s="1" t="s">
        <v>9</v>
      </c>
      <c r="P14" s="1">
        <v>20</v>
      </c>
      <c r="Q14" s="1">
        <v>3.8047620548203902</v>
      </c>
      <c r="R14" s="1">
        <v>0.94649105375029297</v>
      </c>
      <c r="S14" s="1">
        <v>1.19883117165443</v>
      </c>
      <c r="T14" s="1">
        <v>0.56293207113924404</v>
      </c>
      <c r="V14" s="1">
        <f t="shared" ref="V14:Y14" si="10">Q15-Q14</f>
        <v>1.9078066328046699</v>
      </c>
      <c r="W14" s="1">
        <f t="shared" si="10"/>
        <v>0.47591830013318714</v>
      </c>
      <c r="X14" s="1">
        <f t="shared" si="10"/>
        <v>0.59760147602628</v>
      </c>
      <c r="Y14" s="1">
        <f t="shared" si="10"/>
        <v>0.28058289423619398</v>
      </c>
    </row>
    <row r="15" spans="2:25" ht="14.25" customHeight="1" x14ac:dyDescent="0.3">
      <c r="B15" s="1">
        <v>-60</v>
      </c>
      <c r="C15" s="3">
        <v>0.74603536336871901</v>
      </c>
      <c r="D15" s="1">
        <v>10.417811620753101</v>
      </c>
      <c r="E15" s="1">
        <v>12.215999999999999</v>
      </c>
      <c r="F15" s="1">
        <v>87.206455610417393</v>
      </c>
      <c r="G15" s="2" t="s">
        <v>6</v>
      </c>
      <c r="I15" s="1">
        <v>-60</v>
      </c>
      <c r="J15" s="3">
        <v>0.80248078464314698</v>
      </c>
      <c r="K15" s="1">
        <v>26.551063081524301</v>
      </c>
      <c r="L15" s="1">
        <v>69.221460723099199</v>
      </c>
      <c r="M15" s="2" t="s">
        <v>6</v>
      </c>
      <c r="P15" s="1">
        <v>30</v>
      </c>
      <c r="Q15" s="1">
        <v>5.7125686876250601</v>
      </c>
      <c r="R15" s="1">
        <v>1.4224093538834801</v>
      </c>
      <c r="S15" s="1">
        <v>1.79643264768071</v>
      </c>
      <c r="T15" s="1">
        <v>0.84351496537543802</v>
      </c>
      <c r="V15" s="1">
        <f t="shared" ref="V15:Y15" si="11">Q16-Q15</f>
        <v>1.9078066328047099</v>
      </c>
      <c r="W15" s="1">
        <f t="shared" si="11"/>
        <v>0.47591830013318992</v>
      </c>
      <c r="X15" s="1">
        <f t="shared" si="11"/>
        <v>0.59760147602627023</v>
      </c>
      <c r="Y15" s="1">
        <f t="shared" si="11"/>
        <v>0.28058289423619198</v>
      </c>
    </row>
    <row r="16" spans="2:25" ht="14.25" customHeight="1" x14ac:dyDescent="0.3">
      <c r="B16" s="1">
        <v>-60</v>
      </c>
      <c r="C16" s="1">
        <v>0.19136360809903999</v>
      </c>
      <c r="D16" s="1">
        <v>4.9163379214062299</v>
      </c>
      <c r="E16" s="1">
        <v>28.584</v>
      </c>
      <c r="F16" s="1">
        <v>94.743778433801893</v>
      </c>
      <c r="G16" s="1" t="s">
        <v>7</v>
      </c>
      <c r="I16" s="1">
        <v>-60</v>
      </c>
      <c r="J16" s="1">
        <v>0.294831889143226</v>
      </c>
      <c r="K16" s="1">
        <v>73.598977256552104</v>
      </c>
      <c r="L16" s="1">
        <v>54.110898726708697</v>
      </c>
      <c r="M16" s="1" t="s">
        <v>7</v>
      </c>
      <c r="P16" s="1">
        <v>40</v>
      </c>
      <c r="Q16" s="1">
        <v>7.6203753204297699</v>
      </c>
      <c r="R16" s="1">
        <v>1.89832765401667</v>
      </c>
      <c r="S16" s="1">
        <v>2.3940341237069802</v>
      </c>
      <c r="T16" s="1">
        <v>1.12409785961163</v>
      </c>
      <c r="V16" s="1">
        <f t="shared" ref="V16:Y16" si="12">Q17-Q16</f>
        <v>1.9078066328046797</v>
      </c>
      <c r="W16" s="1">
        <f t="shared" si="12"/>
        <v>0.47591830013315994</v>
      </c>
      <c r="X16" s="1">
        <f t="shared" si="12"/>
        <v>0.59760147602627001</v>
      </c>
      <c r="Y16" s="1">
        <f t="shared" si="12"/>
        <v>0.2805828942361599</v>
      </c>
    </row>
    <row r="17" spans="2:25" ht="14.25" customHeight="1" x14ac:dyDescent="0.3">
      <c r="B17" s="1">
        <v>-60</v>
      </c>
      <c r="C17" s="1">
        <v>0.335715133971968</v>
      </c>
      <c r="D17" s="1">
        <v>4.1472734932424702</v>
      </c>
      <c r="E17" s="1">
        <v>27.436</v>
      </c>
      <c r="F17" s="1">
        <v>96.063920128802096</v>
      </c>
      <c r="G17" s="1" t="s">
        <v>8</v>
      </c>
      <c r="I17" s="1">
        <v>-60</v>
      </c>
      <c r="J17" s="1">
        <v>0.47515587428106898</v>
      </c>
      <c r="K17" s="1">
        <v>61.551333605432497</v>
      </c>
      <c r="L17" s="1">
        <v>53.403857970288399</v>
      </c>
      <c r="M17" s="1" t="s">
        <v>8</v>
      </c>
      <c r="P17" s="1">
        <v>50</v>
      </c>
      <c r="Q17" s="1">
        <v>9.5281819532344496</v>
      </c>
      <c r="R17" s="1">
        <v>2.37424595414983</v>
      </c>
      <c r="S17" s="1">
        <v>2.9916355997332502</v>
      </c>
      <c r="T17" s="1">
        <v>1.4046807538477899</v>
      </c>
      <c r="V17" s="1">
        <f t="shared" ref="V17:Y17" si="13">Q18-Q17</f>
        <v>1.9078066328047498</v>
      </c>
      <c r="W17" s="1">
        <f t="shared" si="13"/>
        <v>0.47591830013320013</v>
      </c>
      <c r="X17" s="1">
        <f t="shared" si="13"/>
        <v>0.59760147602624958</v>
      </c>
      <c r="Y17" s="1">
        <f t="shared" si="13"/>
        <v>0.28058289423620009</v>
      </c>
    </row>
    <row r="18" spans="2:25" ht="14.25" customHeight="1" x14ac:dyDescent="0.3">
      <c r="B18" s="1">
        <v>-60</v>
      </c>
      <c r="C18" s="1">
        <v>9.5943466700311203E-2</v>
      </c>
      <c r="D18" s="1">
        <v>5.1989059093657302</v>
      </c>
      <c r="E18" s="1">
        <v>27.363</v>
      </c>
      <c r="F18" s="1">
        <v>93.624386020192802</v>
      </c>
      <c r="G18" s="1" t="s">
        <v>9</v>
      </c>
      <c r="I18" s="1">
        <v>-60</v>
      </c>
      <c r="J18" s="1">
        <v>0.139077143560185</v>
      </c>
      <c r="K18" s="1">
        <v>65.267438367967799</v>
      </c>
      <c r="L18" s="1">
        <v>54.975542026825202</v>
      </c>
      <c r="M18" s="1" t="s">
        <v>9</v>
      </c>
      <c r="P18" s="1">
        <v>60</v>
      </c>
      <c r="Q18" s="1">
        <v>11.435988586039199</v>
      </c>
      <c r="R18" s="1">
        <v>2.8501642542830301</v>
      </c>
      <c r="S18" s="1">
        <v>3.5892370757594998</v>
      </c>
      <c r="T18" s="1">
        <v>1.68526364808399</v>
      </c>
      <c r="V18" s="1">
        <f t="shared" ref="V18:Y18" si="14">Q19-Q18</f>
        <v>1.9078066328046006</v>
      </c>
      <c r="W18" s="1">
        <f t="shared" si="14"/>
        <v>0.47591830013316994</v>
      </c>
      <c r="X18" s="1">
        <f t="shared" si="14"/>
        <v>0.59760147602627001</v>
      </c>
      <c r="Y18" s="1">
        <f t="shared" si="14"/>
        <v>0.28058289423616012</v>
      </c>
    </row>
    <row r="19" spans="2:25" ht="14.25" customHeight="1" x14ac:dyDescent="0.3">
      <c r="B19" s="1">
        <v>-50</v>
      </c>
      <c r="C19" s="3">
        <v>0.74548024700691096</v>
      </c>
      <c r="D19" s="1">
        <v>9.9370560177705691</v>
      </c>
      <c r="E19" s="1">
        <v>12.146000000000001</v>
      </c>
      <c r="F19" s="1">
        <v>87.1569035448791</v>
      </c>
      <c r="G19" s="2" t="s">
        <v>6</v>
      </c>
      <c r="I19" s="1">
        <v>-50</v>
      </c>
      <c r="J19" s="3">
        <v>0.80178629048900696</v>
      </c>
      <c r="K19" s="1">
        <v>25.862028519514698</v>
      </c>
      <c r="L19" s="1">
        <v>69.087974140002999</v>
      </c>
      <c r="M19" s="2" t="s">
        <v>6</v>
      </c>
      <c r="P19" s="1">
        <v>70</v>
      </c>
      <c r="Q19" s="1">
        <v>13.3437952188438</v>
      </c>
      <c r="R19" s="1">
        <v>3.3260825544162</v>
      </c>
      <c r="S19" s="1">
        <v>4.1868385517857698</v>
      </c>
      <c r="T19" s="1">
        <v>1.9658465423201501</v>
      </c>
      <c r="V19" s="1">
        <f t="shared" ref="V19:Y19" si="15">Q20-Q19</f>
        <v>1.9078066328047996</v>
      </c>
      <c r="W19" s="1">
        <f t="shared" si="15"/>
        <v>0.47591830013318992</v>
      </c>
      <c r="X19" s="1">
        <f t="shared" si="15"/>
        <v>0.59760147602626024</v>
      </c>
      <c r="Y19" s="1">
        <f t="shared" si="15"/>
        <v>0.28058289423620986</v>
      </c>
    </row>
    <row r="20" spans="2:25" ht="14.25" customHeight="1" x14ac:dyDescent="0.3">
      <c r="B20" s="1">
        <v>-50</v>
      </c>
      <c r="C20" s="1">
        <v>0.191144641138629</v>
      </c>
      <c r="D20" s="1">
        <v>4.3429006161027797</v>
      </c>
      <c r="E20" s="1">
        <v>28.277000000000001</v>
      </c>
      <c r="F20" s="1">
        <v>94.270905733355704</v>
      </c>
      <c r="G20" s="1" t="s">
        <v>7</v>
      </c>
      <c r="I20" s="1">
        <v>-50</v>
      </c>
      <c r="J20" s="1">
        <v>0.28992885109734301</v>
      </c>
      <c r="K20" s="1">
        <v>69.844330610150905</v>
      </c>
      <c r="L20" s="1">
        <v>53.984296643365198</v>
      </c>
      <c r="M20" s="1" t="s">
        <v>7</v>
      </c>
      <c r="P20" s="1">
        <v>80</v>
      </c>
      <c r="Q20" s="1">
        <v>15.2516018516486</v>
      </c>
      <c r="R20" s="1">
        <v>3.80200085454939</v>
      </c>
      <c r="S20" s="1">
        <v>4.78444002781203</v>
      </c>
      <c r="T20" s="1">
        <v>2.24642943655636</v>
      </c>
      <c r="V20" s="1">
        <f t="shared" ref="V20:Y20" si="16">Q21-Q20</f>
        <v>1.9078066328045988</v>
      </c>
      <c r="W20" s="1">
        <f t="shared" si="16"/>
        <v>0.47591830013320013</v>
      </c>
      <c r="X20" s="1">
        <f t="shared" si="16"/>
        <v>0.59760147602627001</v>
      </c>
      <c r="Y20" s="1">
        <f t="shared" si="16"/>
        <v>0.28058289423616012</v>
      </c>
    </row>
    <row r="21" spans="2:25" ht="14.25" customHeight="1" x14ac:dyDescent="0.3">
      <c r="B21" s="1">
        <v>-50</v>
      </c>
      <c r="C21" s="1">
        <v>0.335988366816805</v>
      </c>
      <c r="D21" s="1">
        <v>4.1883093026017804</v>
      </c>
      <c r="E21" s="1">
        <v>26.562999999999999</v>
      </c>
      <c r="F21" s="1">
        <v>95.864788397435703</v>
      </c>
      <c r="G21" s="1" t="s">
        <v>8</v>
      </c>
      <c r="I21" s="1">
        <v>-50</v>
      </c>
      <c r="J21" s="1">
        <v>0.47047986280468701</v>
      </c>
      <c r="K21" s="1">
        <v>59.018457296263897</v>
      </c>
      <c r="L21" s="1">
        <v>53.366923714704697</v>
      </c>
      <c r="M21" s="1" t="s">
        <v>8</v>
      </c>
      <c r="P21" s="1">
        <v>90</v>
      </c>
      <c r="Q21" s="1">
        <v>17.159408484453198</v>
      </c>
      <c r="R21" s="1">
        <v>4.2779191546825901</v>
      </c>
      <c r="S21" s="1">
        <v>5.3820415038383</v>
      </c>
      <c r="T21" s="1">
        <v>2.5270123307925201</v>
      </c>
    </row>
    <row r="22" spans="2:25" ht="14.25" customHeight="1" x14ac:dyDescent="0.3">
      <c r="B22" s="1">
        <v>-50</v>
      </c>
      <c r="C22" s="1">
        <v>9.5843766751260606E-2</v>
      </c>
      <c r="D22" s="1">
        <v>4.6476588090320803</v>
      </c>
      <c r="E22" s="1">
        <v>27.085000000000001</v>
      </c>
      <c r="F22" s="1">
        <v>92.852218769482405</v>
      </c>
      <c r="G22" s="1" t="s">
        <v>9</v>
      </c>
      <c r="I22" s="1">
        <v>-50</v>
      </c>
      <c r="J22" s="1">
        <v>0.13748379037413999</v>
      </c>
      <c r="K22" s="1">
        <v>62.4196064538556</v>
      </c>
      <c r="L22" s="1">
        <v>54.875666504983798</v>
      </c>
      <c r="M22" s="1" t="s">
        <v>9</v>
      </c>
    </row>
    <row r="23" spans="2:25" ht="14.25" customHeight="1" x14ac:dyDescent="0.3">
      <c r="B23" s="1">
        <v>-40</v>
      </c>
      <c r="C23" s="3">
        <v>0.74463625487812402</v>
      </c>
      <c r="D23" s="1">
        <v>9.4437185421660494</v>
      </c>
      <c r="E23" s="1">
        <v>12.042</v>
      </c>
      <c r="F23" s="1">
        <v>87.076336418574897</v>
      </c>
      <c r="G23" s="2" t="s">
        <v>6</v>
      </c>
      <c r="I23" s="1">
        <v>-40</v>
      </c>
      <c r="J23" s="3">
        <v>0.79882763191517003</v>
      </c>
      <c r="K23" s="1">
        <v>24.976292069267402</v>
      </c>
      <c r="L23" s="1">
        <v>69.052860111655704</v>
      </c>
      <c r="M23" s="2" t="s">
        <v>6</v>
      </c>
    </row>
    <row r="24" spans="2:25" ht="14.25" customHeight="1" x14ac:dyDescent="0.3">
      <c r="B24" s="1">
        <v>-40</v>
      </c>
      <c r="C24" s="1">
        <v>0.191205655520711</v>
      </c>
      <c r="D24" s="1">
        <v>4.3499685099891199</v>
      </c>
      <c r="E24" s="1">
        <v>27.372</v>
      </c>
      <c r="F24" s="1">
        <v>94.464477231969795</v>
      </c>
      <c r="G24" s="1" t="s">
        <v>7</v>
      </c>
      <c r="I24" s="1">
        <v>-40</v>
      </c>
      <c r="J24" s="1">
        <v>0.28126488422877899</v>
      </c>
      <c r="K24" s="1">
        <v>65.042672969088599</v>
      </c>
      <c r="L24" s="1">
        <v>54.030474304162603</v>
      </c>
      <c r="M24" s="1" t="s">
        <v>7</v>
      </c>
      <c r="V24" s="1">
        <v>385</v>
      </c>
      <c r="W24" s="1">
        <v>400</v>
      </c>
      <c r="X24" s="1">
        <v>560</v>
      </c>
      <c r="Y24" s="1">
        <v>340</v>
      </c>
    </row>
    <row r="25" spans="2:25" ht="14.25" customHeight="1" x14ac:dyDescent="0.3">
      <c r="B25" s="1">
        <v>-40</v>
      </c>
      <c r="C25" s="1">
        <v>0.336113957039954</v>
      </c>
      <c r="D25" s="1">
        <v>4.22273861832777</v>
      </c>
      <c r="E25" s="1">
        <v>25.667999999999999</v>
      </c>
      <c r="F25" s="1">
        <v>95.956774313379</v>
      </c>
      <c r="G25" s="1" t="s">
        <v>8</v>
      </c>
      <c r="I25" s="1">
        <v>-40</v>
      </c>
      <c r="J25" s="1">
        <v>0.45974245945450298</v>
      </c>
      <c r="K25" s="1">
        <v>55.417855183494297</v>
      </c>
      <c r="L25" s="1">
        <v>53.4167251461135</v>
      </c>
      <c r="M25" s="1" t="s">
        <v>8</v>
      </c>
    </row>
    <row r="26" spans="2:25" ht="14.25" customHeight="1" x14ac:dyDescent="0.3">
      <c r="B26" s="1">
        <v>-40</v>
      </c>
      <c r="C26" s="1">
        <v>9.5878255022371101E-2</v>
      </c>
      <c r="D26" s="1">
        <v>4.68074825484182</v>
      </c>
      <c r="E26" s="1">
        <v>26.161000000000001</v>
      </c>
      <c r="F26" s="1">
        <v>93.212113371208503</v>
      </c>
      <c r="G26" s="1" t="s">
        <v>9</v>
      </c>
      <c r="I26" s="1">
        <v>-40</v>
      </c>
      <c r="J26" s="1">
        <v>0.13408329522234699</v>
      </c>
      <c r="K26" s="1">
        <v>58.493693593447802</v>
      </c>
      <c r="L26" s="1">
        <v>54.912688749940997</v>
      </c>
      <c r="M26" s="1" t="s">
        <v>9</v>
      </c>
      <c r="V26" s="1">
        <f t="shared" ref="V26:Y26" si="17">AVERAGE(V4:V20)</f>
        <v>1.9078066328046879</v>
      </c>
      <c r="W26" s="1">
        <f t="shared" si="17"/>
        <v>0.47591830013318509</v>
      </c>
      <c r="X26" s="1">
        <f t="shared" si="17"/>
        <v>0.59760147602626623</v>
      </c>
      <c r="Y26" s="1">
        <f t="shared" si="17"/>
        <v>0.28058289423618132</v>
      </c>
    </row>
    <row r="27" spans="2:25" ht="14.25" customHeight="1" x14ac:dyDescent="0.3">
      <c r="B27" s="1">
        <v>-30</v>
      </c>
      <c r="C27" s="3">
        <v>0.74506787933695195</v>
      </c>
      <c r="D27" s="1">
        <v>9.3479668584479398</v>
      </c>
      <c r="E27" s="1">
        <v>9.3409999999999993</v>
      </c>
      <c r="F27" s="1">
        <v>86.900265243534506</v>
      </c>
      <c r="G27" s="2" t="s">
        <v>6</v>
      </c>
      <c r="I27" s="1">
        <v>-30</v>
      </c>
      <c r="J27" s="3">
        <v>0.78320342300356105</v>
      </c>
      <c r="K27" s="1">
        <v>20.794251383163999</v>
      </c>
      <c r="L27" s="1">
        <v>71.0777317637788</v>
      </c>
      <c r="M27" s="2" t="s">
        <v>6</v>
      </c>
      <c r="V27" s="1">
        <f t="shared" ref="V27:Y27" si="18">AVERAGE(V4:V20)*V24%</f>
        <v>7.3450555362980481</v>
      </c>
      <c r="W27" s="1">
        <f t="shared" si="18"/>
        <v>1.9036732005327404</v>
      </c>
      <c r="X27" s="1">
        <f t="shared" si="18"/>
        <v>3.3465682657470905</v>
      </c>
      <c r="Y27" s="1">
        <f t="shared" si="18"/>
        <v>0.95398184040301648</v>
      </c>
    </row>
    <row r="28" spans="2:25" ht="14.25" customHeight="1" x14ac:dyDescent="0.3">
      <c r="B28" s="1">
        <v>-30</v>
      </c>
      <c r="C28" s="1">
        <v>0.19152041455375601</v>
      </c>
      <c r="D28" s="1">
        <v>4.68107155538494</v>
      </c>
      <c r="E28" s="1">
        <v>23.768999999999998</v>
      </c>
      <c r="F28" s="1">
        <v>94.234267045331805</v>
      </c>
      <c r="G28" s="1" t="s">
        <v>7</v>
      </c>
      <c r="I28" s="1">
        <v>-30</v>
      </c>
      <c r="J28" s="1">
        <v>0.256542094568593</v>
      </c>
      <c r="K28" s="1">
        <v>50.849231003822602</v>
      </c>
      <c r="L28" s="1">
        <v>54.555392089240797</v>
      </c>
      <c r="M28" s="1" t="s">
        <v>7</v>
      </c>
      <c r="V28" s="1">
        <f t="shared" ref="V28:Y28" si="19">_xlfn.STDEV.P(V4:V20)</f>
        <v>4.4974923780342968E-14</v>
      </c>
      <c r="W28" s="1">
        <f t="shared" si="19"/>
        <v>1.4456654117364326E-14</v>
      </c>
      <c r="X28" s="1">
        <f t="shared" si="19"/>
        <v>1.1306044580351859E-14</v>
      </c>
      <c r="Y28" s="1">
        <f t="shared" si="19"/>
        <v>1.6800933365298167E-14</v>
      </c>
    </row>
    <row r="29" spans="2:25" ht="14.25" customHeight="1" x14ac:dyDescent="0.3">
      <c r="B29" s="1">
        <v>-30</v>
      </c>
      <c r="C29" s="1">
        <v>0.33594530983618698</v>
      </c>
      <c r="D29" s="1">
        <v>3.9522456367959902</v>
      </c>
      <c r="E29" s="1">
        <v>22.75</v>
      </c>
      <c r="F29" s="1">
        <v>96.294059007562396</v>
      </c>
      <c r="G29" s="1" t="s">
        <v>8</v>
      </c>
      <c r="I29" s="1">
        <v>-30</v>
      </c>
      <c r="J29" s="1">
        <v>0.42780888102988301</v>
      </c>
      <c r="K29" s="1">
        <v>44.250334126256199</v>
      </c>
      <c r="L29" s="1">
        <v>53.941663506567302</v>
      </c>
      <c r="M29" s="1" t="s">
        <v>8</v>
      </c>
    </row>
    <row r="30" spans="2:25" ht="14.25" customHeight="1" x14ac:dyDescent="0.3">
      <c r="B30" s="1">
        <v>-30</v>
      </c>
      <c r="C30" s="1">
        <v>9.6009335294090198E-2</v>
      </c>
      <c r="D30" s="1">
        <v>4.9474020016337903</v>
      </c>
      <c r="E30" s="1">
        <v>22.638000000000002</v>
      </c>
      <c r="F30" s="1">
        <v>93.626644341527793</v>
      </c>
      <c r="G30" s="1" t="s">
        <v>9</v>
      </c>
      <c r="I30" s="1">
        <v>-30</v>
      </c>
      <c r="J30" s="1">
        <v>0.124047527792083</v>
      </c>
      <c r="K30" s="1">
        <v>46.451932842911901</v>
      </c>
      <c r="L30" s="1">
        <v>55.508003116806997</v>
      </c>
      <c r="M30" s="1" t="s">
        <v>9</v>
      </c>
    </row>
    <row r="31" spans="2:25" ht="14.25" customHeight="1" x14ac:dyDescent="0.3">
      <c r="B31" s="1">
        <v>-20</v>
      </c>
      <c r="C31" s="3">
        <v>0.74291968882049897</v>
      </c>
      <c r="D31" s="1">
        <v>7.6946102151881703</v>
      </c>
      <c r="E31" s="1">
        <v>9.2279999999999998</v>
      </c>
      <c r="F31" s="1">
        <v>86.743484903414995</v>
      </c>
      <c r="G31" s="2" t="s">
        <v>6</v>
      </c>
      <c r="I31" s="1">
        <v>-20</v>
      </c>
      <c r="J31" s="3">
        <v>0.77798953625724698</v>
      </c>
      <c r="K31" s="1">
        <v>18.5727747466028</v>
      </c>
      <c r="L31" s="1">
        <v>69.988204991267693</v>
      </c>
      <c r="M31" s="2" t="s">
        <v>6</v>
      </c>
    </row>
    <row r="32" spans="2:25" ht="14.25" customHeight="1" x14ac:dyDescent="0.3">
      <c r="B32" s="1">
        <v>-20</v>
      </c>
      <c r="C32" s="1">
        <v>0.19105909306492</v>
      </c>
      <c r="D32" s="1">
        <v>3.5833551614888299</v>
      </c>
      <c r="E32" s="1">
        <v>21.579000000000001</v>
      </c>
      <c r="F32" s="1">
        <v>94.701142518024099</v>
      </c>
      <c r="G32" s="1" t="s">
        <v>7</v>
      </c>
      <c r="I32" s="1">
        <v>-20</v>
      </c>
      <c r="J32" s="1">
        <v>0.23907958918048899</v>
      </c>
      <c r="K32" s="1">
        <v>40.291037989435701</v>
      </c>
      <c r="L32" s="1">
        <v>54.263925989854499</v>
      </c>
      <c r="M32" s="1" t="s">
        <v>7</v>
      </c>
    </row>
    <row r="33" spans="2:13" ht="14.25" customHeight="1" x14ac:dyDescent="0.3">
      <c r="B33" s="1">
        <v>-20</v>
      </c>
      <c r="C33" s="1">
        <v>0.33556036822466101</v>
      </c>
      <c r="D33" s="1">
        <v>3.1227035855914602</v>
      </c>
      <c r="E33" s="1">
        <v>20.61</v>
      </c>
      <c r="F33" s="1">
        <v>96.069246918641696</v>
      </c>
      <c r="G33" s="1" t="s">
        <v>8</v>
      </c>
      <c r="I33" s="1">
        <v>-20</v>
      </c>
      <c r="J33" s="1">
        <v>0.40557599188897903</v>
      </c>
      <c r="K33" s="1">
        <v>35.997995454555898</v>
      </c>
      <c r="L33" s="1">
        <v>53.638758140247397</v>
      </c>
      <c r="M33" s="1" t="s">
        <v>8</v>
      </c>
    </row>
    <row r="34" spans="2:13" ht="14.25" customHeight="1" x14ac:dyDescent="0.3">
      <c r="B34" s="1">
        <v>-20</v>
      </c>
      <c r="C34" s="1">
        <v>9.5825195232065494E-2</v>
      </c>
      <c r="D34" s="1">
        <v>3.92248072114488</v>
      </c>
      <c r="E34" s="1">
        <v>20.507999999999999</v>
      </c>
      <c r="F34" s="1">
        <v>94.048831123985295</v>
      </c>
      <c r="G34" s="1" t="s">
        <v>9</v>
      </c>
      <c r="I34" s="1">
        <v>-20</v>
      </c>
      <c r="J34" s="1">
        <v>0.11689638373786</v>
      </c>
      <c r="K34" s="1">
        <v>37.397350083864701</v>
      </c>
      <c r="L34" s="1">
        <v>55.100360178700498</v>
      </c>
      <c r="M34" s="1" t="s">
        <v>9</v>
      </c>
    </row>
    <row r="35" spans="2:13" ht="14.25" customHeight="1" x14ac:dyDescent="0.3">
      <c r="B35" s="1">
        <v>-10</v>
      </c>
      <c r="C35" s="3">
        <v>0.741931802586691</v>
      </c>
      <c r="D35" s="1">
        <v>6.73869304433431</v>
      </c>
      <c r="E35" s="1">
        <v>8.3130000000000006</v>
      </c>
      <c r="F35" s="1">
        <v>87.224770494842602</v>
      </c>
      <c r="G35" s="2" t="s">
        <v>6</v>
      </c>
      <c r="I35" s="1">
        <v>-10</v>
      </c>
      <c r="J35" s="3">
        <v>0.77199903222718302</v>
      </c>
      <c r="K35" s="1">
        <v>16.287611060259199</v>
      </c>
      <c r="L35" s="1">
        <v>69.694328333299595</v>
      </c>
      <c r="M35" s="2" t="s">
        <v>6</v>
      </c>
    </row>
    <row r="36" spans="2:13" ht="14.25" customHeight="1" x14ac:dyDescent="0.3">
      <c r="B36" s="1">
        <v>-10</v>
      </c>
      <c r="C36" s="1">
        <v>0.19070384444612501</v>
      </c>
      <c r="D36" s="1">
        <v>2.9558668485513699</v>
      </c>
      <c r="E36" s="1">
        <v>19.387</v>
      </c>
      <c r="F36" s="1">
        <v>95.286529735837703</v>
      </c>
      <c r="G36" s="1" t="s">
        <v>7</v>
      </c>
      <c r="I36" s="1">
        <v>-10</v>
      </c>
      <c r="J36" s="1">
        <v>0.22778624150318599</v>
      </c>
      <c r="K36" s="1">
        <v>32.979055641875902</v>
      </c>
      <c r="L36" s="1">
        <v>54.744724258500398</v>
      </c>
      <c r="M36" s="1" t="s">
        <v>7</v>
      </c>
    </row>
    <row r="37" spans="2:13" ht="14.25" customHeight="1" x14ac:dyDescent="0.3">
      <c r="B37" s="1">
        <v>-10</v>
      </c>
      <c r="C37" s="1">
        <v>0.33508437591152801</v>
      </c>
      <c r="D37" s="1">
        <v>2.5250842472863999</v>
      </c>
      <c r="E37" s="1">
        <v>18.515999999999998</v>
      </c>
      <c r="F37" s="1">
        <v>95.749959877270697</v>
      </c>
      <c r="G37" s="1" t="s">
        <v>8</v>
      </c>
      <c r="I37" s="1">
        <v>-10</v>
      </c>
      <c r="J37" s="1">
        <v>0.38977143450644403</v>
      </c>
      <c r="K37" s="1">
        <v>29.7562874317941</v>
      </c>
      <c r="L37" s="1">
        <v>53.938491980827401</v>
      </c>
      <c r="M37" s="1" t="s">
        <v>8</v>
      </c>
    </row>
    <row r="38" spans="2:13" ht="14.25" customHeight="1" x14ac:dyDescent="0.3">
      <c r="B38" s="1">
        <v>-10</v>
      </c>
      <c r="C38" s="1">
        <v>9.5864706137854902E-2</v>
      </c>
      <c r="D38" s="1">
        <v>3.87759510643673</v>
      </c>
      <c r="E38" s="1">
        <v>17.788</v>
      </c>
      <c r="F38" s="1">
        <v>94.160495836892196</v>
      </c>
      <c r="G38" s="1" t="s">
        <v>9</v>
      </c>
      <c r="I38" s="1">
        <v>-10</v>
      </c>
      <c r="J38" s="1">
        <v>0.11204465522340901</v>
      </c>
      <c r="K38" s="1">
        <v>30.843428722794101</v>
      </c>
      <c r="L38" s="1">
        <v>55.532642480734999</v>
      </c>
      <c r="M38" s="1" t="s">
        <v>9</v>
      </c>
    </row>
    <row r="39" spans="2:13" ht="14.25" customHeight="1" x14ac:dyDescent="0.3">
      <c r="B39" s="1">
        <v>10</v>
      </c>
      <c r="C39" s="3">
        <v>0.74199136163785095</v>
      </c>
      <c r="D39" s="1">
        <v>6.6979091287177797</v>
      </c>
      <c r="E39" s="1">
        <v>8.3089999999999993</v>
      </c>
      <c r="F39" s="1">
        <v>87.232732187569297</v>
      </c>
      <c r="G39" s="2" t="s">
        <v>6</v>
      </c>
      <c r="I39" s="1">
        <v>10</v>
      </c>
      <c r="J39" s="3">
        <v>0.77273305246125601</v>
      </c>
      <c r="K39" s="1">
        <v>16.2735227007779</v>
      </c>
      <c r="L39" s="1">
        <v>69.650408525234297</v>
      </c>
      <c r="M39" s="2" t="s">
        <v>6</v>
      </c>
    </row>
    <row r="40" spans="2:13" ht="14.25" customHeight="1" x14ac:dyDescent="0.3">
      <c r="B40" s="1">
        <v>10</v>
      </c>
      <c r="C40" s="1">
        <v>0.19067022010322701</v>
      </c>
      <c r="D40" s="1">
        <v>2.9166291525313999</v>
      </c>
      <c r="E40" s="1">
        <v>19.353000000000002</v>
      </c>
      <c r="F40" s="1">
        <v>95.162536866290097</v>
      </c>
      <c r="G40" s="1" t="s">
        <v>7</v>
      </c>
      <c r="I40" s="1">
        <v>10</v>
      </c>
      <c r="J40" s="1">
        <v>0.22888229910439001</v>
      </c>
      <c r="K40" s="1">
        <v>33.151097086472703</v>
      </c>
      <c r="L40" s="1">
        <v>54.759741408912802</v>
      </c>
      <c r="M40" s="1" t="s">
        <v>7</v>
      </c>
    </row>
    <row r="41" spans="2:13" ht="14.25" customHeight="1" x14ac:dyDescent="0.3">
      <c r="B41" s="1">
        <v>10</v>
      </c>
      <c r="C41" s="1">
        <v>0.33503660078619102</v>
      </c>
      <c r="D41" s="1">
        <v>2.4840433515325699</v>
      </c>
      <c r="E41" s="1">
        <v>18.486000000000001</v>
      </c>
      <c r="F41" s="1">
        <v>95.654311411651506</v>
      </c>
      <c r="G41" s="1" t="s">
        <v>8</v>
      </c>
      <c r="I41" s="1">
        <v>10</v>
      </c>
      <c r="J41" s="1">
        <v>0.39124881101974102</v>
      </c>
      <c r="K41" s="1">
        <v>29.860577729763602</v>
      </c>
      <c r="L41" s="1">
        <v>53.933589390013402</v>
      </c>
      <c r="M41" s="1" t="s">
        <v>8</v>
      </c>
    </row>
    <row r="42" spans="2:13" ht="14.25" customHeight="1" x14ac:dyDescent="0.3">
      <c r="B42" s="1">
        <v>10</v>
      </c>
      <c r="C42" s="1">
        <v>9.5852872648615195E-2</v>
      </c>
      <c r="D42" s="1">
        <v>3.8324582578983599</v>
      </c>
      <c r="E42" s="1">
        <v>17.759</v>
      </c>
      <c r="F42" s="1">
        <v>94.226447576979396</v>
      </c>
      <c r="G42" s="1" t="s">
        <v>9</v>
      </c>
      <c r="I42" s="1">
        <v>10</v>
      </c>
      <c r="J42" s="1">
        <v>0.112508238110563</v>
      </c>
      <c r="K42" s="1">
        <v>30.971935967417998</v>
      </c>
      <c r="L42" s="1">
        <v>55.540257606472402</v>
      </c>
      <c r="M42" s="1" t="s">
        <v>9</v>
      </c>
    </row>
    <row r="43" spans="2:13" ht="14.25" customHeight="1" x14ac:dyDescent="0.3">
      <c r="B43" s="1">
        <v>20</v>
      </c>
      <c r="C43" s="3">
        <v>0.74272116194554905</v>
      </c>
      <c r="D43" s="1">
        <v>7.6016599580481898</v>
      </c>
      <c r="E43" s="1">
        <v>9.2080000000000002</v>
      </c>
      <c r="F43" s="1">
        <v>86.7786856974122</v>
      </c>
      <c r="G43" s="2" t="s">
        <v>6</v>
      </c>
      <c r="I43" s="1">
        <v>20</v>
      </c>
      <c r="J43" s="3">
        <v>0.777343664358077</v>
      </c>
      <c r="K43" s="1">
        <v>18.418577591074399</v>
      </c>
      <c r="L43" s="1">
        <v>69.991668910505695</v>
      </c>
      <c r="M43" s="2" t="s">
        <v>6</v>
      </c>
    </row>
    <row r="44" spans="2:13" ht="14.25" customHeight="1" x14ac:dyDescent="0.3">
      <c r="B44" s="1">
        <v>20</v>
      </c>
      <c r="C44" s="1">
        <v>0.19097982783969999</v>
      </c>
      <c r="D44" s="1">
        <v>3.4956602722390602</v>
      </c>
      <c r="E44" s="1">
        <v>21.513999999999999</v>
      </c>
      <c r="F44" s="1">
        <v>94.664242524525093</v>
      </c>
      <c r="G44" s="1" t="s">
        <v>7</v>
      </c>
      <c r="I44" s="1">
        <v>20</v>
      </c>
      <c r="J44" s="1">
        <v>0.23797093390495699</v>
      </c>
      <c r="K44" s="1">
        <v>39.743780175103304</v>
      </c>
      <c r="L44" s="1">
        <v>54.314907354662999</v>
      </c>
      <c r="M44" s="1" t="s">
        <v>7</v>
      </c>
    </row>
    <row r="45" spans="2:13" ht="14.25" customHeight="1" x14ac:dyDescent="0.3">
      <c r="B45" s="1">
        <v>20</v>
      </c>
      <c r="C45" s="1">
        <v>0.33544930202353701</v>
      </c>
      <c r="D45" s="1">
        <v>3.0397569465899501</v>
      </c>
      <c r="E45" s="1">
        <v>20.542000000000002</v>
      </c>
      <c r="F45" s="1">
        <v>96.136251354303596</v>
      </c>
      <c r="G45" s="1" t="s">
        <v>8</v>
      </c>
      <c r="I45" s="1">
        <v>20</v>
      </c>
      <c r="J45" s="1">
        <v>0.40400477505613802</v>
      </c>
      <c r="K45" s="1">
        <v>35.5326166866042</v>
      </c>
      <c r="L45" s="1">
        <v>53.6794937375426</v>
      </c>
      <c r="M45" s="1" t="s">
        <v>8</v>
      </c>
    </row>
    <row r="46" spans="2:13" ht="14.25" customHeight="1" x14ac:dyDescent="0.3">
      <c r="B46" s="1">
        <v>20</v>
      </c>
      <c r="C46" s="1">
        <v>9.5789103376096293E-2</v>
      </c>
      <c r="D46" s="1">
        <v>3.83485913671006</v>
      </c>
      <c r="E46" s="1">
        <v>20.446999999999999</v>
      </c>
      <c r="F46" s="1">
        <v>94.018000971525794</v>
      </c>
      <c r="G46" s="1" t="s">
        <v>9</v>
      </c>
      <c r="I46" s="1">
        <v>20</v>
      </c>
      <c r="J46" s="1">
        <v>0.116420172549543</v>
      </c>
      <c r="K46" s="1">
        <v>36.911902087171697</v>
      </c>
      <c r="L46" s="1">
        <v>55.1496940880862</v>
      </c>
      <c r="M46" s="1" t="s">
        <v>9</v>
      </c>
    </row>
    <row r="47" spans="2:13" ht="14.25" customHeight="1" x14ac:dyDescent="0.3">
      <c r="B47" s="1">
        <v>30</v>
      </c>
      <c r="C47" s="3">
        <v>0.74512060519441004</v>
      </c>
      <c r="D47" s="1">
        <v>9.2768195830041709</v>
      </c>
      <c r="E47" s="1">
        <v>10.292999999999999</v>
      </c>
      <c r="F47" s="1">
        <v>87.083231343158303</v>
      </c>
      <c r="G47" s="2" t="s">
        <v>6</v>
      </c>
      <c r="I47" s="1">
        <v>30</v>
      </c>
      <c r="J47" s="3">
        <v>0.790134242009631</v>
      </c>
      <c r="K47" s="1">
        <v>22.224397463273</v>
      </c>
      <c r="L47" s="1">
        <v>69.963169522052496</v>
      </c>
      <c r="M47" s="2" t="s">
        <v>6</v>
      </c>
    </row>
    <row r="48" spans="2:13" ht="14.25" customHeight="1" x14ac:dyDescent="0.3">
      <c r="B48" s="1">
        <v>30</v>
      </c>
      <c r="C48" s="1">
        <v>0.19157878241838</v>
      </c>
      <c r="D48" s="1">
        <v>4.5187733544134803</v>
      </c>
      <c r="E48" s="1">
        <v>24.739000000000001</v>
      </c>
      <c r="F48" s="1">
        <v>93.991258749890903</v>
      </c>
      <c r="G48" s="1" t="s">
        <v>7</v>
      </c>
      <c r="I48" s="1">
        <v>30</v>
      </c>
      <c r="J48" s="1">
        <v>0.26538915233834698</v>
      </c>
      <c r="K48" s="1">
        <v>55.028879103191301</v>
      </c>
      <c r="L48" s="1">
        <v>54.049473661440999</v>
      </c>
      <c r="M48" s="1" t="s">
        <v>7</v>
      </c>
    </row>
    <row r="49" spans="2:13" ht="14.25" customHeight="1" x14ac:dyDescent="0.3">
      <c r="B49" s="1">
        <v>30</v>
      </c>
      <c r="C49" s="1">
        <v>0.33608810807952999</v>
      </c>
      <c r="D49" s="1">
        <v>3.9034630988704699</v>
      </c>
      <c r="E49" s="1">
        <v>23.64</v>
      </c>
      <c r="F49" s="1">
        <v>96.106541751936106</v>
      </c>
      <c r="G49" s="1" t="s">
        <v>8</v>
      </c>
      <c r="I49" s="1">
        <v>30</v>
      </c>
      <c r="J49" s="1">
        <v>0.44017565771316802</v>
      </c>
      <c r="K49" s="1">
        <v>47.737336054128299</v>
      </c>
      <c r="L49" s="1">
        <v>53.540037112204402</v>
      </c>
      <c r="M49" s="1" t="s">
        <v>8</v>
      </c>
    </row>
    <row r="50" spans="2:13" ht="14.25" customHeight="1" x14ac:dyDescent="0.3">
      <c r="B50" s="1">
        <v>30</v>
      </c>
      <c r="C50" s="1">
        <v>9.6045208803581097E-2</v>
      </c>
      <c r="D50" s="1">
        <v>4.8400989552394797</v>
      </c>
      <c r="E50" s="1">
        <v>23.564</v>
      </c>
      <c r="F50" s="1">
        <v>93.432796198008106</v>
      </c>
      <c r="G50" s="1" t="s">
        <v>9</v>
      </c>
      <c r="I50" s="1">
        <v>30</v>
      </c>
      <c r="J50" s="1">
        <v>0.12766748665820901</v>
      </c>
      <c r="K50" s="1">
        <v>50.0012568966917</v>
      </c>
      <c r="L50" s="1">
        <v>54.9933081894754</v>
      </c>
      <c r="M50" s="1" t="s">
        <v>9</v>
      </c>
    </row>
    <row r="51" spans="2:13" ht="14.25" customHeight="1" x14ac:dyDescent="0.3">
      <c r="B51" s="1">
        <v>40</v>
      </c>
      <c r="C51" s="3">
        <v>0.74463768908429695</v>
      </c>
      <c r="D51" s="1">
        <v>9.29057442020164</v>
      </c>
      <c r="E51" s="1">
        <v>11.028</v>
      </c>
      <c r="F51" s="1">
        <v>86.691137574549202</v>
      </c>
      <c r="G51" s="2" t="s">
        <v>6</v>
      </c>
      <c r="I51" s="1">
        <v>40</v>
      </c>
      <c r="J51" s="3">
        <v>0.792201502356642</v>
      </c>
      <c r="K51" s="1">
        <v>23.1547858241391</v>
      </c>
      <c r="L51" s="1">
        <v>69.970932417041695</v>
      </c>
      <c r="M51" s="2" t="s">
        <v>6</v>
      </c>
    </row>
    <row r="52" spans="2:13" ht="14.25" customHeight="1" x14ac:dyDescent="0.3">
      <c r="B52" s="1">
        <v>40</v>
      </c>
      <c r="C52" s="1">
        <v>0.19118461693266001</v>
      </c>
      <c r="D52" s="1">
        <v>3.9633619612292601</v>
      </c>
      <c r="E52" s="1">
        <v>26.359000000000002</v>
      </c>
      <c r="F52" s="1">
        <v>93.785982833998304</v>
      </c>
      <c r="G52" s="1" t="s">
        <v>7</v>
      </c>
      <c r="I52" s="1">
        <v>40</v>
      </c>
      <c r="J52" s="1">
        <v>0.27034624135058499</v>
      </c>
      <c r="K52" s="1">
        <v>58.5587207690307</v>
      </c>
      <c r="L52" s="1">
        <v>53.848671859204401</v>
      </c>
      <c r="M52" s="1" t="s">
        <v>7</v>
      </c>
    </row>
    <row r="53" spans="2:13" ht="14.25" customHeight="1" x14ac:dyDescent="0.3">
      <c r="B53" s="1">
        <v>40</v>
      </c>
      <c r="C53" s="1">
        <v>0.33613451548371998</v>
      </c>
      <c r="D53" s="1">
        <v>3.96814448907609</v>
      </c>
      <c r="E53" s="1">
        <v>24.597999999999999</v>
      </c>
      <c r="F53" s="1">
        <v>95.592641648510707</v>
      </c>
      <c r="G53" s="1" t="s">
        <v>8</v>
      </c>
      <c r="I53" s="1">
        <v>40</v>
      </c>
      <c r="J53" s="1">
        <v>0.44625192839799399</v>
      </c>
      <c r="K53" s="1">
        <v>50.510867951960499</v>
      </c>
      <c r="L53" s="1">
        <v>53.396401252853899</v>
      </c>
      <c r="M53" s="1" t="s">
        <v>8</v>
      </c>
    </row>
    <row r="54" spans="2:13" ht="14.25" customHeight="1" x14ac:dyDescent="0.3">
      <c r="B54" s="1">
        <v>40</v>
      </c>
      <c r="C54" s="1">
        <v>9.5875008156962802E-2</v>
      </c>
      <c r="D54" s="1">
        <v>4.3362972715391299</v>
      </c>
      <c r="E54" s="1">
        <v>25.151</v>
      </c>
      <c r="F54" s="1">
        <v>92.523729351865398</v>
      </c>
      <c r="G54" s="1" t="s">
        <v>9</v>
      </c>
      <c r="I54" s="1">
        <v>40</v>
      </c>
      <c r="J54" s="1">
        <v>0.12970281044479101</v>
      </c>
      <c r="K54" s="1">
        <v>53.054696912282502</v>
      </c>
      <c r="L54" s="1">
        <v>54.819030167743499</v>
      </c>
      <c r="M54" s="1" t="s">
        <v>9</v>
      </c>
    </row>
    <row r="55" spans="2:13" ht="14.25" customHeight="1" x14ac:dyDescent="0.3">
      <c r="B55" s="1">
        <v>50</v>
      </c>
      <c r="C55" s="3">
        <v>0.74526819193842897</v>
      </c>
      <c r="D55" s="1">
        <v>9.7478974887157097</v>
      </c>
      <c r="E55" s="1">
        <v>11.106</v>
      </c>
      <c r="F55" s="1">
        <v>86.916994268482</v>
      </c>
      <c r="G55" s="2" t="s">
        <v>6</v>
      </c>
      <c r="I55" s="1">
        <v>50</v>
      </c>
      <c r="J55" s="3">
        <v>0.79448782992878497</v>
      </c>
      <c r="K55" s="1">
        <v>23.919657327193299</v>
      </c>
      <c r="L55" s="1">
        <v>70.100672100928307</v>
      </c>
      <c r="M55" s="2" t="s">
        <v>6</v>
      </c>
    </row>
    <row r="56" spans="2:13" ht="14.25" customHeight="1" x14ac:dyDescent="0.3">
      <c r="B56" s="1">
        <v>50</v>
      </c>
      <c r="C56" s="1">
        <v>0.19114252750015601</v>
      </c>
      <c r="D56" s="1">
        <v>4.1059201901844</v>
      </c>
      <c r="E56" s="1">
        <v>27.184999999999999</v>
      </c>
      <c r="F56" s="1">
        <v>93.736311541120102</v>
      </c>
      <c r="G56" s="1" t="s">
        <v>7</v>
      </c>
      <c r="I56" s="1">
        <v>50</v>
      </c>
      <c r="J56" s="1">
        <v>0.27859891021092098</v>
      </c>
      <c r="K56" s="1">
        <v>63.1217301093033</v>
      </c>
      <c r="L56" s="1">
        <v>54.090273886080297</v>
      </c>
      <c r="M56" s="1" t="s">
        <v>7</v>
      </c>
    </row>
    <row r="57" spans="2:13" ht="14.25" customHeight="1" x14ac:dyDescent="0.3">
      <c r="B57" s="1">
        <v>50</v>
      </c>
      <c r="C57" s="1">
        <v>0.33654926173535599</v>
      </c>
      <c r="D57" s="1">
        <v>4.5287534603405604</v>
      </c>
      <c r="E57" s="1">
        <v>24.91</v>
      </c>
      <c r="F57" s="1">
        <v>95.212604070006194</v>
      </c>
      <c r="G57" s="1" t="s">
        <v>8</v>
      </c>
      <c r="I57" s="1">
        <v>50</v>
      </c>
      <c r="J57" s="1">
        <v>0.45612520371993398</v>
      </c>
      <c r="K57" s="1">
        <v>53.847773078605201</v>
      </c>
      <c r="L57" s="1">
        <v>53.594028193226499</v>
      </c>
      <c r="M57" s="1" t="s">
        <v>8</v>
      </c>
    </row>
    <row r="58" spans="2:13" ht="14.25" customHeight="1" x14ac:dyDescent="0.3">
      <c r="B58" s="1">
        <v>50</v>
      </c>
      <c r="C58" s="1">
        <v>9.6006229112811106E-2</v>
      </c>
      <c r="D58" s="1">
        <v>4.97123243132536</v>
      </c>
      <c r="E58" s="1">
        <v>25.385000000000002</v>
      </c>
      <c r="F58" s="1">
        <v>93.149190967738903</v>
      </c>
      <c r="G58" s="1" t="s">
        <v>9</v>
      </c>
      <c r="I58" s="1">
        <v>50</v>
      </c>
      <c r="J58" s="1">
        <v>0.13287958010928999</v>
      </c>
      <c r="K58" s="1">
        <v>56.738556888744597</v>
      </c>
      <c r="L58" s="1">
        <v>55.0667636252035</v>
      </c>
      <c r="M58" s="1" t="s">
        <v>9</v>
      </c>
    </row>
    <row r="59" spans="2:13" ht="14.25" customHeight="1" x14ac:dyDescent="0.3">
      <c r="B59" s="1">
        <v>60</v>
      </c>
      <c r="C59" s="3">
        <v>0.74560582564557598</v>
      </c>
      <c r="D59" s="1">
        <v>10.1238258546678</v>
      </c>
      <c r="E59" s="1">
        <v>11.169</v>
      </c>
      <c r="F59" s="1">
        <v>86.993568090013895</v>
      </c>
      <c r="G59" s="2" t="s">
        <v>6</v>
      </c>
      <c r="I59" s="1">
        <v>60</v>
      </c>
      <c r="J59" s="3">
        <v>0.79449686358572102</v>
      </c>
      <c r="K59" s="1">
        <v>24.429779367951301</v>
      </c>
      <c r="L59" s="1">
        <v>70.171135989293006</v>
      </c>
      <c r="M59" s="2" t="s">
        <v>6</v>
      </c>
    </row>
    <row r="60" spans="2:13" ht="14.25" customHeight="1" x14ac:dyDescent="0.3">
      <c r="B60" s="1">
        <v>60</v>
      </c>
      <c r="C60" s="1">
        <v>0.19118935886246</v>
      </c>
      <c r="D60" s="1">
        <v>4.6728196659444698</v>
      </c>
      <c r="E60" s="1">
        <v>27.367000000000001</v>
      </c>
      <c r="F60" s="1">
        <v>94.496855329252597</v>
      </c>
      <c r="G60" s="1" t="s">
        <v>7</v>
      </c>
      <c r="I60" s="1">
        <v>60</v>
      </c>
      <c r="J60" s="1">
        <v>0.28108147218116097</v>
      </c>
      <c r="K60" s="1">
        <v>65.663965579796496</v>
      </c>
      <c r="L60" s="1">
        <v>54.463750343028202</v>
      </c>
      <c r="M60" s="1" t="s">
        <v>7</v>
      </c>
    </row>
    <row r="61" spans="2:13" ht="14.25" customHeight="1" x14ac:dyDescent="0.3">
      <c r="B61" s="1">
        <v>60</v>
      </c>
      <c r="C61" s="1">
        <v>0.33603788105758298</v>
      </c>
      <c r="D61" s="1">
        <v>4.4221079657715601</v>
      </c>
      <c r="E61" s="1">
        <v>25.683</v>
      </c>
      <c r="F61" s="1">
        <v>95.884226184674603</v>
      </c>
      <c r="G61" s="1" t="s">
        <v>8</v>
      </c>
      <c r="I61" s="1">
        <v>60</v>
      </c>
      <c r="J61" s="1">
        <v>0.457860953610987</v>
      </c>
      <c r="K61" s="1">
        <v>55.477450325167098</v>
      </c>
      <c r="L61" s="1">
        <v>53.758230669173699</v>
      </c>
      <c r="M61" s="1" t="s">
        <v>8</v>
      </c>
    </row>
    <row r="62" spans="2:13" ht="14.25" customHeight="1" x14ac:dyDescent="0.3">
      <c r="B62" s="1">
        <v>60</v>
      </c>
      <c r="C62" s="1">
        <v>9.5863572015693801E-2</v>
      </c>
      <c r="D62" s="1">
        <v>4.9544197148592897</v>
      </c>
      <c r="E62" s="1">
        <v>26.158000000000001</v>
      </c>
      <c r="F62" s="1">
        <v>93.166748655668101</v>
      </c>
      <c r="G62" s="1" t="s">
        <v>9</v>
      </c>
      <c r="I62" s="1">
        <v>60</v>
      </c>
      <c r="J62" s="1">
        <v>0.13368726399584299</v>
      </c>
      <c r="K62" s="1">
        <v>58.745729956131399</v>
      </c>
      <c r="L62" s="1">
        <v>55.364177720786103</v>
      </c>
      <c r="M62" s="1" t="s">
        <v>9</v>
      </c>
    </row>
    <row r="63" spans="2:13" ht="14.25" customHeight="1" x14ac:dyDescent="0.3">
      <c r="B63" s="1">
        <v>70</v>
      </c>
      <c r="C63" s="3">
        <v>0.74583993876996602</v>
      </c>
      <c r="D63" s="1">
        <v>10.4773933977444</v>
      </c>
      <c r="E63" s="1">
        <v>11.21</v>
      </c>
      <c r="F63" s="1">
        <v>87.083565305337103</v>
      </c>
      <c r="G63" s="2" t="s">
        <v>6</v>
      </c>
      <c r="I63" s="1">
        <v>70</v>
      </c>
      <c r="J63" s="3">
        <v>0.79414316679118602</v>
      </c>
      <c r="K63" s="1">
        <v>24.865996977008901</v>
      </c>
      <c r="L63" s="1">
        <v>70.3146539895736</v>
      </c>
      <c r="M63" s="2" t="s">
        <v>6</v>
      </c>
    </row>
    <row r="64" spans="2:13" ht="14.25" customHeight="1" x14ac:dyDescent="0.3">
      <c r="B64" s="1">
        <v>70</v>
      </c>
      <c r="C64" s="1">
        <v>0.191327469352462</v>
      </c>
      <c r="D64" s="1">
        <v>5.1238170586637297</v>
      </c>
      <c r="E64" s="1">
        <v>27.599</v>
      </c>
      <c r="F64" s="1">
        <v>94.764793103133698</v>
      </c>
      <c r="G64" s="1" t="s">
        <v>7</v>
      </c>
      <c r="I64" s="1">
        <v>70</v>
      </c>
      <c r="J64" s="1">
        <v>0.28201720365224198</v>
      </c>
      <c r="K64" s="1">
        <v>67.464015377475405</v>
      </c>
      <c r="L64" s="1">
        <v>54.597951472980903</v>
      </c>
      <c r="M64" s="1" t="s">
        <v>7</v>
      </c>
    </row>
    <row r="65" spans="2:13" ht="14.25" customHeight="1" x14ac:dyDescent="0.3">
      <c r="B65" s="1">
        <v>70</v>
      </c>
      <c r="C65" s="1">
        <v>0.33563158809244198</v>
      </c>
      <c r="D65" s="1">
        <v>4.2902465735624196</v>
      </c>
      <c r="E65" s="1">
        <v>26.456</v>
      </c>
      <c r="F65" s="1">
        <v>96.142336822109897</v>
      </c>
      <c r="G65" s="1" t="s">
        <v>8</v>
      </c>
      <c r="I65" s="1">
        <v>70</v>
      </c>
      <c r="J65" s="1">
        <v>0.45874701231655901</v>
      </c>
      <c r="K65" s="1">
        <v>56.866296954188599</v>
      </c>
      <c r="L65" s="1">
        <v>53.838243467306199</v>
      </c>
      <c r="M65" s="1" t="s">
        <v>8</v>
      </c>
    </row>
    <row r="66" spans="2:13" ht="14.25" customHeight="1" x14ac:dyDescent="0.3">
      <c r="B66" s="1">
        <v>70</v>
      </c>
      <c r="C66" s="1">
        <v>9.5925090218179507E-2</v>
      </c>
      <c r="D66" s="1">
        <v>5.3897436809322103</v>
      </c>
      <c r="E66" s="1">
        <v>26.367000000000001</v>
      </c>
      <c r="F66" s="1">
        <v>93.680381245748094</v>
      </c>
      <c r="G66" s="1" t="s">
        <v>9</v>
      </c>
      <c r="I66" s="1">
        <v>70</v>
      </c>
      <c r="J66" s="1">
        <v>0.134004640352195</v>
      </c>
      <c r="K66" s="1">
        <v>60.266454373857798</v>
      </c>
      <c r="L66" s="1">
        <v>55.486888576458298</v>
      </c>
      <c r="M66" s="1" t="s">
        <v>9</v>
      </c>
    </row>
    <row r="67" spans="2:13" ht="14.25" customHeight="1" x14ac:dyDescent="0.3">
      <c r="B67" s="1">
        <v>80</v>
      </c>
      <c r="C67" s="3">
        <v>0.746430991366271</v>
      </c>
      <c r="D67" s="1">
        <v>10.768607507073</v>
      </c>
      <c r="E67" s="1">
        <v>11.246</v>
      </c>
      <c r="F67" s="1">
        <v>87.094587647549801</v>
      </c>
      <c r="G67" s="2" t="s">
        <v>6</v>
      </c>
      <c r="I67" s="1">
        <v>80</v>
      </c>
      <c r="J67" s="3">
        <v>0.79638438898504404</v>
      </c>
      <c r="K67" s="1">
        <v>25.377317330143399</v>
      </c>
      <c r="L67" s="1">
        <v>70.388874334427896</v>
      </c>
      <c r="M67" s="2" t="s">
        <v>6</v>
      </c>
    </row>
    <row r="68" spans="2:13" ht="14.25" customHeight="1" x14ac:dyDescent="0.3">
      <c r="B68" s="1">
        <v>80</v>
      </c>
      <c r="C68" s="1">
        <v>0.191602756738599</v>
      </c>
      <c r="D68" s="1">
        <v>5.4223978857185902</v>
      </c>
      <c r="E68" s="1">
        <v>27.808</v>
      </c>
      <c r="F68" s="1">
        <v>94.459235419994897</v>
      </c>
      <c r="G68" s="1" t="s">
        <v>7</v>
      </c>
      <c r="I68" s="1">
        <v>80</v>
      </c>
      <c r="J68" s="1">
        <v>0.28921132292316998</v>
      </c>
      <c r="K68" s="1">
        <v>70.956152191000598</v>
      </c>
      <c r="L68" s="1">
        <v>54.498348840198297</v>
      </c>
      <c r="M68" s="1" t="s">
        <v>7</v>
      </c>
    </row>
    <row r="69" spans="2:13" ht="14.25" customHeight="1" x14ac:dyDescent="0.3">
      <c r="B69" s="1">
        <v>80</v>
      </c>
      <c r="C69" s="1">
        <v>0.33598264404650602</v>
      </c>
      <c r="D69" s="1">
        <v>4.5589774403657204</v>
      </c>
      <c r="E69" s="1">
        <v>26.67</v>
      </c>
      <c r="F69" s="1">
        <v>96.137418868604598</v>
      </c>
      <c r="G69" s="1" t="s">
        <v>8</v>
      </c>
      <c r="I69" s="1">
        <v>80</v>
      </c>
      <c r="J69" s="1">
        <v>0.46765515087804799</v>
      </c>
      <c r="K69" s="1">
        <v>59.436151693519399</v>
      </c>
      <c r="L69" s="1">
        <v>53.788808303397502</v>
      </c>
      <c r="M69" s="1" t="s">
        <v>8</v>
      </c>
    </row>
    <row r="70" spans="2:13" ht="14.25" customHeight="1" x14ac:dyDescent="0.3">
      <c r="B70" s="1">
        <v>80</v>
      </c>
      <c r="C70" s="1">
        <v>9.5874347129589504E-2</v>
      </c>
      <c r="D70" s="1">
        <v>5.1554688833579299</v>
      </c>
      <c r="E70" s="1">
        <v>27.123999999999999</v>
      </c>
      <c r="F70" s="1">
        <v>93.214809786074994</v>
      </c>
      <c r="G70" s="1" t="s">
        <v>9</v>
      </c>
      <c r="I70" s="1">
        <v>80</v>
      </c>
      <c r="J70" s="1">
        <v>0.136821944266875</v>
      </c>
      <c r="K70" s="1">
        <v>63.0743955567388</v>
      </c>
      <c r="L70" s="1">
        <v>55.412741403991802</v>
      </c>
      <c r="M70" s="1" t="s">
        <v>9</v>
      </c>
    </row>
    <row r="71" spans="2:13" ht="14.25" customHeight="1" x14ac:dyDescent="0.3">
      <c r="B71" s="1">
        <v>90</v>
      </c>
      <c r="C71" s="3">
        <v>0.74626204532694795</v>
      </c>
      <c r="D71" s="1">
        <v>10.657455787606899</v>
      </c>
      <c r="E71" s="1">
        <v>12.132</v>
      </c>
      <c r="F71" s="1">
        <v>87.507030796025106</v>
      </c>
      <c r="G71" s="2" t="s">
        <v>6</v>
      </c>
      <c r="I71" s="1">
        <v>90</v>
      </c>
      <c r="J71" s="3">
        <v>0.803636871215894</v>
      </c>
      <c r="K71" s="1">
        <v>26.834503124452301</v>
      </c>
      <c r="L71" s="1">
        <v>69.569325623610993</v>
      </c>
      <c r="M71" s="2" t="s">
        <v>6</v>
      </c>
    </row>
    <row r="72" spans="2:13" ht="14.25" customHeight="1" x14ac:dyDescent="0.3">
      <c r="B72" s="1">
        <v>90</v>
      </c>
      <c r="C72" s="1">
        <v>0.19135831416330701</v>
      </c>
      <c r="D72" s="1">
        <v>4.8143264746245604</v>
      </c>
      <c r="E72" s="1">
        <v>29.286999999999999</v>
      </c>
      <c r="F72" s="1">
        <v>94.010889918217401</v>
      </c>
      <c r="G72" s="1" t="s">
        <v>7</v>
      </c>
      <c r="I72" s="1">
        <v>90</v>
      </c>
      <c r="J72" s="1">
        <v>0.30382446199019397</v>
      </c>
      <c r="K72" s="1">
        <v>77.906012725580695</v>
      </c>
      <c r="L72" s="1">
        <v>54.136484483512703</v>
      </c>
      <c r="M72" s="1" t="s">
        <v>7</v>
      </c>
    </row>
    <row r="73" spans="2:13" ht="14.25" customHeight="1" x14ac:dyDescent="0.3">
      <c r="B73" s="1">
        <v>90</v>
      </c>
      <c r="C73" s="1">
        <v>0.33608172231405198</v>
      </c>
      <c r="D73" s="1">
        <v>4.4818537176191899</v>
      </c>
      <c r="E73" s="1">
        <v>27.593</v>
      </c>
      <c r="F73" s="1">
        <v>96.111439622156595</v>
      </c>
      <c r="G73" s="1" t="s">
        <v>8</v>
      </c>
      <c r="I73" s="1">
        <v>90</v>
      </c>
      <c r="J73" s="1">
        <v>0.485333582861463</v>
      </c>
      <c r="K73" s="1">
        <v>64.4344445761039</v>
      </c>
      <c r="L73" s="1">
        <v>53.5104015121955</v>
      </c>
      <c r="M73" s="1" t="s">
        <v>8</v>
      </c>
    </row>
    <row r="74" spans="2:13" ht="14.25" customHeight="1" x14ac:dyDescent="0.3">
      <c r="B74" s="1">
        <v>90</v>
      </c>
      <c r="C74" s="1">
        <v>9.5926045317925299E-2</v>
      </c>
      <c r="D74" s="1">
        <v>5.0932930584120397</v>
      </c>
      <c r="E74" s="1">
        <v>28.041</v>
      </c>
      <c r="F74" s="1">
        <v>92.845555206260499</v>
      </c>
      <c r="G74" s="1" t="s">
        <v>9</v>
      </c>
      <c r="I74" s="1">
        <v>90</v>
      </c>
      <c r="J74" s="1">
        <v>0.14241026656626901</v>
      </c>
      <c r="K74" s="1">
        <v>68.538656576124794</v>
      </c>
      <c r="L74" s="1">
        <v>55.070607992111697</v>
      </c>
      <c r="M74" s="1" t="s">
        <v>9</v>
      </c>
    </row>
    <row r="75" spans="2:13" ht="14.25" customHeight="1" x14ac:dyDescent="0.3"/>
    <row r="76" spans="2:13" ht="14.25" customHeight="1" x14ac:dyDescent="0.3"/>
    <row r="77" spans="2:13" ht="14.25" customHeight="1" x14ac:dyDescent="0.3"/>
    <row r="78" spans="2:13" ht="14.25" customHeight="1" x14ac:dyDescent="0.3"/>
    <row r="79" spans="2:13" ht="14.25" customHeight="1" x14ac:dyDescent="0.3"/>
    <row r="80" spans="2:13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J87" s="1">
        <v>-30</v>
      </c>
      <c r="K87" s="1">
        <v>-20</v>
      </c>
      <c r="L87" s="1">
        <v>-10</v>
      </c>
      <c r="M87" s="1">
        <v>10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formula" val="75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1:Y1000"/>
  <sheetViews>
    <sheetView workbookViewId="0"/>
  </sheetViews>
  <sheetFormatPr defaultColWidth="14.44140625" defaultRowHeight="15" customHeight="1" x14ac:dyDescent="0.3"/>
  <cols>
    <col min="1" max="6" width="8.6640625" customWidth="1"/>
    <col min="7" max="7" width="8.88671875" customWidth="1"/>
    <col min="8" max="12" width="8.6640625" customWidth="1"/>
    <col min="13" max="13" width="8.88671875" customWidth="1"/>
    <col min="14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G2" s="4"/>
      <c r="J2" s="1" t="s">
        <v>2</v>
      </c>
      <c r="K2" s="1" t="s">
        <v>3</v>
      </c>
      <c r="L2" s="1" t="s">
        <v>5</v>
      </c>
      <c r="M2" s="4"/>
    </row>
    <row r="3" spans="2:25" ht="14.25" customHeight="1" x14ac:dyDescent="0.3">
      <c r="B3" s="1">
        <v>-90</v>
      </c>
      <c r="C3" s="3">
        <v>3.3378900010219199E-12</v>
      </c>
      <c r="D3" s="1">
        <v>1.9196418899876101E-2</v>
      </c>
      <c r="E3" s="1">
        <v>0.30599999999999999</v>
      </c>
      <c r="F3" s="1">
        <v>3.7809781265937401</v>
      </c>
      <c r="G3" s="5" t="s">
        <v>6</v>
      </c>
      <c r="I3" s="1">
        <v>-90</v>
      </c>
      <c r="J3" s="3">
        <v>3.3378900009781702E-12</v>
      </c>
      <c r="K3" s="1">
        <v>1.9003642377586699E-2</v>
      </c>
      <c r="L3" s="1">
        <v>3.7809781265937401</v>
      </c>
      <c r="M3" s="5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-90</v>
      </c>
      <c r="C4" s="1">
        <v>0.44819154705793701</v>
      </c>
      <c r="D4" s="1">
        <v>8.9976005626353004</v>
      </c>
      <c r="E4" s="1">
        <v>19.22</v>
      </c>
      <c r="F4" s="1">
        <v>88.005288677813098</v>
      </c>
      <c r="G4" s="4" t="s">
        <v>7</v>
      </c>
      <c r="I4" s="1">
        <v>-90</v>
      </c>
      <c r="J4" s="1">
        <v>0.51608112781818605</v>
      </c>
      <c r="K4" s="1">
        <v>38.256421415770198</v>
      </c>
      <c r="L4" s="1">
        <v>61.894430268710998</v>
      </c>
      <c r="M4" s="4" t="s">
        <v>7</v>
      </c>
      <c r="P4" s="1">
        <v>-90</v>
      </c>
      <c r="Q4" s="1">
        <v>-1.0851210789000599E-2</v>
      </c>
      <c r="R4" s="1">
        <v>-9.9549802765914706</v>
      </c>
      <c r="S4" s="1">
        <v>3.6282196019296201E-3</v>
      </c>
      <c r="T4" s="1">
        <v>-20.115264247882902</v>
      </c>
      <c r="V4" s="1">
        <f t="shared" ref="V4:Y4" si="0">Q5-Q4</f>
        <v>1.4798925973558141E-14</v>
      </c>
      <c r="W4" s="1">
        <f t="shared" si="0"/>
        <v>1.10551497000837</v>
      </c>
      <c r="X4" s="1">
        <f t="shared" si="0"/>
        <v>-2.0300167796749591E-14</v>
      </c>
      <c r="Y4" s="1">
        <f t="shared" si="0"/>
        <v>2.2352256145055023</v>
      </c>
    </row>
    <row r="5" spans="2:25" ht="14.25" customHeight="1" x14ac:dyDescent="0.3">
      <c r="B5" s="1">
        <v>-90</v>
      </c>
      <c r="C5" s="3">
        <v>1.87724805978984E-11</v>
      </c>
      <c r="D5" s="1">
        <v>2.0238956039776702E-2</v>
      </c>
      <c r="E5" s="1">
        <v>0.26600000000000001</v>
      </c>
      <c r="F5" s="1">
        <v>3.5961116573317402</v>
      </c>
      <c r="G5" s="4" t="s">
        <v>8</v>
      </c>
      <c r="I5" s="1">
        <v>-90</v>
      </c>
      <c r="J5" s="3">
        <v>1.8772480597898199E-11</v>
      </c>
      <c r="K5" s="1">
        <v>2.0238956039776702E-2</v>
      </c>
      <c r="L5" s="1">
        <v>3.5961116573317402</v>
      </c>
      <c r="M5" s="4" t="s">
        <v>8</v>
      </c>
      <c r="P5" s="1">
        <v>-80</v>
      </c>
      <c r="Q5" s="1">
        <v>-1.08512107889858E-2</v>
      </c>
      <c r="R5" s="1">
        <v>-8.8494653065831006</v>
      </c>
      <c r="S5" s="1">
        <v>3.6282196019093199E-3</v>
      </c>
      <c r="T5" s="1">
        <v>-17.880038633377399</v>
      </c>
      <c r="V5" s="1">
        <f t="shared" ref="V5:Y5" si="1">Q6-Q5</f>
        <v>0</v>
      </c>
      <c r="W5" s="1">
        <f t="shared" si="1"/>
        <v>1.1055149700083708</v>
      </c>
      <c r="X5" s="1">
        <f t="shared" si="1"/>
        <v>0</v>
      </c>
      <c r="Y5" s="1">
        <f t="shared" si="1"/>
        <v>2.2352256145056</v>
      </c>
    </row>
    <row r="6" spans="2:25" ht="14.25" customHeight="1" x14ac:dyDescent="0.3">
      <c r="B6" s="1">
        <v>-90</v>
      </c>
      <c r="C6" s="1">
        <v>0.76267642570846805</v>
      </c>
      <c r="D6" s="1">
        <v>4.5793442933307196</v>
      </c>
      <c r="E6" s="1">
        <v>19.699000000000002</v>
      </c>
      <c r="F6" s="1">
        <v>95.192155652749307</v>
      </c>
      <c r="G6" s="4" t="s">
        <v>9</v>
      </c>
      <c r="I6" s="1">
        <v>-90</v>
      </c>
      <c r="J6" s="1">
        <v>0.85396225714104701</v>
      </c>
      <c r="K6" s="1">
        <v>31.900166922372101</v>
      </c>
      <c r="L6" s="1">
        <v>56.301575133587299</v>
      </c>
      <c r="M6" s="4" t="s">
        <v>9</v>
      </c>
      <c r="P6" s="1">
        <v>-70</v>
      </c>
      <c r="Q6" s="1">
        <v>-1.08512107889858E-2</v>
      </c>
      <c r="R6" s="1">
        <v>-7.7439503365747298</v>
      </c>
      <c r="S6" s="1">
        <v>3.6282196019093199E-3</v>
      </c>
      <c r="T6" s="1">
        <v>-15.644813018871799</v>
      </c>
      <c r="V6" s="1">
        <f t="shared" ref="V6:Y6" si="2">Q7-Q6</f>
        <v>0</v>
      </c>
      <c r="W6" s="1">
        <f t="shared" si="2"/>
        <v>1.10551497000837</v>
      </c>
      <c r="X6" s="1">
        <f t="shared" si="2"/>
        <v>0</v>
      </c>
      <c r="Y6" s="1">
        <f t="shared" si="2"/>
        <v>2.2352256145054987</v>
      </c>
    </row>
    <row r="7" spans="2:25" ht="14.25" customHeight="1" x14ac:dyDescent="0.3">
      <c r="B7" s="1">
        <v>-80</v>
      </c>
      <c r="C7" s="3">
        <v>2.2546067577003301E-16</v>
      </c>
      <c r="D7" s="1">
        <v>1.38779461603431E-2</v>
      </c>
      <c r="E7" s="1">
        <v>0.29199999999999998</v>
      </c>
      <c r="F7" s="1">
        <v>0.30230629243543899</v>
      </c>
      <c r="G7" s="5" t="s">
        <v>6</v>
      </c>
      <c r="I7" s="1">
        <v>-80</v>
      </c>
      <c r="J7" s="3">
        <v>2.2546067577003202E-16</v>
      </c>
      <c r="K7" s="1">
        <v>1.38779461603431E-2</v>
      </c>
      <c r="L7" s="1">
        <v>0.30230629243543899</v>
      </c>
      <c r="M7" s="5" t="s">
        <v>6</v>
      </c>
      <c r="P7" s="1">
        <v>-60</v>
      </c>
      <c r="Q7" s="1">
        <v>-1.08512107889858E-2</v>
      </c>
      <c r="R7" s="1">
        <v>-6.6384353665663598</v>
      </c>
      <c r="S7" s="1">
        <v>3.6282196019093199E-3</v>
      </c>
      <c r="T7" s="1">
        <v>-13.409587404366301</v>
      </c>
      <c r="V7" s="1">
        <f t="shared" ref="V7:Y7" si="3">Q8-Q7</f>
        <v>0</v>
      </c>
      <c r="W7" s="1">
        <f t="shared" si="3"/>
        <v>1.1055149700084002</v>
      </c>
      <c r="X7" s="1">
        <f t="shared" si="3"/>
        <v>0</v>
      </c>
      <c r="Y7" s="1">
        <f t="shared" si="3"/>
        <v>2.2352256145055005</v>
      </c>
    </row>
    <row r="8" spans="2:25" ht="14.25" customHeight="1" x14ac:dyDescent="0.3">
      <c r="B8" s="1">
        <v>-80</v>
      </c>
      <c r="C8" s="1">
        <v>0.44833360186426002</v>
      </c>
      <c r="D8" s="1">
        <v>8.8081896900942898</v>
      </c>
      <c r="E8" s="1">
        <v>19.13</v>
      </c>
      <c r="F8" s="1">
        <v>87.955549376299899</v>
      </c>
      <c r="G8" s="4" t="s">
        <v>7</v>
      </c>
      <c r="I8" s="1">
        <v>-80</v>
      </c>
      <c r="J8" s="1">
        <v>0.52296823330154796</v>
      </c>
      <c r="K8" s="1">
        <v>38.766075883273203</v>
      </c>
      <c r="L8" s="1">
        <v>61.948113522756898</v>
      </c>
      <c r="M8" s="4" t="s">
        <v>7</v>
      </c>
      <c r="P8" s="1">
        <v>-50</v>
      </c>
      <c r="Q8" s="1">
        <v>-1.08512107889858E-2</v>
      </c>
      <c r="R8" s="1">
        <v>-5.5329203965579596</v>
      </c>
      <c r="S8" s="1">
        <v>3.6282196019093199E-3</v>
      </c>
      <c r="T8" s="1">
        <v>-11.1743617898608</v>
      </c>
      <c r="V8" s="1">
        <f t="shared" ref="V8:Y8" si="4">Q9-Q8</f>
        <v>-1.4798925973558141E-14</v>
      </c>
      <c r="W8" s="1">
        <f t="shared" si="4"/>
        <v>1.1055149700083797</v>
      </c>
      <c r="X8" s="1">
        <f t="shared" si="4"/>
        <v>2.0300167796749591E-14</v>
      </c>
      <c r="Y8" s="1">
        <f t="shared" si="4"/>
        <v>2.2352256145055698</v>
      </c>
    </row>
    <row r="9" spans="2:25" ht="14.25" customHeight="1" x14ac:dyDescent="0.3">
      <c r="B9" s="1">
        <v>-80</v>
      </c>
      <c r="C9" s="3">
        <v>3.0061423436004201E-16</v>
      </c>
      <c r="D9" s="1">
        <v>1.39805532201129E-2</v>
      </c>
      <c r="E9" s="1">
        <v>0.50900000000000001</v>
      </c>
      <c r="F9" s="1">
        <v>0.205044995148329</v>
      </c>
      <c r="G9" s="4" t="s">
        <v>8</v>
      </c>
      <c r="I9" s="1">
        <v>-80</v>
      </c>
      <c r="J9" s="3">
        <v>3.0061423436004201E-16</v>
      </c>
      <c r="K9" s="1">
        <v>1.42382925624015E-2</v>
      </c>
      <c r="L9" s="1">
        <v>0.20504499514833999</v>
      </c>
      <c r="M9" s="4" t="s">
        <v>8</v>
      </c>
      <c r="P9" s="1">
        <v>-40</v>
      </c>
      <c r="Q9" s="1">
        <v>-1.0851210789000599E-2</v>
      </c>
      <c r="R9" s="1">
        <v>-4.4274054265495799</v>
      </c>
      <c r="S9" s="1">
        <v>3.6282196019296201E-3</v>
      </c>
      <c r="T9" s="1">
        <v>-8.9391361753552303</v>
      </c>
      <c r="V9" s="1">
        <f t="shared" ref="V9:Y9" si="5">Q10-Q9</f>
        <v>1.4798925973558141E-14</v>
      </c>
      <c r="W9" s="1">
        <f t="shared" si="5"/>
        <v>1.10551497000837</v>
      </c>
      <c r="X9" s="1">
        <f t="shared" si="5"/>
        <v>0</v>
      </c>
      <c r="Y9" s="1">
        <f t="shared" si="5"/>
        <v>2.23522561450552</v>
      </c>
    </row>
    <row r="10" spans="2:25" ht="14.25" customHeight="1" x14ac:dyDescent="0.3">
      <c r="B10" s="1">
        <v>-80</v>
      </c>
      <c r="C10" s="1">
        <v>0.76240687504885796</v>
      </c>
      <c r="D10" s="1">
        <v>4.3858978421719099</v>
      </c>
      <c r="E10" s="1">
        <v>19.594999999999999</v>
      </c>
      <c r="F10" s="1">
        <v>95.610459867248906</v>
      </c>
      <c r="G10" s="4" t="s">
        <v>9</v>
      </c>
      <c r="I10" s="1">
        <v>-80</v>
      </c>
      <c r="J10" s="1">
        <v>0.86138871532185801</v>
      </c>
      <c r="K10" s="1">
        <v>32.059238270959497</v>
      </c>
      <c r="L10" s="1">
        <v>56.248820941897002</v>
      </c>
      <c r="M10" s="4" t="s">
        <v>9</v>
      </c>
      <c r="P10" s="1">
        <v>-30</v>
      </c>
      <c r="Q10" s="1">
        <v>-1.08512107889858E-2</v>
      </c>
      <c r="R10" s="1">
        <v>-3.32189045654121</v>
      </c>
      <c r="S10" s="1">
        <v>3.6282196019296201E-3</v>
      </c>
      <c r="T10" s="1">
        <v>-6.7039105608497103</v>
      </c>
      <c r="V10" s="1">
        <f t="shared" ref="V10:Y10" si="6">Q11-Q10</f>
        <v>0</v>
      </c>
      <c r="W10" s="1">
        <f t="shared" si="6"/>
        <v>1.10551497000837</v>
      </c>
      <c r="X10" s="1">
        <f t="shared" si="6"/>
        <v>-2.0300167796749591E-14</v>
      </c>
      <c r="Y10" s="1">
        <f t="shared" si="6"/>
        <v>2.2352256145055307</v>
      </c>
    </row>
    <row r="11" spans="2:25" ht="14.25" customHeight="1" x14ac:dyDescent="0.3">
      <c r="B11" s="1">
        <v>-70</v>
      </c>
      <c r="C11" s="3">
        <v>2.0301221021717399E-16</v>
      </c>
      <c r="D11" s="1">
        <v>1.3837664335609699E-2</v>
      </c>
      <c r="E11" s="1">
        <v>0.504</v>
      </c>
      <c r="F11" s="1">
        <v>0.194102459970424</v>
      </c>
      <c r="G11" s="5" t="s">
        <v>6</v>
      </c>
      <c r="I11" s="1">
        <v>-70</v>
      </c>
      <c r="J11" s="3">
        <v>2.0301221021717101E-16</v>
      </c>
      <c r="K11" s="1">
        <v>1.3837664335609699E-2</v>
      </c>
      <c r="L11" s="1">
        <v>0.194102459970424</v>
      </c>
      <c r="M11" s="5" t="s">
        <v>6</v>
      </c>
      <c r="P11" s="1">
        <v>-20</v>
      </c>
      <c r="Q11" s="1">
        <v>-1.08512107889858E-2</v>
      </c>
      <c r="R11" s="1">
        <v>-2.21637548653284</v>
      </c>
      <c r="S11" s="1">
        <v>3.6282196019093199E-3</v>
      </c>
      <c r="T11" s="1">
        <v>-4.4686849463441796</v>
      </c>
      <c r="V11" s="1">
        <f t="shared" ref="V11:Y11" si="7">Q12-Q11</f>
        <v>0</v>
      </c>
      <c r="W11" s="1">
        <f t="shared" si="7"/>
        <v>1.10551497000837</v>
      </c>
      <c r="X11" s="1">
        <f t="shared" si="7"/>
        <v>0</v>
      </c>
      <c r="Y11" s="1">
        <f t="shared" si="7"/>
        <v>2.2352256145055294</v>
      </c>
    </row>
    <row r="12" spans="2:25" ht="14.25" customHeight="1" x14ac:dyDescent="0.3">
      <c r="B12" s="1">
        <v>-70</v>
      </c>
      <c r="C12" s="1">
        <v>0.44838158381988202</v>
      </c>
      <c r="D12" s="1">
        <v>8.9329486518043204</v>
      </c>
      <c r="E12" s="1">
        <v>18.297999999999998</v>
      </c>
      <c r="F12" s="1">
        <v>88.307319059252194</v>
      </c>
      <c r="G12" s="4" t="s">
        <v>7</v>
      </c>
      <c r="I12" s="1">
        <v>-70</v>
      </c>
      <c r="J12" s="1">
        <v>0.51632154936939001</v>
      </c>
      <c r="K12" s="1">
        <v>36.951342322611197</v>
      </c>
      <c r="L12" s="1">
        <v>62.299419258991897</v>
      </c>
      <c r="M12" s="4" t="s">
        <v>7</v>
      </c>
      <c r="P12" s="1">
        <v>-10</v>
      </c>
      <c r="Q12" s="1">
        <v>-1.08512107889858E-2</v>
      </c>
      <c r="R12" s="1">
        <v>-1.11086051652447</v>
      </c>
      <c r="S12" s="1">
        <v>3.6282196019093199E-3</v>
      </c>
      <c r="T12" s="1">
        <v>-2.2334593318386502</v>
      </c>
      <c r="V12" s="1">
        <f t="shared" ref="V12:Y12" si="8">V11</f>
        <v>0</v>
      </c>
      <c r="W12" s="1">
        <f t="shared" si="8"/>
        <v>1.10551497000837</v>
      </c>
      <c r="X12" s="1">
        <f t="shared" si="8"/>
        <v>0</v>
      </c>
      <c r="Y12" s="1">
        <f t="shared" si="8"/>
        <v>2.2352256145055294</v>
      </c>
    </row>
    <row r="13" spans="2:25" ht="14.25" customHeight="1" x14ac:dyDescent="0.3">
      <c r="B13" s="1">
        <v>-70</v>
      </c>
      <c r="C13" s="3">
        <v>-7.3396722155439705E-16</v>
      </c>
      <c r="D13" s="1">
        <v>1.43479980007082E-2</v>
      </c>
      <c r="E13" s="1">
        <v>0.29199999999999998</v>
      </c>
      <c r="F13" s="1">
        <v>0.55568912854154795</v>
      </c>
      <c r="G13" s="4" t="s">
        <v>8</v>
      </c>
      <c r="I13" s="1">
        <v>-70</v>
      </c>
      <c r="J13" s="3">
        <v>-7.3396722155438896E-16</v>
      </c>
      <c r="K13" s="1">
        <v>1.43479980007082E-2</v>
      </c>
      <c r="L13" s="1">
        <v>0.55568912854153696</v>
      </c>
      <c r="M13" s="4" t="s">
        <v>8</v>
      </c>
      <c r="P13" s="1">
        <v>10</v>
      </c>
      <c r="Q13" s="1">
        <v>-1.08512107889858E-2</v>
      </c>
      <c r="R13" s="1">
        <v>1.1001694234923001</v>
      </c>
      <c r="S13" s="1">
        <v>3.6282196019093199E-3</v>
      </c>
      <c r="T13" s="1">
        <v>2.2369918971724299</v>
      </c>
      <c r="V13" s="1">
        <f t="shared" ref="V13:Y13" si="9">Q14-Q13</f>
        <v>-1.4798925973558141E-14</v>
      </c>
      <c r="W13" s="1">
        <f t="shared" si="9"/>
        <v>1.1055149700083899</v>
      </c>
      <c r="X13" s="1">
        <f t="shared" si="9"/>
        <v>2.0300167796749591E-14</v>
      </c>
      <c r="Y13" s="1">
        <f t="shared" si="9"/>
        <v>2.2352256145055303</v>
      </c>
    </row>
    <row r="14" spans="2:25" ht="14.25" customHeight="1" x14ac:dyDescent="0.3">
      <c r="B14" s="1">
        <v>-70</v>
      </c>
      <c r="C14" s="1">
        <v>0.76164167700937302</v>
      </c>
      <c r="D14" s="1">
        <v>4.0207682244195802</v>
      </c>
      <c r="E14" s="1">
        <v>19.311</v>
      </c>
      <c r="F14" s="1">
        <v>95.534665435043493</v>
      </c>
      <c r="G14" s="4" t="s">
        <v>9</v>
      </c>
      <c r="I14" s="1">
        <v>-70</v>
      </c>
      <c r="J14" s="1">
        <v>0.85332566536436305</v>
      </c>
      <c r="K14" s="1">
        <v>30.6185531941086</v>
      </c>
      <c r="L14" s="1">
        <v>56.420521476127099</v>
      </c>
      <c r="M14" s="4" t="s">
        <v>9</v>
      </c>
      <c r="P14" s="1">
        <v>20</v>
      </c>
      <c r="Q14" s="1">
        <v>-1.0851210789000599E-2</v>
      </c>
      <c r="R14" s="1">
        <v>2.20568439350069</v>
      </c>
      <c r="S14" s="1">
        <v>3.6282196019296201E-3</v>
      </c>
      <c r="T14" s="1">
        <v>4.4722175116779601</v>
      </c>
      <c r="V14" s="1">
        <f t="shared" ref="V14:Y14" si="10">Q15-Q14</f>
        <v>1.4798925973558141E-14</v>
      </c>
      <c r="W14" s="1">
        <f t="shared" si="10"/>
        <v>1.10551497000837</v>
      </c>
      <c r="X14" s="1">
        <f t="shared" si="10"/>
        <v>-2.0300167796749591E-14</v>
      </c>
      <c r="Y14" s="1">
        <f t="shared" si="10"/>
        <v>2.23522561450552</v>
      </c>
    </row>
    <row r="15" spans="2:25" ht="14.25" customHeight="1" x14ac:dyDescent="0.3">
      <c r="B15" s="1">
        <v>-60</v>
      </c>
      <c r="C15" s="3">
        <v>2.7068294697506499E-16</v>
      </c>
      <c r="D15" s="1">
        <v>1.44727359577958E-2</v>
      </c>
      <c r="E15" s="1">
        <v>0.38800000000000001</v>
      </c>
      <c r="F15" s="1">
        <v>0.238777800161105</v>
      </c>
      <c r="G15" s="5" t="s">
        <v>6</v>
      </c>
      <c r="I15" s="1">
        <v>-60</v>
      </c>
      <c r="J15" s="3">
        <v>2.7068294695622901E-16</v>
      </c>
      <c r="K15" s="1">
        <v>1.3948719800969799E-2</v>
      </c>
      <c r="L15" s="1">
        <v>0.238777800161105</v>
      </c>
      <c r="M15" s="5" t="s">
        <v>6</v>
      </c>
      <c r="P15" s="1">
        <v>30</v>
      </c>
      <c r="Q15" s="1">
        <v>-1.08512107889858E-2</v>
      </c>
      <c r="R15" s="1">
        <v>3.31119936350906</v>
      </c>
      <c r="S15" s="1">
        <v>3.6282196019093199E-3</v>
      </c>
      <c r="T15" s="1">
        <v>6.7074431261834802</v>
      </c>
      <c r="V15" s="1">
        <f t="shared" ref="V15:Y15" si="11">Q16-Q15</f>
        <v>-1.4798925973558141E-14</v>
      </c>
      <c r="W15" s="1">
        <f t="shared" si="11"/>
        <v>1.1055149700083704</v>
      </c>
      <c r="X15" s="1">
        <f t="shared" si="11"/>
        <v>2.0300167796749591E-14</v>
      </c>
      <c r="Y15" s="1">
        <f t="shared" si="11"/>
        <v>2.2352256145055494</v>
      </c>
    </row>
    <row r="16" spans="2:25" ht="14.25" customHeight="1" x14ac:dyDescent="0.3">
      <c r="B16" s="1">
        <v>-60</v>
      </c>
      <c r="C16" s="1">
        <v>0.44778661556752097</v>
      </c>
      <c r="D16" s="1">
        <v>8.5999294064909808</v>
      </c>
      <c r="E16" s="1">
        <v>18.164000000000001</v>
      </c>
      <c r="F16" s="1">
        <v>88.445016977221698</v>
      </c>
      <c r="G16" s="4" t="s">
        <v>7</v>
      </c>
      <c r="I16" s="1">
        <v>-60</v>
      </c>
      <c r="J16" s="1">
        <v>0.51021881967056204</v>
      </c>
      <c r="K16" s="1">
        <v>35.547911766447797</v>
      </c>
      <c r="L16" s="1">
        <v>62.401439844320102</v>
      </c>
      <c r="M16" s="4" t="s">
        <v>7</v>
      </c>
      <c r="P16" s="1">
        <v>40</v>
      </c>
      <c r="Q16" s="1">
        <v>-1.0851210789000599E-2</v>
      </c>
      <c r="R16" s="1">
        <v>4.4167143335174304</v>
      </c>
      <c r="S16" s="1">
        <v>3.6282196019296201E-3</v>
      </c>
      <c r="T16" s="1">
        <v>8.9426687406890295</v>
      </c>
      <c r="V16" s="1">
        <f t="shared" ref="V16:Y16" si="12">Q17-Q16</f>
        <v>1.4798925973558141E-14</v>
      </c>
      <c r="W16" s="1">
        <f t="shared" si="12"/>
        <v>1.1055149700083797</v>
      </c>
      <c r="X16" s="1">
        <f t="shared" si="12"/>
        <v>-2.0300167796749591E-14</v>
      </c>
      <c r="Y16" s="1">
        <f t="shared" si="12"/>
        <v>2.2352256145055698</v>
      </c>
    </row>
    <row r="17" spans="2:25" ht="14.25" customHeight="1" x14ac:dyDescent="0.3">
      <c r="B17" s="1">
        <v>-60</v>
      </c>
      <c r="C17" s="3">
        <v>5.5941142370951003E-16</v>
      </c>
      <c r="D17" s="1">
        <v>1.42304021828839E-2</v>
      </c>
      <c r="E17" s="1">
        <v>0.48599999999999999</v>
      </c>
      <c r="F17" s="1">
        <v>0.194507232246521</v>
      </c>
      <c r="G17" s="4" t="s">
        <v>8</v>
      </c>
      <c r="I17" s="1">
        <v>-60</v>
      </c>
      <c r="J17" s="3">
        <v>5.5941142370954701E-16</v>
      </c>
      <c r="K17" s="1">
        <v>1.46372224102293E-2</v>
      </c>
      <c r="L17" s="1">
        <v>0.194507232246521</v>
      </c>
      <c r="M17" s="4" t="s">
        <v>8</v>
      </c>
      <c r="P17" s="1">
        <v>50</v>
      </c>
      <c r="Q17" s="1">
        <v>-1.08512107889858E-2</v>
      </c>
      <c r="R17" s="1">
        <v>5.5222293035258101</v>
      </c>
      <c r="S17" s="1">
        <v>3.6282196019093199E-3</v>
      </c>
      <c r="T17" s="1">
        <v>11.177894355194599</v>
      </c>
      <c r="V17" s="1">
        <f t="shared" ref="V17:Y17" si="13">Q18-Q17</f>
        <v>0</v>
      </c>
      <c r="W17" s="1">
        <f t="shared" si="13"/>
        <v>1.1055149700083797</v>
      </c>
      <c r="X17" s="1">
        <f t="shared" si="13"/>
        <v>2.0300167796749591E-14</v>
      </c>
      <c r="Y17" s="1">
        <f t="shared" si="13"/>
        <v>2.2352256145055005</v>
      </c>
    </row>
    <row r="18" spans="2:25" ht="14.25" customHeight="1" x14ac:dyDescent="0.3">
      <c r="B18" s="1">
        <v>-60</v>
      </c>
      <c r="C18" s="1">
        <v>0.76205373870974902</v>
      </c>
      <c r="D18" s="1">
        <v>4.1905962201092599</v>
      </c>
      <c r="E18" s="1">
        <v>18.686</v>
      </c>
      <c r="F18" s="1">
        <v>95.805453067458402</v>
      </c>
      <c r="G18" s="4" t="s">
        <v>9</v>
      </c>
      <c r="I18" s="1">
        <v>-60</v>
      </c>
      <c r="J18" s="1">
        <v>0.84614864594931605</v>
      </c>
      <c r="K18" s="1">
        <v>29.5652313369757</v>
      </c>
      <c r="L18" s="1">
        <v>56.475343959618201</v>
      </c>
      <c r="M18" s="4" t="s">
        <v>9</v>
      </c>
      <c r="P18" s="1">
        <v>60</v>
      </c>
      <c r="Q18" s="1">
        <v>-1.08512107889858E-2</v>
      </c>
      <c r="R18" s="1">
        <v>6.6277442735341898</v>
      </c>
      <c r="S18" s="1">
        <v>3.6282196019296201E-3</v>
      </c>
      <c r="T18" s="1">
        <v>13.4131199697001</v>
      </c>
      <c r="V18" s="1">
        <f t="shared" ref="V18:Y18" si="14">Q19-Q18</f>
        <v>0</v>
      </c>
      <c r="W18" s="1">
        <f t="shared" si="14"/>
        <v>1.1055149700083602</v>
      </c>
      <c r="X18" s="1">
        <f t="shared" si="14"/>
        <v>0</v>
      </c>
      <c r="Y18" s="1">
        <f t="shared" si="14"/>
        <v>2.2352256145055005</v>
      </c>
    </row>
    <row r="19" spans="2:25" ht="14.25" customHeight="1" x14ac:dyDescent="0.3">
      <c r="B19" s="1">
        <v>-50</v>
      </c>
      <c r="C19" s="3">
        <v>3.0391530876075599E-16</v>
      </c>
      <c r="D19" s="1">
        <v>1.39939278552276E-2</v>
      </c>
      <c r="E19" s="1">
        <v>0.48</v>
      </c>
      <c r="F19" s="1">
        <v>0.20679142601023301</v>
      </c>
      <c r="G19" s="5" t="s">
        <v>6</v>
      </c>
      <c r="I19" s="1">
        <v>-50</v>
      </c>
      <c r="J19" s="3">
        <v>3.0391530876075599E-16</v>
      </c>
      <c r="K19" s="1">
        <v>1.39939278552276E-2</v>
      </c>
      <c r="L19" s="1">
        <v>0.20679142601023301</v>
      </c>
      <c r="M19" s="5" t="s">
        <v>6</v>
      </c>
      <c r="P19" s="1">
        <v>70</v>
      </c>
      <c r="Q19" s="1">
        <v>-1.08512107889858E-2</v>
      </c>
      <c r="R19" s="1">
        <v>7.73325924354255</v>
      </c>
      <c r="S19" s="1">
        <v>3.6282196019296201E-3</v>
      </c>
      <c r="T19" s="1">
        <v>15.6483455842056</v>
      </c>
      <c r="V19" s="1">
        <f t="shared" ref="V19:Y19" si="15">Q20-Q19</f>
        <v>-1.4798925973558141E-14</v>
      </c>
      <c r="W19" s="1">
        <f t="shared" si="15"/>
        <v>1.1055149700083806</v>
      </c>
      <c r="X19" s="1">
        <f t="shared" si="15"/>
        <v>0</v>
      </c>
      <c r="Y19" s="1">
        <f t="shared" si="15"/>
        <v>2.2352256145055982</v>
      </c>
    </row>
    <row r="20" spans="2:25" ht="14.25" customHeight="1" x14ac:dyDescent="0.3">
      <c r="B20" s="1">
        <v>-50</v>
      </c>
      <c r="C20" s="1">
        <v>0.44750016470998899</v>
      </c>
      <c r="D20" s="1">
        <v>7.9596020374942702</v>
      </c>
      <c r="E20" s="1">
        <v>18.07</v>
      </c>
      <c r="F20" s="1">
        <v>88.0367943246831</v>
      </c>
      <c r="G20" s="4" t="s">
        <v>7</v>
      </c>
      <c r="I20" s="1">
        <v>-50</v>
      </c>
      <c r="J20" s="1">
        <v>0.51270713440208904</v>
      </c>
      <c r="K20" s="1">
        <v>34.860699187067397</v>
      </c>
      <c r="L20" s="1">
        <v>62.060845492812398</v>
      </c>
      <c r="M20" s="4" t="s">
        <v>7</v>
      </c>
      <c r="P20" s="1">
        <v>80</v>
      </c>
      <c r="Q20" s="1">
        <v>-1.0851210789000599E-2</v>
      </c>
      <c r="R20" s="1">
        <v>8.8387742135509306</v>
      </c>
      <c r="S20" s="1">
        <v>3.6282196019296201E-3</v>
      </c>
      <c r="T20" s="1">
        <v>17.883571198711198</v>
      </c>
      <c r="V20" s="1">
        <f t="shared" ref="V20:Y20" si="16">Q21-Q20</f>
        <v>1.4798925973558141E-14</v>
      </c>
      <c r="W20" s="1">
        <f t="shared" si="16"/>
        <v>1.1055149700083788</v>
      </c>
      <c r="X20" s="1">
        <f t="shared" si="16"/>
        <v>-2.0300167796749591E-14</v>
      </c>
      <c r="Y20" s="1">
        <f t="shared" si="16"/>
        <v>2.2352256145055023</v>
      </c>
    </row>
    <row r="21" spans="2:25" ht="14.25" customHeight="1" x14ac:dyDescent="0.3">
      <c r="B21" s="1">
        <v>-50</v>
      </c>
      <c r="C21" s="3">
        <v>7.2039184298846496E-16</v>
      </c>
      <c r="D21" s="1">
        <v>1.43337895156803E-2</v>
      </c>
      <c r="E21" s="1">
        <v>0.51</v>
      </c>
      <c r="F21" s="1">
        <v>0.30751747038745297</v>
      </c>
      <c r="G21" s="4" t="s">
        <v>8</v>
      </c>
      <c r="I21" s="1">
        <v>-50</v>
      </c>
      <c r="J21" s="3">
        <v>7.2039184298844504E-16</v>
      </c>
      <c r="K21" s="1">
        <v>1.47164649552872E-2</v>
      </c>
      <c r="L21" s="1">
        <v>0.30751747038745297</v>
      </c>
      <c r="M21" s="4" t="s">
        <v>8</v>
      </c>
      <c r="P21" s="1">
        <v>90</v>
      </c>
      <c r="Q21" s="1">
        <v>-1.08512107889858E-2</v>
      </c>
      <c r="R21" s="1">
        <v>9.9442891835593095</v>
      </c>
      <c r="S21" s="1">
        <v>3.6282196019093199E-3</v>
      </c>
      <c r="T21" s="1">
        <v>20.118796813216701</v>
      </c>
    </row>
    <row r="22" spans="2:25" ht="14.25" customHeight="1" x14ac:dyDescent="0.3">
      <c r="B22" s="1">
        <v>-50</v>
      </c>
      <c r="C22" s="1">
        <v>0.76164342439983601</v>
      </c>
      <c r="D22" s="1">
        <v>3.8124081870995301</v>
      </c>
      <c r="E22" s="1">
        <v>18.513000000000002</v>
      </c>
      <c r="F22" s="1">
        <v>95.880391059403095</v>
      </c>
      <c r="G22" s="4" t="s">
        <v>9</v>
      </c>
      <c r="I22" s="1">
        <v>-50</v>
      </c>
      <c r="J22" s="1">
        <v>0.84972679759619296</v>
      </c>
      <c r="K22" s="1">
        <v>29.082081829113601</v>
      </c>
      <c r="L22" s="1">
        <v>56.326556529788597</v>
      </c>
      <c r="M22" s="4" t="s">
        <v>9</v>
      </c>
    </row>
    <row r="23" spans="2:25" ht="14.25" customHeight="1" x14ac:dyDescent="0.3">
      <c r="B23" s="1">
        <v>-40</v>
      </c>
      <c r="C23" s="3">
        <v>4.7369515717340505E-16</v>
      </c>
      <c r="D23" s="1">
        <v>1.4163762864296801E-2</v>
      </c>
      <c r="E23" s="1">
        <v>0.41499999999999998</v>
      </c>
      <c r="F23" s="1">
        <v>0.33861879592788102</v>
      </c>
      <c r="G23" s="5" t="s">
        <v>6</v>
      </c>
      <c r="I23" s="1">
        <v>-40</v>
      </c>
      <c r="J23" s="3">
        <v>4.7369515717344104E-16</v>
      </c>
      <c r="K23" s="1">
        <v>1.4500207595655601E-2</v>
      </c>
      <c r="L23" s="1">
        <v>0.33861879592788102</v>
      </c>
      <c r="M23" s="5" t="s">
        <v>6</v>
      </c>
    </row>
    <row r="24" spans="2:25" ht="14.25" customHeight="1" x14ac:dyDescent="0.3">
      <c r="B24" s="1">
        <v>-40</v>
      </c>
      <c r="C24" s="1">
        <v>0.44775236814073199</v>
      </c>
      <c r="D24" s="1">
        <v>7.88622026252939</v>
      </c>
      <c r="E24" s="1">
        <v>17.298999999999999</v>
      </c>
      <c r="F24" s="1">
        <v>88.082038293542794</v>
      </c>
      <c r="G24" s="4" t="s">
        <v>7</v>
      </c>
      <c r="I24" s="1">
        <v>-40</v>
      </c>
      <c r="J24" s="1">
        <v>0.51027107026076302</v>
      </c>
      <c r="K24" s="1">
        <v>33.479277684165801</v>
      </c>
      <c r="L24" s="1">
        <v>61.817299715579601</v>
      </c>
      <c r="M24" s="4" t="s">
        <v>7</v>
      </c>
      <c r="V24" s="1">
        <v>385</v>
      </c>
      <c r="W24" s="1">
        <v>400</v>
      </c>
      <c r="X24" s="1">
        <v>560</v>
      </c>
      <c r="Y24" s="1">
        <v>340</v>
      </c>
    </row>
    <row r="25" spans="2:25" ht="14.25" customHeight="1" x14ac:dyDescent="0.3">
      <c r="B25" s="1">
        <v>-40</v>
      </c>
      <c r="C25" s="3">
        <v>7.17719935111212E-16</v>
      </c>
      <c r="D25" s="1">
        <v>1.43387873638434E-2</v>
      </c>
      <c r="E25" s="1">
        <v>0.46</v>
      </c>
      <c r="F25" s="1">
        <v>0.27438386800088299</v>
      </c>
      <c r="G25" s="4" t="s">
        <v>8</v>
      </c>
      <c r="I25" s="1">
        <v>-40</v>
      </c>
      <c r="J25" s="3">
        <v>7.17719935111212E-16</v>
      </c>
      <c r="K25" s="1">
        <v>1.43387873638434E-2</v>
      </c>
      <c r="L25" s="1">
        <v>0.27438386800088299</v>
      </c>
      <c r="M25" s="4" t="s">
        <v>8</v>
      </c>
    </row>
    <row r="26" spans="2:25" ht="14.25" customHeight="1" x14ac:dyDescent="0.3">
      <c r="B26" s="1">
        <v>-40</v>
      </c>
      <c r="C26" s="1">
        <v>0.76110917704855596</v>
      </c>
      <c r="D26" s="1">
        <v>3.4252955674411099</v>
      </c>
      <c r="E26" s="1">
        <v>18.292000000000002</v>
      </c>
      <c r="F26" s="1">
        <v>95.338034500750098</v>
      </c>
      <c r="G26" s="4" t="s">
        <v>9</v>
      </c>
      <c r="I26" s="1">
        <v>-40</v>
      </c>
      <c r="J26" s="1">
        <v>0.84757339927077802</v>
      </c>
      <c r="K26" s="1">
        <v>28.1179300699241</v>
      </c>
      <c r="L26" s="1">
        <v>56.289211289687501</v>
      </c>
      <c r="M26" s="4" t="s">
        <v>9</v>
      </c>
      <c r="V26" s="1">
        <f t="shared" ref="V26:Y26" si="17">AVERAGE(V4:V20)</f>
        <v>8.7052505726812594E-16</v>
      </c>
      <c r="W26" s="1">
        <f t="shared" si="17"/>
        <v>1.1055149700083751</v>
      </c>
      <c r="X26" s="1">
        <f t="shared" si="17"/>
        <v>-1.1941275174558583E-15</v>
      </c>
      <c r="Y26" s="1">
        <f t="shared" si="17"/>
        <v>2.2352256145055325</v>
      </c>
    </row>
    <row r="27" spans="2:25" ht="14.25" customHeight="1" x14ac:dyDescent="0.3">
      <c r="B27" s="1">
        <v>-30</v>
      </c>
      <c r="C27" s="3">
        <v>6.76707367390569E-16</v>
      </c>
      <c r="D27" s="1">
        <v>1.4314632811834401E-2</v>
      </c>
      <c r="E27" s="1">
        <v>0.50700000000000001</v>
      </c>
      <c r="F27" s="1">
        <v>0.38241057856598398</v>
      </c>
      <c r="G27" s="5" t="s">
        <v>6</v>
      </c>
      <c r="I27" s="1">
        <v>-30</v>
      </c>
      <c r="J27" s="3">
        <v>6.7670736739057196E-16</v>
      </c>
      <c r="K27" s="1">
        <v>1.4314632811834401E-2</v>
      </c>
      <c r="L27" s="1">
        <v>0.38241057856598398</v>
      </c>
      <c r="M27" s="5" t="s">
        <v>6</v>
      </c>
      <c r="V27" s="1">
        <f t="shared" ref="V27:Y27" si="18">AVERAGE(V4:V20)*V24%</f>
        <v>3.3515214704822849E-15</v>
      </c>
      <c r="W27" s="1">
        <f t="shared" si="18"/>
        <v>4.4220598800335003</v>
      </c>
      <c r="X27" s="1">
        <f t="shared" si="18"/>
        <v>-6.6871140977528058E-15</v>
      </c>
      <c r="Y27" s="1">
        <f t="shared" si="18"/>
        <v>7.5997670893188101</v>
      </c>
    </row>
    <row r="28" spans="2:25" ht="14.25" customHeight="1" x14ac:dyDescent="0.3">
      <c r="B28" s="1">
        <v>-30</v>
      </c>
      <c r="C28" s="1">
        <v>0.44696718701355798</v>
      </c>
      <c r="D28" s="1">
        <v>7.2019751905477101</v>
      </c>
      <c r="E28" s="1">
        <v>17.079000000000001</v>
      </c>
      <c r="F28" s="1">
        <v>87.948083937640902</v>
      </c>
      <c r="G28" s="4" t="s">
        <v>7</v>
      </c>
      <c r="I28" s="1">
        <v>-30</v>
      </c>
      <c r="J28" s="1">
        <v>0.50472737914523502</v>
      </c>
      <c r="K28" s="1">
        <v>31.597940354977698</v>
      </c>
      <c r="L28" s="1">
        <v>61.840297826797503</v>
      </c>
      <c r="M28" s="4" t="s">
        <v>7</v>
      </c>
      <c r="V28" s="1">
        <f t="shared" ref="V28:Y28" si="19">_xlfn.STDEV.P(V4:V20)</f>
        <v>1.0732553705918012E-14</v>
      </c>
      <c r="W28" s="1">
        <f t="shared" si="19"/>
        <v>9.0898008311597361E-15</v>
      </c>
      <c r="X28" s="1">
        <f t="shared" si="19"/>
        <v>1.4722192779870948E-14</v>
      </c>
      <c r="Y28" s="1">
        <f t="shared" si="19"/>
        <v>3.2819329057883502E-14</v>
      </c>
    </row>
    <row r="29" spans="2:25" ht="14.25" customHeight="1" x14ac:dyDescent="0.3">
      <c r="B29" s="1">
        <v>-30</v>
      </c>
      <c r="C29" s="3">
        <v>1.23740775751419E-15</v>
      </c>
      <c r="D29" s="1">
        <v>1.45663208385699E-2</v>
      </c>
      <c r="E29" s="1">
        <v>0.47299999999999998</v>
      </c>
      <c r="F29" s="1">
        <v>0.30998815260544499</v>
      </c>
      <c r="G29" s="4" t="s">
        <v>8</v>
      </c>
      <c r="I29" s="1">
        <v>-30</v>
      </c>
      <c r="J29" s="3">
        <v>1.23740775751426E-15</v>
      </c>
      <c r="K29" s="1">
        <v>1.4868200350987199E-2</v>
      </c>
      <c r="L29" s="1">
        <v>0.30998815260544499</v>
      </c>
      <c r="M29" s="4" t="s">
        <v>8</v>
      </c>
    </row>
    <row r="30" spans="2:25" ht="14.25" customHeight="1" x14ac:dyDescent="0.3">
      <c r="B30" s="1">
        <v>-30</v>
      </c>
      <c r="C30" s="1">
        <v>0.76147379633967505</v>
      </c>
      <c r="D30" s="1">
        <v>3.4605017811579502</v>
      </c>
      <c r="E30" s="1">
        <v>17.457000000000001</v>
      </c>
      <c r="F30" s="1">
        <v>95.392084941458293</v>
      </c>
      <c r="G30" s="4" t="s">
        <v>9</v>
      </c>
      <c r="I30" s="1">
        <v>-30</v>
      </c>
      <c r="J30" s="1">
        <v>0.84121274567601501</v>
      </c>
      <c r="K30" s="1">
        <v>26.689707944839601</v>
      </c>
      <c r="L30" s="1">
        <v>56.359036845114296</v>
      </c>
      <c r="M30" s="4" t="s">
        <v>9</v>
      </c>
    </row>
    <row r="31" spans="2:25" ht="14.25" customHeight="1" x14ac:dyDescent="0.3">
      <c r="B31" s="1">
        <v>-20</v>
      </c>
      <c r="C31" s="3">
        <v>9.9778341617372799E-16</v>
      </c>
      <c r="D31" s="1">
        <v>1.44755527061482E-2</v>
      </c>
      <c r="E31" s="1">
        <v>0.48599999999999999</v>
      </c>
      <c r="F31" s="1">
        <v>0.38194383068687099</v>
      </c>
      <c r="G31" s="5" t="s">
        <v>6</v>
      </c>
      <c r="I31" s="1">
        <v>-20</v>
      </c>
      <c r="J31" s="3">
        <v>9.9778341617375796E-16</v>
      </c>
      <c r="K31" s="1">
        <v>1.48262965830528E-2</v>
      </c>
      <c r="L31" s="1">
        <v>0.38194383068687099</v>
      </c>
      <c r="M31" s="5" t="s">
        <v>6</v>
      </c>
    </row>
    <row r="32" spans="2:25" ht="14.25" customHeight="1" x14ac:dyDescent="0.3">
      <c r="B32" s="1">
        <v>-20</v>
      </c>
      <c r="C32" s="1">
        <v>0.44622232432547398</v>
      </c>
      <c r="D32" s="1">
        <v>6.2162974536297702</v>
      </c>
      <c r="E32" s="1">
        <v>14.159000000000001</v>
      </c>
      <c r="F32" s="1">
        <v>88.094006600913801</v>
      </c>
      <c r="G32" s="4" t="s">
        <v>7</v>
      </c>
      <c r="I32" s="1">
        <v>-20</v>
      </c>
      <c r="J32" s="1">
        <v>0.48457214461485898</v>
      </c>
      <c r="K32" s="1">
        <v>24.464310603586199</v>
      </c>
      <c r="L32" s="1">
        <v>62.521638840534301</v>
      </c>
      <c r="M32" s="4" t="s">
        <v>7</v>
      </c>
    </row>
    <row r="33" spans="2:13" ht="14.25" customHeight="1" x14ac:dyDescent="0.3">
      <c r="B33" s="1">
        <v>-20</v>
      </c>
      <c r="C33" s="3">
        <v>1.6932082213857601E-15</v>
      </c>
      <c r="D33" s="1">
        <v>1.46927733171983E-2</v>
      </c>
      <c r="E33" s="1">
        <v>0.33</v>
      </c>
      <c r="F33" s="1">
        <v>0.39871593744782402</v>
      </c>
      <c r="G33" s="4" t="s">
        <v>8</v>
      </c>
      <c r="I33" s="1">
        <v>-20</v>
      </c>
      <c r="J33" s="3">
        <v>1.6932082213857999E-15</v>
      </c>
      <c r="K33" s="1">
        <v>1.50609144985159E-2</v>
      </c>
      <c r="L33" s="1">
        <v>0.39871593744782402</v>
      </c>
      <c r="M33" s="4" t="s">
        <v>8</v>
      </c>
    </row>
    <row r="34" spans="2:13" ht="14.25" customHeight="1" x14ac:dyDescent="0.3">
      <c r="B34" s="1">
        <v>-20</v>
      </c>
      <c r="C34" s="1">
        <v>0.76162969458494401</v>
      </c>
      <c r="D34" s="1">
        <v>3.0128641741490099</v>
      </c>
      <c r="E34" s="1">
        <v>14.521000000000001</v>
      </c>
      <c r="F34" s="1">
        <v>94.773927307122094</v>
      </c>
      <c r="G34" s="4" t="s">
        <v>9</v>
      </c>
      <c r="I34" s="1">
        <v>-20</v>
      </c>
      <c r="J34" s="1">
        <v>0.81695898127142996</v>
      </c>
      <c r="K34" s="1">
        <v>21.009497026014301</v>
      </c>
      <c r="L34" s="1">
        <v>56.995428294429999</v>
      </c>
      <c r="M34" s="4" t="s">
        <v>9</v>
      </c>
    </row>
    <row r="35" spans="2:13" ht="14.25" customHeight="1" x14ac:dyDescent="0.3">
      <c r="B35" s="1">
        <v>-10</v>
      </c>
      <c r="C35" s="3">
        <v>2.19622300144031E-15</v>
      </c>
      <c r="D35" s="1">
        <v>1.4813920568661799E-2</v>
      </c>
      <c r="E35" s="1">
        <v>0.314</v>
      </c>
      <c r="F35" s="1">
        <v>0.469589147453431</v>
      </c>
      <c r="G35" s="5" t="s">
        <v>6</v>
      </c>
      <c r="I35" s="1">
        <v>-10</v>
      </c>
      <c r="J35" s="3">
        <v>2.19622300144031E-15</v>
      </c>
      <c r="K35" s="1">
        <v>1.4813920568661799E-2</v>
      </c>
      <c r="L35" s="1">
        <v>0.469589147453431</v>
      </c>
      <c r="M35" s="5" t="s">
        <v>6</v>
      </c>
    </row>
    <row r="36" spans="2:13" ht="14.25" customHeight="1" x14ac:dyDescent="0.3">
      <c r="B36" s="1">
        <v>-10</v>
      </c>
      <c r="C36" s="1">
        <v>0.44529781620377601</v>
      </c>
      <c r="D36" s="1">
        <v>4.9460410752554198</v>
      </c>
      <c r="E36" s="1">
        <v>13.065</v>
      </c>
      <c r="F36" s="1">
        <v>88.334467161714798</v>
      </c>
      <c r="G36" s="4" t="s">
        <v>7</v>
      </c>
      <c r="I36" s="1">
        <v>-10</v>
      </c>
      <c r="J36" s="1">
        <v>0.47894834273228098</v>
      </c>
      <c r="K36" s="1">
        <v>21.129190873941099</v>
      </c>
      <c r="L36" s="1">
        <v>62.116569520363797</v>
      </c>
      <c r="M36" s="4" t="s">
        <v>7</v>
      </c>
    </row>
    <row r="37" spans="2:13" ht="14.25" customHeight="1" x14ac:dyDescent="0.3">
      <c r="B37" s="1">
        <v>-10</v>
      </c>
      <c r="C37" s="3">
        <v>3.6173084729605097E-15</v>
      </c>
      <c r="D37" s="1">
        <v>1.50279986717822E-2</v>
      </c>
      <c r="E37" s="1">
        <v>0.48799999999999999</v>
      </c>
      <c r="F37" s="1">
        <v>0.33855073509110301</v>
      </c>
      <c r="G37" s="4" t="s">
        <v>8</v>
      </c>
      <c r="I37" s="1">
        <v>-10</v>
      </c>
      <c r="J37" s="3">
        <v>3.6173084729605097E-15</v>
      </c>
      <c r="K37" s="1">
        <v>1.50279986717822E-2</v>
      </c>
      <c r="L37" s="1">
        <v>0.33855073509110301</v>
      </c>
      <c r="M37" s="4" t="s">
        <v>8</v>
      </c>
    </row>
    <row r="38" spans="2:13" ht="14.25" customHeight="1" x14ac:dyDescent="0.3">
      <c r="B38" s="1">
        <v>-10</v>
      </c>
      <c r="C38" s="1">
        <v>0.76091245523529605</v>
      </c>
      <c r="D38" s="1">
        <v>2.2777313334787399</v>
      </c>
      <c r="E38" s="1">
        <v>13.348000000000001</v>
      </c>
      <c r="F38" s="1">
        <v>95.173577970846495</v>
      </c>
      <c r="G38" s="4" t="s">
        <v>9</v>
      </c>
      <c r="I38" s="1">
        <v>-10</v>
      </c>
      <c r="J38" s="1">
        <v>0.81081675821057497</v>
      </c>
      <c r="K38" s="1">
        <v>18.420013076298702</v>
      </c>
      <c r="L38" s="1">
        <v>56.804551619010802</v>
      </c>
      <c r="M38" s="4" t="s">
        <v>9</v>
      </c>
    </row>
    <row r="39" spans="2:13" ht="14.25" customHeight="1" x14ac:dyDescent="0.3">
      <c r="B39" s="1">
        <v>10</v>
      </c>
      <c r="C39" s="3">
        <v>-2.19622300144031E-15</v>
      </c>
      <c r="D39" s="1">
        <v>1.4813920568661799E-2</v>
      </c>
      <c r="E39" s="1">
        <v>0.314</v>
      </c>
      <c r="F39" s="1">
        <v>0.469589147453431</v>
      </c>
      <c r="G39" s="5" t="s">
        <v>6</v>
      </c>
      <c r="I39" s="1">
        <v>10</v>
      </c>
      <c r="J39" s="3">
        <v>-2.19622300144031E-15</v>
      </c>
      <c r="K39" s="1">
        <v>1.4813920568661799E-2</v>
      </c>
      <c r="L39" s="1">
        <v>0.469589147453431</v>
      </c>
      <c r="M39" s="5" t="s">
        <v>6</v>
      </c>
    </row>
    <row r="40" spans="2:13" ht="14.25" customHeight="1" x14ac:dyDescent="0.3">
      <c r="B40" s="1">
        <v>10</v>
      </c>
      <c r="C40" s="1">
        <v>0.44525577414796902</v>
      </c>
      <c r="D40" s="1">
        <v>4.9154876341530498</v>
      </c>
      <c r="E40" s="1">
        <v>13.05</v>
      </c>
      <c r="F40" s="1">
        <v>88.3273482910365</v>
      </c>
      <c r="G40" s="4" t="s">
        <v>7</v>
      </c>
      <c r="I40" s="1">
        <v>10</v>
      </c>
      <c r="J40" s="1">
        <v>0.47870314719246698</v>
      </c>
      <c r="K40" s="1">
        <v>21.051530357776599</v>
      </c>
      <c r="L40" s="1">
        <v>62.137002058431698</v>
      </c>
      <c r="M40" s="4" t="s">
        <v>7</v>
      </c>
    </row>
    <row r="41" spans="2:13" ht="14.25" customHeight="1" x14ac:dyDescent="0.3">
      <c r="B41" s="1">
        <v>10</v>
      </c>
      <c r="C41" s="3">
        <v>-1.9378438248003299E-15</v>
      </c>
      <c r="D41" s="1">
        <v>1.4744175184837701E-2</v>
      </c>
      <c r="E41" s="1">
        <v>0.312</v>
      </c>
      <c r="F41" s="1">
        <v>0.172324787702238</v>
      </c>
      <c r="G41" s="4" t="s">
        <v>8</v>
      </c>
      <c r="I41" s="1">
        <v>10</v>
      </c>
      <c r="J41" s="3">
        <v>-1.93784382480035E-15</v>
      </c>
      <c r="K41" s="1">
        <v>1.50072990357166E-2</v>
      </c>
      <c r="L41" s="1">
        <v>0.172324787702238</v>
      </c>
      <c r="M41" s="4" t="s">
        <v>8</v>
      </c>
    </row>
    <row r="42" spans="2:13" ht="14.25" customHeight="1" x14ac:dyDescent="0.3">
      <c r="B42" s="1">
        <v>10</v>
      </c>
      <c r="C42" s="1">
        <v>0.76085882946016603</v>
      </c>
      <c r="D42" s="1">
        <v>2.2501731784497201</v>
      </c>
      <c r="E42" s="1">
        <v>13.332000000000001</v>
      </c>
      <c r="F42" s="1">
        <v>95.117460952953394</v>
      </c>
      <c r="G42" s="4" t="s">
        <v>9</v>
      </c>
      <c r="I42" s="1">
        <v>10</v>
      </c>
      <c r="J42" s="1">
        <v>0.81047761679672103</v>
      </c>
      <c r="K42" s="1">
        <v>18.350109075866801</v>
      </c>
      <c r="L42" s="1">
        <v>56.812267546111698</v>
      </c>
      <c r="M42" s="4" t="s">
        <v>9</v>
      </c>
    </row>
    <row r="43" spans="2:13" ht="14.25" customHeight="1" x14ac:dyDescent="0.3">
      <c r="B43" s="1">
        <v>20</v>
      </c>
      <c r="C43" s="3">
        <v>-1.25300009316835E-15</v>
      </c>
      <c r="D43" s="1">
        <v>1.4566395428187899E-2</v>
      </c>
      <c r="E43" s="1">
        <v>0.47699999999999998</v>
      </c>
      <c r="F43" s="1">
        <v>0.57292022767102602</v>
      </c>
      <c r="G43" s="5" t="s">
        <v>6</v>
      </c>
      <c r="I43" s="1">
        <v>20</v>
      </c>
      <c r="J43" s="3">
        <v>-1.25300009316835E-15</v>
      </c>
      <c r="K43" s="1">
        <v>1.4566395428187899E-2</v>
      </c>
      <c r="L43" s="1">
        <v>0.57292022767102602</v>
      </c>
      <c r="M43" s="5" t="s">
        <v>6</v>
      </c>
    </row>
    <row r="44" spans="2:13" ht="14.25" customHeight="1" x14ac:dyDescent="0.3">
      <c r="B44" s="1">
        <v>20</v>
      </c>
      <c r="C44" s="1">
        <v>0.44617633373189503</v>
      </c>
      <c r="D44" s="1">
        <v>6.1317193649653801</v>
      </c>
      <c r="E44" s="1">
        <v>14.12</v>
      </c>
      <c r="F44" s="1">
        <v>88.065708188886603</v>
      </c>
      <c r="G44" s="4" t="s">
        <v>7</v>
      </c>
      <c r="I44" s="1">
        <v>20</v>
      </c>
      <c r="J44" s="1">
        <v>0.485050495736358</v>
      </c>
      <c r="K44" s="1">
        <v>24.357864257246501</v>
      </c>
      <c r="L44" s="1">
        <v>62.554205076336302</v>
      </c>
      <c r="M44" s="4" t="s">
        <v>7</v>
      </c>
    </row>
    <row r="45" spans="2:13" ht="14.25" customHeight="1" x14ac:dyDescent="0.3">
      <c r="B45" s="1">
        <v>20</v>
      </c>
      <c r="C45" s="3">
        <v>-1.2835610710511701E-15</v>
      </c>
      <c r="D45" s="1">
        <v>1.45960084241406E-2</v>
      </c>
      <c r="E45" s="1">
        <v>0.27600000000000002</v>
      </c>
      <c r="F45" s="1">
        <v>0.22350473812378099</v>
      </c>
      <c r="G45" s="4" t="s">
        <v>8</v>
      </c>
      <c r="I45" s="1">
        <v>20</v>
      </c>
      <c r="J45" s="3">
        <v>-1.2835610710504999E-15</v>
      </c>
      <c r="K45" s="1">
        <v>1.45818771718026E-2</v>
      </c>
      <c r="L45" s="1">
        <v>0.22350473812378099</v>
      </c>
      <c r="M45" s="4" t="s">
        <v>8</v>
      </c>
    </row>
    <row r="46" spans="2:13" ht="14.25" customHeight="1" x14ac:dyDescent="0.3">
      <c r="B46" s="1">
        <v>20</v>
      </c>
      <c r="C46" s="1">
        <v>0.76151864848714601</v>
      </c>
      <c r="D46" s="1">
        <v>2.9433725759973601</v>
      </c>
      <c r="E46" s="1">
        <v>14.474</v>
      </c>
      <c r="F46" s="1">
        <v>94.761690049376398</v>
      </c>
      <c r="G46" s="4" t="s">
        <v>9</v>
      </c>
      <c r="I46" s="1">
        <v>20</v>
      </c>
      <c r="J46" s="1">
        <v>0.81747236397297696</v>
      </c>
      <c r="K46" s="1">
        <v>20.893041958120499</v>
      </c>
      <c r="L46" s="1">
        <v>57.004358868279297</v>
      </c>
      <c r="M46" s="4" t="s">
        <v>9</v>
      </c>
    </row>
    <row r="47" spans="2:13" ht="14.25" customHeight="1" x14ac:dyDescent="0.3">
      <c r="B47" s="1">
        <v>30</v>
      </c>
      <c r="C47" s="3">
        <v>-6.6414991108846404E-16</v>
      </c>
      <c r="D47" s="1">
        <v>1.43069606208596E-2</v>
      </c>
      <c r="E47" s="1">
        <v>0.47399999999999998</v>
      </c>
      <c r="F47" s="1">
        <v>0.37311876848936698</v>
      </c>
      <c r="G47" s="5" t="s">
        <v>6</v>
      </c>
      <c r="I47" s="1">
        <v>30</v>
      </c>
      <c r="J47" s="3">
        <v>-6.6414991108847902E-16</v>
      </c>
      <c r="K47" s="1">
        <v>1.43069606208596E-2</v>
      </c>
      <c r="L47" s="1">
        <v>0.37311876848936698</v>
      </c>
      <c r="M47" s="5" t="s">
        <v>6</v>
      </c>
    </row>
    <row r="48" spans="2:13" ht="14.25" customHeight="1" x14ac:dyDescent="0.3">
      <c r="B48" s="1">
        <v>30</v>
      </c>
      <c r="C48" s="1">
        <v>0.44716058075732601</v>
      </c>
      <c r="D48" s="1">
        <v>7.2770296260149401</v>
      </c>
      <c r="E48" s="1">
        <v>16.247</v>
      </c>
      <c r="F48" s="1">
        <v>88.346575234952098</v>
      </c>
      <c r="G48" s="4" t="s">
        <v>7</v>
      </c>
      <c r="I48" s="1">
        <v>30</v>
      </c>
      <c r="J48" s="1">
        <v>0.500953592373521</v>
      </c>
      <c r="K48" s="1">
        <v>30.218898856128298</v>
      </c>
      <c r="L48" s="1">
        <v>61.993966829898604</v>
      </c>
      <c r="M48" s="4" t="s">
        <v>7</v>
      </c>
    </row>
    <row r="49" spans="2:13" ht="14.25" customHeight="1" x14ac:dyDescent="0.3">
      <c r="B49" s="1">
        <v>30</v>
      </c>
      <c r="C49" s="3">
        <v>-1.21109689669077E-15</v>
      </c>
      <c r="D49" s="1">
        <v>1.45502609649392E-2</v>
      </c>
      <c r="E49" s="1">
        <v>0.48</v>
      </c>
      <c r="F49" s="1">
        <v>0.36733702496790599</v>
      </c>
      <c r="G49" s="4" t="s">
        <v>8</v>
      </c>
      <c r="I49" s="1">
        <v>30</v>
      </c>
      <c r="J49" s="3">
        <v>-1.21109689669057E-15</v>
      </c>
      <c r="K49" s="1">
        <v>1.49835000716897E-2</v>
      </c>
      <c r="L49" s="1">
        <v>0.36733702496790599</v>
      </c>
      <c r="M49" s="4" t="s">
        <v>8</v>
      </c>
    </row>
    <row r="50" spans="2:13" ht="14.25" customHeight="1" x14ac:dyDescent="0.3">
      <c r="B50" s="1">
        <v>30</v>
      </c>
      <c r="C50" s="1">
        <v>0.76208623079299898</v>
      </c>
      <c r="D50" s="1">
        <v>3.6496791113301299</v>
      </c>
      <c r="E50" s="1">
        <v>16.643999999999998</v>
      </c>
      <c r="F50" s="1">
        <v>95.194991582825295</v>
      </c>
      <c r="G50" s="4" t="s">
        <v>9</v>
      </c>
      <c r="I50" s="1">
        <v>30</v>
      </c>
      <c r="J50" s="1">
        <v>0.83688424456467903</v>
      </c>
      <c r="K50" s="1">
        <v>25.629447102771099</v>
      </c>
      <c r="L50" s="1">
        <v>56.500928689849701</v>
      </c>
      <c r="M50" s="4" t="s">
        <v>9</v>
      </c>
    </row>
    <row r="51" spans="2:13" ht="14.25" customHeight="1" x14ac:dyDescent="0.3">
      <c r="B51" s="1">
        <v>40</v>
      </c>
      <c r="C51" s="3">
        <v>-4.7369515717340505E-16</v>
      </c>
      <c r="D51" s="1">
        <v>1.4163762864296801E-2</v>
      </c>
      <c r="E51" s="1">
        <v>0.41499999999999998</v>
      </c>
      <c r="F51" s="1">
        <v>0.33861879592788102</v>
      </c>
      <c r="G51" s="5" t="s">
        <v>6</v>
      </c>
      <c r="I51" s="1">
        <v>40</v>
      </c>
      <c r="J51" s="3">
        <v>-4.7369515717344104E-16</v>
      </c>
      <c r="K51" s="1">
        <v>1.4500207595655601E-2</v>
      </c>
      <c r="L51" s="1">
        <v>0.33861879592788102</v>
      </c>
      <c r="M51" s="5" t="s">
        <v>6</v>
      </c>
    </row>
    <row r="52" spans="2:13" ht="14.25" customHeight="1" x14ac:dyDescent="0.3">
      <c r="B52" s="1">
        <v>40</v>
      </c>
      <c r="C52" s="1">
        <v>0.44719411993849301</v>
      </c>
      <c r="D52" s="1">
        <v>7.4864980511011199</v>
      </c>
      <c r="E52" s="1">
        <v>17.088999999999999</v>
      </c>
      <c r="F52" s="1">
        <v>87.74049630431</v>
      </c>
      <c r="G52" s="4" t="s">
        <v>7</v>
      </c>
      <c r="I52" s="1">
        <v>40</v>
      </c>
      <c r="J52" s="1">
        <v>0.504708680362565</v>
      </c>
      <c r="K52" s="1">
        <v>31.939609872520599</v>
      </c>
      <c r="L52" s="1">
        <v>62.096481564177097</v>
      </c>
      <c r="M52" s="4" t="s">
        <v>7</v>
      </c>
    </row>
    <row r="53" spans="2:13" ht="14.25" customHeight="1" x14ac:dyDescent="0.3">
      <c r="B53" s="1">
        <v>40</v>
      </c>
      <c r="C53" s="3">
        <v>-5.1675835328007501E-16</v>
      </c>
      <c r="D53" s="1">
        <v>1.4205385797534499E-2</v>
      </c>
      <c r="E53" s="1">
        <v>0.46700000000000003</v>
      </c>
      <c r="F53" s="1">
        <v>0.17257922736519901</v>
      </c>
      <c r="G53" s="4" t="s">
        <v>8</v>
      </c>
      <c r="I53" s="1">
        <v>40</v>
      </c>
      <c r="J53" s="3">
        <v>-5.1675835328007205E-16</v>
      </c>
      <c r="K53" s="1">
        <v>1.4228886150267E-2</v>
      </c>
      <c r="L53" s="1">
        <v>0.17257922736519901</v>
      </c>
      <c r="M53" s="4" t="s">
        <v>8</v>
      </c>
    </row>
    <row r="54" spans="2:13" ht="14.25" customHeight="1" x14ac:dyDescent="0.3">
      <c r="B54" s="1">
        <v>40</v>
      </c>
      <c r="C54" s="1">
        <v>0.76162006184947695</v>
      </c>
      <c r="D54" s="1">
        <v>3.6239913773999599</v>
      </c>
      <c r="E54" s="1">
        <v>17.477</v>
      </c>
      <c r="F54" s="1">
        <v>95.403747966825193</v>
      </c>
      <c r="G54" s="4" t="s">
        <v>9</v>
      </c>
      <c r="I54" s="1">
        <v>40</v>
      </c>
      <c r="J54" s="1">
        <v>0.84069413254661696</v>
      </c>
      <c r="K54" s="1">
        <v>26.878083045734801</v>
      </c>
      <c r="L54" s="1">
        <v>56.567830942770897</v>
      </c>
      <c r="M54" s="4" t="s">
        <v>9</v>
      </c>
    </row>
    <row r="55" spans="2:13" ht="14.25" customHeight="1" x14ac:dyDescent="0.3">
      <c r="B55" s="1">
        <v>50</v>
      </c>
      <c r="C55" s="3">
        <v>-3.2153853092982302E-16</v>
      </c>
      <c r="D55" s="1">
        <v>1.40160399544321E-2</v>
      </c>
      <c r="E55" s="1">
        <v>0.48299999999999998</v>
      </c>
      <c r="F55" s="1">
        <v>0.25964263531458298</v>
      </c>
      <c r="G55" s="5" t="s">
        <v>6</v>
      </c>
      <c r="I55" s="1">
        <v>50</v>
      </c>
      <c r="J55" s="3">
        <v>-3.2153853092982302E-16</v>
      </c>
      <c r="K55" s="1">
        <v>1.40160399544321E-2</v>
      </c>
      <c r="L55" s="1">
        <v>0.25964263531458298</v>
      </c>
      <c r="M55" s="5" t="s">
        <v>6</v>
      </c>
    </row>
    <row r="56" spans="2:13" ht="14.25" customHeight="1" x14ac:dyDescent="0.3">
      <c r="B56" s="1">
        <v>50</v>
      </c>
      <c r="C56" s="1">
        <v>0.44782938695688101</v>
      </c>
      <c r="D56" s="1">
        <v>8.0379151461348997</v>
      </c>
      <c r="E56" s="1">
        <v>17.221</v>
      </c>
      <c r="F56" s="1">
        <v>87.968324940247697</v>
      </c>
      <c r="G56" s="4" t="s">
        <v>7</v>
      </c>
      <c r="I56" s="1">
        <v>50</v>
      </c>
      <c r="J56" s="1">
        <v>0.51030478020444503</v>
      </c>
      <c r="K56" s="1">
        <v>33.528440202211698</v>
      </c>
      <c r="L56" s="1">
        <v>62.234566829022498</v>
      </c>
      <c r="M56" s="4" t="s">
        <v>7</v>
      </c>
    </row>
    <row r="57" spans="2:13" ht="14.25" customHeight="1" x14ac:dyDescent="0.3">
      <c r="B57" s="1">
        <v>50</v>
      </c>
      <c r="C57" s="3">
        <v>-2.9857149300626102E-16</v>
      </c>
      <c r="D57" s="1">
        <v>1.3971341687062299E-2</v>
      </c>
      <c r="E57" s="1">
        <v>0.45</v>
      </c>
      <c r="F57" s="1">
        <v>0.110336756468832</v>
      </c>
      <c r="G57" s="4" t="s">
        <v>8</v>
      </c>
      <c r="I57" s="1">
        <v>50</v>
      </c>
      <c r="J57" s="3">
        <v>-2.9857149300626102E-16</v>
      </c>
      <c r="K57" s="1">
        <v>1.4232680848225999E-2</v>
      </c>
      <c r="L57" s="1">
        <v>0.110336756468832</v>
      </c>
      <c r="M57" s="4" t="s">
        <v>8</v>
      </c>
    </row>
    <row r="58" spans="2:13" ht="14.25" customHeight="1" x14ac:dyDescent="0.3">
      <c r="B58" s="1">
        <v>50</v>
      </c>
      <c r="C58" s="1">
        <v>0.76102573249751304</v>
      </c>
      <c r="D58" s="1">
        <v>3.4678770039259201</v>
      </c>
      <c r="E58" s="1">
        <v>18.207999999999998</v>
      </c>
      <c r="F58" s="1">
        <v>94.969878258383304</v>
      </c>
      <c r="G58" s="4" t="s">
        <v>9</v>
      </c>
      <c r="I58" s="1">
        <v>50</v>
      </c>
      <c r="J58" s="1">
        <v>0.84674280790766199</v>
      </c>
      <c r="K58" s="1">
        <v>27.986436278888</v>
      </c>
      <c r="L58" s="1">
        <v>56.539782230703203</v>
      </c>
      <c r="M58" s="4" t="s">
        <v>9</v>
      </c>
    </row>
    <row r="59" spans="2:13" ht="14.25" customHeight="1" x14ac:dyDescent="0.3">
      <c r="B59" s="1">
        <v>60</v>
      </c>
      <c r="C59" s="3">
        <v>-2.2512245093389298E-16</v>
      </c>
      <c r="D59" s="1">
        <v>1.3877367900620099E-2</v>
      </c>
      <c r="E59" s="1">
        <v>0.47499999999999998</v>
      </c>
      <c r="F59" s="1">
        <v>0.19509702295783499</v>
      </c>
      <c r="G59" s="5" t="s">
        <v>6</v>
      </c>
      <c r="I59" s="1">
        <v>60</v>
      </c>
      <c r="J59" s="3">
        <v>-2.2512245093389298E-16</v>
      </c>
      <c r="K59" s="1">
        <v>1.3877367900620099E-2</v>
      </c>
      <c r="L59" s="1">
        <v>0.19509702295783499</v>
      </c>
      <c r="M59" s="5" t="s">
        <v>6</v>
      </c>
    </row>
    <row r="60" spans="2:13" ht="14.25" customHeight="1" x14ac:dyDescent="0.3">
      <c r="B60" s="1">
        <v>60</v>
      </c>
      <c r="C60" s="1">
        <v>0.44808895986404601</v>
      </c>
      <c r="D60" s="1">
        <v>8.4361326743918497</v>
      </c>
      <c r="E60" s="1">
        <v>17.324000000000002</v>
      </c>
      <c r="F60" s="1">
        <v>88.208934496025094</v>
      </c>
      <c r="G60" s="4" t="s">
        <v>7</v>
      </c>
      <c r="I60" s="1">
        <v>60</v>
      </c>
      <c r="J60" s="1">
        <v>0.51031759180312697</v>
      </c>
      <c r="K60" s="1">
        <v>34.218275686061297</v>
      </c>
      <c r="L60" s="1">
        <v>62.350071861935703</v>
      </c>
      <c r="M60" s="4" t="s">
        <v>7</v>
      </c>
    </row>
    <row r="61" spans="2:13" ht="14.25" customHeight="1" x14ac:dyDescent="0.3">
      <c r="B61" s="1">
        <v>60</v>
      </c>
      <c r="C61" s="3">
        <v>-4.6900510611227997E-16</v>
      </c>
      <c r="D61" s="1">
        <v>1.41659440545263E-2</v>
      </c>
      <c r="E61" s="1">
        <v>0.48</v>
      </c>
      <c r="F61" s="1">
        <v>0.22332503047167701</v>
      </c>
      <c r="G61" s="4" t="s">
        <v>8</v>
      </c>
      <c r="I61" s="1">
        <v>60</v>
      </c>
      <c r="J61" s="3">
        <v>-4.6900510611227701E-16</v>
      </c>
      <c r="K61" s="1">
        <v>1.41659440545263E-2</v>
      </c>
      <c r="L61" s="1">
        <v>0.22332503047167701</v>
      </c>
      <c r="M61" s="4" t="s">
        <v>8</v>
      </c>
    </row>
    <row r="62" spans="2:13" ht="14.25" customHeight="1" x14ac:dyDescent="0.3">
      <c r="B62" s="1">
        <v>60</v>
      </c>
      <c r="C62" s="1">
        <v>0.76132241294954806</v>
      </c>
      <c r="D62" s="1">
        <v>3.6950755329854901</v>
      </c>
      <c r="E62" s="1">
        <v>18.370999999999999</v>
      </c>
      <c r="F62" s="1">
        <v>95.568554286280801</v>
      </c>
      <c r="G62" s="4" t="s">
        <v>9</v>
      </c>
      <c r="I62" s="1">
        <v>60</v>
      </c>
      <c r="J62" s="1">
        <v>0.84648996052160197</v>
      </c>
      <c r="K62" s="1">
        <v>28.505352928003099</v>
      </c>
      <c r="L62" s="1">
        <v>56.531810288122202</v>
      </c>
      <c r="M62" s="4" t="s">
        <v>9</v>
      </c>
    </row>
    <row r="63" spans="2:13" ht="14.25" customHeight="1" x14ac:dyDescent="0.3">
      <c r="B63" s="1">
        <v>70</v>
      </c>
      <c r="C63" s="3">
        <v>-2.5521534998754801E-16</v>
      </c>
      <c r="D63" s="1">
        <v>1.4478132948249E-2</v>
      </c>
      <c r="E63" s="1">
        <v>0.50900000000000001</v>
      </c>
      <c r="F63" s="1">
        <v>0.27874137080753397</v>
      </c>
      <c r="G63" s="5" t="s">
        <v>6</v>
      </c>
      <c r="I63" s="1">
        <v>70</v>
      </c>
      <c r="J63" s="3">
        <v>-2.5521534998730302E-16</v>
      </c>
      <c r="K63" s="1">
        <v>1.4046610938781699E-2</v>
      </c>
      <c r="L63" s="1">
        <v>0.27874137080753397</v>
      </c>
      <c r="M63" s="5" t="s">
        <v>6</v>
      </c>
    </row>
    <row r="64" spans="2:13" ht="14.25" customHeight="1" x14ac:dyDescent="0.3">
      <c r="B64" s="1">
        <v>70</v>
      </c>
      <c r="C64" s="1">
        <v>0.44769912045612598</v>
      </c>
      <c r="D64" s="1">
        <v>8.5640117378196994</v>
      </c>
      <c r="E64" s="1">
        <v>18.111999999999998</v>
      </c>
      <c r="F64" s="1">
        <v>88.419236100779401</v>
      </c>
      <c r="G64" s="4" t="s">
        <v>7</v>
      </c>
      <c r="I64" s="1">
        <v>70</v>
      </c>
      <c r="J64" s="1">
        <v>0.50937358717733505</v>
      </c>
      <c r="K64" s="1">
        <v>35.310758058525401</v>
      </c>
      <c r="L64" s="1">
        <v>62.518272592881097</v>
      </c>
      <c r="M64" s="4" t="s">
        <v>7</v>
      </c>
    </row>
    <row r="65" spans="2:13" ht="14.25" customHeight="1" x14ac:dyDescent="0.3">
      <c r="B65" s="1">
        <v>70</v>
      </c>
      <c r="C65" s="3">
        <v>-5.4136589391246098E-16</v>
      </c>
      <c r="D65" s="1">
        <v>1.4223765198147401E-2</v>
      </c>
      <c r="E65" s="1">
        <v>0.47699999999999998</v>
      </c>
      <c r="F65" s="1">
        <v>0.229561185610028</v>
      </c>
      <c r="G65" s="4" t="s">
        <v>8</v>
      </c>
      <c r="I65" s="1">
        <v>70</v>
      </c>
      <c r="J65" s="3">
        <v>-5.4136589391249096E-16</v>
      </c>
      <c r="K65" s="1">
        <v>1.4788617603417599E-2</v>
      </c>
      <c r="L65" s="1">
        <v>0.22956118561003899</v>
      </c>
      <c r="M65" s="4" t="s">
        <v>8</v>
      </c>
    </row>
    <row r="66" spans="2:13" ht="14.25" customHeight="1" x14ac:dyDescent="0.3">
      <c r="B66" s="1">
        <v>70</v>
      </c>
      <c r="C66" s="1">
        <v>0.76188214508437202</v>
      </c>
      <c r="D66" s="1">
        <v>4.1271853541260102</v>
      </c>
      <c r="E66" s="1">
        <v>18.632999999999999</v>
      </c>
      <c r="F66" s="1">
        <v>95.868884798167898</v>
      </c>
      <c r="G66" s="4" t="s">
        <v>9</v>
      </c>
      <c r="I66" s="1">
        <v>70</v>
      </c>
      <c r="J66" s="1">
        <v>0.84489780222074795</v>
      </c>
      <c r="K66" s="1">
        <v>29.330235417508501</v>
      </c>
      <c r="L66" s="1">
        <v>56.537272471741701</v>
      </c>
      <c r="M66" s="4" t="s">
        <v>9</v>
      </c>
    </row>
    <row r="67" spans="2:13" ht="14.25" customHeight="1" x14ac:dyDescent="0.3">
      <c r="B67" s="1">
        <v>80</v>
      </c>
      <c r="C67" s="3">
        <v>-2.20751141207022E-16</v>
      </c>
      <c r="D67" s="1">
        <v>1.38637146882817E-2</v>
      </c>
      <c r="E67" s="1">
        <v>0.45700000000000002</v>
      </c>
      <c r="F67" s="1">
        <v>0.294045650691732</v>
      </c>
      <c r="G67" s="5" t="s">
        <v>6</v>
      </c>
      <c r="I67" s="1">
        <v>80</v>
      </c>
      <c r="J67" s="3">
        <v>-2.2075114120696599E-16</v>
      </c>
      <c r="K67" s="1">
        <v>1.44338576999737E-2</v>
      </c>
      <c r="L67" s="1">
        <v>0.294045650691732</v>
      </c>
      <c r="M67" s="5" t="s">
        <v>6</v>
      </c>
    </row>
    <row r="68" spans="2:13" ht="14.25" customHeight="1" x14ac:dyDescent="0.3">
      <c r="B68" s="1">
        <v>80</v>
      </c>
      <c r="C68" s="1">
        <v>0.44812573409175699</v>
      </c>
      <c r="D68" s="1">
        <v>8.6386892052416595</v>
      </c>
      <c r="E68" s="1">
        <v>18.163</v>
      </c>
      <c r="F68" s="1">
        <v>88.204999002444097</v>
      </c>
      <c r="G68" s="4" t="s">
        <v>7</v>
      </c>
      <c r="I68" s="1">
        <v>80</v>
      </c>
      <c r="J68" s="1">
        <v>0.51487712533316399</v>
      </c>
      <c r="K68" s="1">
        <v>36.183860591293303</v>
      </c>
      <c r="L68" s="1">
        <v>62.233163538540197</v>
      </c>
      <c r="M68" s="4" t="s">
        <v>7</v>
      </c>
    </row>
    <row r="69" spans="2:13" ht="14.25" customHeight="1" x14ac:dyDescent="0.3">
      <c r="B69" s="1">
        <v>80</v>
      </c>
      <c r="C69" s="3">
        <v>-5.1048701404123905E-16</v>
      </c>
      <c r="D69" s="1">
        <v>1.42000407843465E-2</v>
      </c>
      <c r="E69" s="1">
        <v>0.48</v>
      </c>
      <c r="F69" s="1">
        <v>0.25368170600708101</v>
      </c>
      <c r="G69" s="4" t="s">
        <v>8</v>
      </c>
      <c r="I69" s="1">
        <v>80</v>
      </c>
      <c r="J69" s="3">
        <v>-5.1048701404123698E-16</v>
      </c>
      <c r="K69" s="1">
        <v>1.42812727940578E-2</v>
      </c>
      <c r="L69" s="1">
        <v>0.25368170600705803</v>
      </c>
      <c r="M69" s="4" t="s">
        <v>8</v>
      </c>
    </row>
    <row r="70" spans="2:13" ht="14.25" customHeight="1" x14ac:dyDescent="0.3">
      <c r="B70" s="1">
        <v>80</v>
      </c>
      <c r="C70" s="1">
        <v>0.76234256772596798</v>
      </c>
      <c r="D70" s="1">
        <v>4.2909351158911297</v>
      </c>
      <c r="E70" s="1">
        <v>18.643999999999998</v>
      </c>
      <c r="F70" s="1">
        <v>95.675235865740305</v>
      </c>
      <c r="G70" s="4" t="s">
        <v>9</v>
      </c>
      <c r="I70" s="1">
        <v>80</v>
      </c>
      <c r="J70" s="1">
        <v>0.85155625581736805</v>
      </c>
      <c r="K70" s="1">
        <v>30.003712771505199</v>
      </c>
      <c r="L70" s="1">
        <v>56.465383372356797</v>
      </c>
      <c r="M70" s="4" t="s">
        <v>9</v>
      </c>
    </row>
    <row r="71" spans="2:13" ht="14.25" customHeight="1" x14ac:dyDescent="0.3">
      <c r="B71" s="1">
        <v>90</v>
      </c>
      <c r="C71" s="3">
        <v>-2.0069327531333899E-16</v>
      </c>
      <c r="D71" s="1">
        <v>1.38332661232132E-2</v>
      </c>
      <c r="E71" s="1">
        <v>0.48199999999999998</v>
      </c>
      <c r="F71" s="1">
        <v>0.29724777895103799</v>
      </c>
      <c r="G71" s="5" t="s">
        <v>6</v>
      </c>
      <c r="I71" s="1">
        <v>90</v>
      </c>
      <c r="J71" s="3">
        <v>-2.0069327531334099E-16</v>
      </c>
      <c r="K71" s="1">
        <v>1.38332661232132E-2</v>
      </c>
      <c r="L71" s="1">
        <v>0.29724777895103799</v>
      </c>
      <c r="M71" s="5" t="s">
        <v>6</v>
      </c>
    </row>
    <row r="72" spans="2:13" ht="14.25" customHeight="1" x14ac:dyDescent="0.3">
      <c r="B72" s="1">
        <v>90</v>
      </c>
      <c r="C72" s="1">
        <v>0.44785799818961802</v>
      </c>
      <c r="D72" s="1">
        <v>8.6985701888912104</v>
      </c>
      <c r="E72" s="1">
        <v>19.113</v>
      </c>
      <c r="F72" s="1">
        <v>88.235984963647198</v>
      </c>
      <c r="G72" s="4" t="s">
        <v>7</v>
      </c>
      <c r="I72" s="1">
        <v>90</v>
      </c>
      <c r="J72" s="1">
        <v>0.51502199696898998</v>
      </c>
      <c r="K72" s="1">
        <v>37.593545095722199</v>
      </c>
      <c r="L72" s="1">
        <v>61.905040050644999</v>
      </c>
      <c r="M72" s="4" t="s">
        <v>7</v>
      </c>
    </row>
    <row r="73" spans="2:13" ht="14.25" customHeight="1" x14ac:dyDescent="0.3">
      <c r="B73" s="1">
        <v>90</v>
      </c>
      <c r="C73" s="3">
        <v>4.84024958108642E-16</v>
      </c>
      <c r="D73" s="1">
        <v>1.4178606981165401E-2</v>
      </c>
      <c r="E73" s="1">
        <v>0.32600000000000001</v>
      </c>
      <c r="F73" s="1">
        <v>0.347255189744689</v>
      </c>
      <c r="G73" s="4" t="s">
        <v>8</v>
      </c>
      <c r="I73" s="1">
        <v>90</v>
      </c>
      <c r="J73" s="3">
        <v>4.8402495810864604E-16</v>
      </c>
      <c r="K73" s="1">
        <v>1.4178606981165401E-2</v>
      </c>
      <c r="L73" s="1">
        <v>0.347255189744689</v>
      </c>
      <c r="M73" s="4" t="s">
        <v>8</v>
      </c>
    </row>
    <row r="74" spans="2:13" ht="14.25" customHeight="1" x14ac:dyDescent="0.3">
      <c r="B74" s="1">
        <v>90</v>
      </c>
      <c r="C74" s="1">
        <v>0.76217396306405105</v>
      </c>
      <c r="D74" s="1">
        <v>4.3091039813094296</v>
      </c>
      <c r="E74" s="1">
        <v>19.579999999999998</v>
      </c>
      <c r="F74" s="1">
        <v>95.726492154334593</v>
      </c>
      <c r="G74" s="4" t="s">
        <v>9</v>
      </c>
      <c r="I74" s="1">
        <v>90</v>
      </c>
      <c r="J74" s="1">
        <v>0.852441475675358</v>
      </c>
      <c r="K74" s="1">
        <v>31.317073427882502</v>
      </c>
      <c r="L74" s="1">
        <v>56.239860687437101</v>
      </c>
      <c r="M74" s="4" t="s">
        <v>9</v>
      </c>
    </row>
    <row r="75" spans="2:13" ht="14.25" customHeight="1" x14ac:dyDescent="0.3">
      <c r="G75" s="4"/>
      <c r="M75" s="4"/>
    </row>
    <row r="76" spans="2:13" ht="14.25" customHeight="1" x14ac:dyDescent="0.3">
      <c r="G76" s="4"/>
      <c r="M76" s="4"/>
    </row>
    <row r="77" spans="2:13" ht="14.25" customHeight="1" x14ac:dyDescent="0.3">
      <c r="G77" s="4"/>
      <c r="M77" s="4"/>
    </row>
    <row r="78" spans="2:13" ht="14.25" customHeight="1" x14ac:dyDescent="0.3">
      <c r="G78" s="4"/>
      <c r="M78" s="4"/>
    </row>
    <row r="79" spans="2:13" ht="14.25" customHeight="1" x14ac:dyDescent="0.3">
      <c r="G79" s="4"/>
      <c r="M79" s="4"/>
    </row>
    <row r="80" spans="2:13" ht="14.25" customHeight="1" x14ac:dyDescent="0.3">
      <c r="G80" s="4"/>
      <c r="M80" s="4"/>
    </row>
    <row r="81" spans="4:23" ht="14.25" customHeight="1" x14ac:dyDescent="0.3">
      <c r="G81" s="4"/>
      <c r="M81" s="4"/>
    </row>
    <row r="82" spans="4:23" ht="14.25" customHeight="1" x14ac:dyDescent="0.3">
      <c r="G82" s="4"/>
      <c r="M82" s="4"/>
    </row>
    <row r="83" spans="4:23" ht="14.25" customHeight="1" x14ac:dyDescent="0.3">
      <c r="G83" s="4"/>
      <c r="M83" s="4"/>
    </row>
    <row r="84" spans="4:23" ht="14.25" customHeight="1" x14ac:dyDescent="0.3">
      <c r="G84" s="4"/>
      <c r="M84" s="4"/>
    </row>
    <row r="85" spans="4:23" ht="14.25" customHeight="1" x14ac:dyDescent="0.3">
      <c r="G85" s="4"/>
      <c r="M85" s="4"/>
    </row>
    <row r="86" spans="4:23" ht="14.25" customHeight="1" x14ac:dyDescent="0.3">
      <c r="G86" s="4"/>
      <c r="M86" s="4"/>
    </row>
    <row r="87" spans="4:23" ht="14.25" customHeight="1" x14ac:dyDescent="0.3">
      <c r="D87" s="1">
        <v>-90</v>
      </c>
      <c r="E87" s="1">
        <v>-80</v>
      </c>
      <c r="F87" s="1">
        <v>-70</v>
      </c>
      <c r="G87" s="4">
        <v>-60</v>
      </c>
      <c r="H87" s="1">
        <v>-50</v>
      </c>
      <c r="I87" s="1">
        <v>-40</v>
      </c>
      <c r="J87" s="1">
        <v>-30</v>
      </c>
      <c r="K87" s="1">
        <v>-20</v>
      </c>
      <c r="L87" s="1">
        <v>-10</v>
      </c>
      <c r="M87" s="4">
        <v>10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4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4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>
      <c r="G89" s="4"/>
      <c r="M89" s="4"/>
    </row>
    <row r="90" spans="4:23" ht="14.25" customHeight="1" x14ac:dyDescent="0.3">
      <c r="G90" s="4"/>
      <c r="M90" s="4"/>
    </row>
    <row r="91" spans="4:23" ht="14.25" customHeight="1" x14ac:dyDescent="0.3">
      <c r="G91" s="4"/>
      <c r="M91" s="4"/>
    </row>
    <row r="92" spans="4:23" ht="14.25" customHeight="1" x14ac:dyDescent="0.3">
      <c r="G92" s="4"/>
      <c r="M92" s="4"/>
    </row>
    <row r="93" spans="4:23" ht="14.25" customHeight="1" x14ac:dyDescent="0.3">
      <c r="G93" s="4"/>
      <c r="M93" s="4"/>
    </row>
    <row r="94" spans="4:23" ht="14.25" customHeight="1" x14ac:dyDescent="0.3">
      <c r="G94" s="4"/>
      <c r="M94" s="4"/>
    </row>
    <row r="95" spans="4:23" ht="14.25" customHeight="1" x14ac:dyDescent="0.3">
      <c r="G95" s="4"/>
      <c r="M95" s="4"/>
    </row>
    <row r="96" spans="4:23" ht="14.25" customHeight="1" x14ac:dyDescent="0.3">
      <c r="G96" s="4"/>
      <c r="M96" s="4"/>
    </row>
    <row r="97" spans="7:13" ht="14.25" customHeight="1" x14ac:dyDescent="0.3">
      <c r="G97" s="4"/>
      <c r="M97" s="4"/>
    </row>
    <row r="98" spans="7:13" ht="14.25" customHeight="1" x14ac:dyDescent="0.3">
      <c r="G98" s="4"/>
      <c r="M98" s="4"/>
    </row>
    <row r="99" spans="7:13" ht="14.25" customHeight="1" x14ac:dyDescent="0.3">
      <c r="G99" s="4"/>
      <c r="M99" s="4"/>
    </row>
    <row r="100" spans="7:13" ht="14.25" customHeight="1" x14ac:dyDescent="0.3">
      <c r="G100" s="4"/>
      <c r="M100" s="4"/>
    </row>
    <row r="101" spans="7:13" ht="14.25" customHeight="1" x14ac:dyDescent="0.3">
      <c r="G101" s="4"/>
      <c r="M101" s="4"/>
    </row>
    <row r="102" spans="7:13" ht="14.25" customHeight="1" x14ac:dyDescent="0.3">
      <c r="G102" s="4"/>
      <c r="M102" s="4"/>
    </row>
    <row r="103" spans="7:13" ht="14.25" customHeight="1" x14ac:dyDescent="0.3">
      <c r="G103" s="4"/>
      <c r="M103" s="4"/>
    </row>
    <row r="104" spans="7:13" ht="14.25" customHeight="1" x14ac:dyDescent="0.3">
      <c r="G104" s="4"/>
      <c r="M104" s="4"/>
    </row>
    <row r="105" spans="7:13" ht="14.25" customHeight="1" x14ac:dyDescent="0.3">
      <c r="G105" s="4"/>
      <c r="M105" s="4"/>
    </row>
    <row r="106" spans="7:13" ht="14.25" customHeight="1" x14ac:dyDescent="0.3">
      <c r="G106" s="4"/>
      <c r="M106" s="4"/>
    </row>
    <row r="107" spans="7:13" ht="14.25" customHeight="1" x14ac:dyDescent="0.3">
      <c r="G107" s="4"/>
      <c r="M107" s="4"/>
    </row>
    <row r="108" spans="7:13" ht="14.25" customHeight="1" x14ac:dyDescent="0.3">
      <c r="G108" s="4"/>
      <c r="M108" s="4"/>
    </row>
    <row r="109" spans="7:13" ht="14.25" customHeight="1" x14ac:dyDescent="0.3">
      <c r="G109" s="4"/>
      <c r="M109" s="4"/>
    </row>
    <row r="110" spans="7:13" ht="14.25" customHeight="1" x14ac:dyDescent="0.3">
      <c r="G110" s="4"/>
      <c r="M110" s="4"/>
    </row>
    <row r="111" spans="7:13" ht="14.25" customHeight="1" x14ac:dyDescent="0.3">
      <c r="G111" s="4"/>
      <c r="M111" s="4"/>
    </row>
    <row r="112" spans="7:13" ht="14.25" customHeight="1" x14ac:dyDescent="0.3">
      <c r="G112" s="4"/>
      <c r="M112" s="4"/>
    </row>
    <row r="113" spans="7:13" ht="14.25" customHeight="1" x14ac:dyDescent="0.3">
      <c r="G113" s="4"/>
      <c r="M113" s="4"/>
    </row>
    <row r="114" spans="7:13" ht="14.25" customHeight="1" x14ac:dyDescent="0.3">
      <c r="G114" s="4"/>
      <c r="M114" s="4"/>
    </row>
    <row r="115" spans="7:13" ht="14.25" customHeight="1" x14ac:dyDescent="0.3">
      <c r="G115" s="4"/>
      <c r="M115" s="4"/>
    </row>
    <row r="116" spans="7:13" ht="14.25" customHeight="1" x14ac:dyDescent="0.3">
      <c r="G116" s="4"/>
      <c r="M116" s="4"/>
    </row>
    <row r="117" spans="7:13" ht="14.25" customHeight="1" x14ac:dyDescent="0.3">
      <c r="G117" s="4"/>
      <c r="M117" s="4"/>
    </row>
    <row r="118" spans="7:13" ht="14.25" customHeight="1" x14ac:dyDescent="0.3">
      <c r="G118" s="4"/>
      <c r="M118" s="4"/>
    </row>
    <row r="119" spans="7:13" ht="14.25" customHeight="1" x14ac:dyDescent="0.3">
      <c r="G119" s="4"/>
      <c r="M119" s="4"/>
    </row>
    <row r="120" spans="7:13" ht="14.25" customHeight="1" x14ac:dyDescent="0.3">
      <c r="G120" s="4"/>
      <c r="M120" s="4"/>
    </row>
    <row r="121" spans="7:13" ht="14.25" customHeight="1" x14ac:dyDescent="0.3">
      <c r="G121" s="4"/>
      <c r="M121" s="4"/>
    </row>
    <row r="122" spans="7:13" ht="14.25" customHeight="1" x14ac:dyDescent="0.3">
      <c r="G122" s="4"/>
      <c r="M122" s="4"/>
    </row>
    <row r="123" spans="7:13" ht="14.25" customHeight="1" x14ac:dyDescent="0.3">
      <c r="G123" s="4"/>
      <c r="M123" s="4"/>
    </row>
    <row r="124" spans="7:13" ht="14.25" customHeight="1" x14ac:dyDescent="0.3">
      <c r="G124" s="4"/>
      <c r="M124" s="4"/>
    </row>
    <row r="125" spans="7:13" ht="14.25" customHeight="1" x14ac:dyDescent="0.3">
      <c r="G125" s="4"/>
      <c r="M125" s="4"/>
    </row>
    <row r="126" spans="7:13" ht="14.25" customHeight="1" x14ac:dyDescent="0.3">
      <c r="G126" s="4"/>
      <c r="M126" s="4"/>
    </row>
    <row r="127" spans="7:13" ht="14.25" customHeight="1" x14ac:dyDescent="0.3">
      <c r="G127" s="4"/>
      <c r="M127" s="4"/>
    </row>
    <row r="128" spans="7:13" ht="14.25" customHeight="1" x14ac:dyDescent="0.3">
      <c r="G128" s="4"/>
      <c r="M128" s="4"/>
    </row>
    <row r="129" spans="7:13" ht="14.25" customHeight="1" x14ac:dyDescent="0.3">
      <c r="G129" s="4"/>
      <c r="M129" s="4"/>
    </row>
    <row r="130" spans="7:13" ht="14.25" customHeight="1" x14ac:dyDescent="0.3">
      <c r="G130" s="4"/>
      <c r="M130" s="4"/>
    </row>
    <row r="131" spans="7:13" ht="14.25" customHeight="1" x14ac:dyDescent="0.3">
      <c r="G131" s="4"/>
      <c r="M131" s="4"/>
    </row>
    <row r="132" spans="7:13" ht="14.25" customHeight="1" x14ac:dyDescent="0.3">
      <c r="G132" s="4"/>
      <c r="M132" s="4"/>
    </row>
    <row r="133" spans="7:13" ht="14.25" customHeight="1" x14ac:dyDescent="0.3">
      <c r="G133" s="4"/>
      <c r="M133" s="4"/>
    </row>
    <row r="134" spans="7:13" ht="14.25" customHeight="1" x14ac:dyDescent="0.3">
      <c r="G134" s="4"/>
      <c r="M134" s="4"/>
    </row>
    <row r="135" spans="7:13" ht="14.25" customHeight="1" x14ac:dyDescent="0.3">
      <c r="G135" s="4"/>
      <c r="M135" s="4"/>
    </row>
    <row r="136" spans="7:13" ht="14.25" customHeight="1" x14ac:dyDescent="0.3">
      <c r="G136" s="4"/>
      <c r="M136" s="4"/>
    </row>
    <row r="137" spans="7:13" ht="14.25" customHeight="1" x14ac:dyDescent="0.3">
      <c r="G137" s="4"/>
      <c r="M137" s="4"/>
    </row>
    <row r="138" spans="7:13" ht="14.25" customHeight="1" x14ac:dyDescent="0.3">
      <c r="G138" s="4"/>
      <c r="M138" s="4"/>
    </row>
    <row r="139" spans="7:13" ht="14.25" customHeight="1" x14ac:dyDescent="0.3">
      <c r="G139" s="4"/>
      <c r="M139" s="4"/>
    </row>
    <row r="140" spans="7:13" ht="14.25" customHeight="1" x14ac:dyDescent="0.3">
      <c r="G140" s="4"/>
      <c r="M140" s="4"/>
    </row>
    <row r="141" spans="7:13" ht="14.25" customHeight="1" x14ac:dyDescent="0.3">
      <c r="G141" s="4"/>
      <c r="M141" s="4"/>
    </row>
    <row r="142" spans="7:13" ht="14.25" customHeight="1" x14ac:dyDescent="0.3">
      <c r="G142" s="4"/>
      <c r="M142" s="4"/>
    </row>
    <row r="143" spans="7:13" ht="14.25" customHeight="1" x14ac:dyDescent="0.3">
      <c r="G143" s="4"/>
      <c r="M143" s="4"/>
    </row>
    <row r="144" spans="7:13" ht="14.25" customHeight="1" x14ac:dyDescent="0.3">
      <c r="G144" s="4"/>
      <c r="M144" s="4"/>
    </row>
    <row r="145" spans="7:13" ht="14.25" customHeight="1" x14ac:dyDescent="0.3">
      <c r="G145" s="4"/>
      <c r="M145" s="4"/>
    </row>
    <row r="146" spans="7:13" ht="14.25" customHeight="1" x14ac:dyDescent="0.3">
      <c r="G146" s="4"/>
      <c r="M146" s="4"/>
    </row>
    <row r="147" spans="7:13" ht="14.25" customHeight="1" x14ac:dyDescent="0.3">
      <c r="G147" s="4"/>
      <c r="M147" s="4"/>
    </row>
    <row r="148" spans="7:13" ht="14.25" customHeight="1" x14ac:dyDescent="0.3">
      <c r="G148" s="4"/>
      <c r="M148" s="4"/>
    </row>
    <row r="149" spans="7:13" ht="14.25" customHeight="1" x14ac:dyDescent="0.3">
      <c r="G149" s="4"/>
      <c r="M149" s="4"/>
    </row>
    <row r="150" spans="7:13" ht="14.25" customHeight="1" x14ac:dyDescent="0.3">
      <c r="G150" s="4"/>
      <c r="M150" s="4"/>
    </row>
    <row r="151" spans="7:13" ht="14.25" customHeight="1" x14ac:dyDescent="0.3">
      <c r="G151" s="4"/>
      <c r="M151" s="4"/>
    </row>
    <row r="152" spans="7:13" ht="14.25" customHeight="1" x14ac:dyDescent="0.3">
      <c r="G152" s="4"/>
      <c r="M152" s="4"/>
    </row>
    <row r="153" spans="7:13" ht="14.25" customHeight="1" x14ac:dyDescent="0.3">
      <c r="G153" s="4"/>
      <c r="M153" s="4"/>
    </row>
    <row r="154" spans="7:13" ht="14.25" customHeight="1" x14ac:dyDescent="0.3">
      <c r="G154" s="4"/>
      <c r="M154" s="4"/>
    </row>
    <row r="155" spans="7:13" ht="14.25" customHeight="1" x14ac:dyDescent="0.3">
      <c r="G155" s="4"/>
      <c r="M155" s="4"/>
    </row>
    <row r="156" spans="7:13" ht="14.25" customHeight="1" x14ac:dyDescent="0.3">
      <c r="G156" s="4"/>
      <c r="M156" s="4"/>
    </row>
    <row r="157" spans="7:13" ht="14.25" customHeight="1" x14ac:dyDescent="0.3">
      <c r="G157" s="4"/>
      <c r="M157" s="4"/>
    </row>
    <row r="158" spans="7:13" ht="14.25" customHeight="1" x14ac:dyDescent="0.3">
      <c r="G158" s="4"/>
      <c r="M158" s="4"/>
    </row>
    <row r="159" spans="7:13" ht="14.25" customHeight="1" x14ac:dyDescent="0.3">
      <c r="G159" s="4"/>
      <c r="M159" s="4"/>
    </row>
    <row r="160" spans="7:13" ht="14.25" customHeight="1" x14ac:dyDescent="0.3">
      <c r="G160" s="4"/>
      <c r="M160" s="4"/>
    </row>
    <row r="161" spans="7:13" ht="14.25" customHeight="1" x14ac:dyDescent="0.3">
      <c r="G161" s="4"/>
      <c r="M161" s="4"/>
    </row>
    <row r="162" spans="7:13" ht="14.25" customHeight="1" x14ac:dyDescent="0.3">
      <c r="G162" s="4"/>
      <c r="M162" s="4"/>
    </row>
    <row r="163" spans="7:13" ht="14.25" customHeight="1" x14ac:dyDescent="0.3">
      <c r="G163" s="4"/>
      <c r="M163" s="4"/>
    </row>
    <row r="164" spans="7:13" ht="14.25" customHeight="1" x14ac:dyDescent="0.3">
      <c r="G164" s="4"/>
      <c r="M164" s="4"/>
    </row>
    <row r="165" spans="7:13" ht="14.25" customHeight="1" x14ac:dyDescent="0.3">
      <c r="G165" s="4"/>
      <c r="M165" s="4"/>
    </row>
    <row r="166" spans="7:13" ht="14.25" customHeight="1" x14ac:dyDescent="0.3">
      <c r="G166" s="4"/>
      <c r="M166" s="4"/>
    </row>
    <row r="167" spans="7:13" ht="14.25" customHeight="1" x14ac:dyDescent="0.3">
      <c r="G167" s="4"/>
      <c r="M167" s="4"/>
    </row>
    <row r="168" spans="7:13" ht="14.25" customHeight="1" x14ac:dyDescent="0.3">
      <c r="G168" s="4"/>
      <c r="M168" s="4"/>
    </row>
    <row r="169" spans="7:13" ht="14.25" customHeight="1" x14ac:dyDescent="0.3">
      <c r="G169" s="4"/>
      <c r="M169" s="4"/>
    </row>
    <row r="170" spans="7:13" ht="14.25" customHeight="1" x14ac:dyDescent="0.3">
      <c r="G170" s="4"/>
      <c r="M170" s="4"/>
    </row>
    <row r="171" spans="7:13" ht="14.25" customHeight="1" x14ac:dyDescent="0.3">
      <c r="G171" s="4"/>
      <c r="M171" s="4"/>
    </row>
    <row r="172" spans="7:13" ht="14.25" customHeight="1" x14ac:dyDescent="0.3">
      <c r="G172" s="4"/>
      <c r="M172" s="4"/>
    </row>
    <row r="173" spans="7:13" ht="14.25" customHeight="1" x14ac:dyDescent="0.3">
      <c r="G173" s="4"/>
      <c r="M173" s="4"/>
    </row>
    <row r="174" spans="7:13" ht="14.25" customHeight="1" x14ac:dyDescent="0.3">
      <c r="G174" s="4"/>
      <c r="M174" s="4"/>
    </row>
    <row r="175" spans="7:13" ht="14.25" customHeight="1" x14ac:dyDescent="0.3">
      <c r="G175" s="4"/>
      <c r="M175" s="4"/>
    </row>
    <row r="176" spans="7:13" ht="14.25" customHeight="1" x14ac:dyDescent="0.3">
      <c r="G176" s="4"/>
      <c r="M176" s="4"/>
    </row>
    <row r="177" spans="7:13" ht="14.25" customHeight="1" x14ac:dyDescent="0.3">
      <c r="G177" s="4"/>
      <c r="M177" s="4"/>
    </row>
    <row r="178" spans="7:13" ht="14.25" customHeight="1" x14ac:dyDescent="0.3">
      <c r="G178" s="4"/>
      <c r="M178" s="4"/>
    </row>
    <row r="179" spans="7:13" ht="14.25" customHeight="1" x14ac:dyDescent="0.3">
      <c r="G179" s="4"/>
      <c r="M179" s="4"/>
    </row>
    <row r="180" spans="7:13" ht="14.25" customHeight="1" x14ac:dyDescent="0.3">
      <c r="G180" s="4"/>
      <c r="M180" s="4"/>
    </row>
    <row r="181" spans="7:13" ht="14.25" customHeight="1" x14ac:dyDescent="0.3">
      <c r="G181" s="4"/>
      <c r="M181" s="4"/>
    </row>
    <row r="182" spans="7:13" ht="14.25" customHeight="1" x14ac:dyDescent="0.3">
      <c r="G182" s="4"/>
      <c r="M182" s="4"/>
    </row>
    <row r="183" spans="7:13" ht="14.25" customHeight="1" x14ac:dyDescent="0.3">
      <c r="G183" s="4"/>
      <c r="M183" s="4"/>
    </row>
    <row r="184" spans="7:13" ht="14.25" customHeight="1" x14ac:dyDescent="0.3">
      <c r="G184" s="4"/>
      <c r="M184" s="4"/>
    </row>
    <row r="185" spans="7:13" ht="14.25" customHeight="1" x14ac:dyDescent="0.3">
      <c r="G185" s="4"/>
      <c r="M185" s="4"/>
    </row>
    <row r="186" spans="7:13" ht="14.25" customHeight="1" x14ac:dyDescent="0.3">
      <c r="G186" s="4"/>
      <c r="M186" s="4"/>
    </row>
    <row r="187" spans="7:13" ht="14.25" customHeight="1" x14ac:dyDescent="0.3">
      <c r="G187" s="4"/>
      <c r="M187" s="4"/>
    </row>
    <row r="188" spans="7:13" ht="14.25" customHeight="1" x14ac:dyDescent="0.3">
      <c r="G188" s="4"/>
      <c r="M188" s="4"/>
    </row>
    <row r="189" spans="7:13" ht="14.25" customHeight="1" x14ac:dyDescent="0.3">
      <c r="G189" s="4"/>
      <c r="M189" s="4"/>
    </row>
    <row r="190" spans="7:13" ht="14.25" customHeight="1" x14ac:dyDescent="0.3">
      <c r="G190" s="4"/>
      <c r="M190" s="4"/>
    </row>
    <row r="191" spans="7:13" ht="14.25" customHeight="1" x14ac:dyDescent="0.3">
      <c r="G191" s="4"/>
      <c r="M191" s="4"/>
    </row>
    <row r="192" spans="7:13" ht="14.25" customHeight="1" x14ac:dyDescent="0.3">
      <c r="G192" s="4"/>
      <c r="M192" s="4"/>
    </row>
    <row r="193" spans="7:13" ht="14.25" customHeight="1" x14ac:dyDescent="0.3">
      <c r="G193" s="4"/>
      <c r="M193" s="4"/>
    </row>
    <row r="194" spans="7:13" ht="14.25" customHeight="1" x14ac:dyDescent="0.3">
      <c r="G194" s="4"/>
      <c r="M194" s="4"/>
    </row>
    <row r="195" spans="7:13" ht="14.25" customHeight="1" x14ac:dyDescent="0.3">
      <c r="G195" s="4"/>
      <c r="M195" s="4"/>
    </row>
    <row r="196" spans="7:13" ht="14.25" customHeight="1" x14ac:dyDescent="0.3">
      <c r="G196" s="4"/>
      <c r="M196" s="4"/>
    </row>
    <row r="197" spans="7:13" ht="14.25" customHeight="1" x14ac:dyDescent="0.3">
      <c r="G197" s="4"/>
      <c r="M197" s="4"/>
    </row>
    <row r="198" spans="7:13" ht="14.25" customHeight="1" x14ac:dyDescent="0.3">
      <c r="G198" s="4"/>
      <c r="M198" s="4"/>
    </row>
    <row r="199" spans="7:13" ht="14.25" customHeight="1" x14ac:dyDescent="0.3">
      <c r="G199" s="4"/>
      <c r="M199" s="4"/>
    </row>
    <row r="200" spans="7:13" ht="14.25" customHeight="1" x14ac:dyDescent="0.3">
      <c r="G200" s="4"/>
      <c r="M200" s="4"/>
    </row>
    <row r="201" spans="7:13" ht="14.25" customHeight="1" x14ac:dyDescent="0.3">
      <c r="G201" s="4"/>
      <c r="M201" s="4"/>
    </row>
    <row r="202" spans="7:13" ht="14.25" customHeight="1" x14ac:dyDescent="0.3">
      <c r="G202" s="4"/>
      <c r="M202" s="4"/>
    </row>
    <row r="203" spans="7:13" ht="14.25" customHeight="1" x14ac:dyDescent="0.3">
      <c r="G203" s="4"/>
      <c r="M203" s="4"/>
    </row>
    <row r="204" spans="7:13" ht="14.25" customHeight="1" x14ac:dyDescent="0.3">
      <c r="G204" s="4"/>
      <c r="M204" s="4"/>
    </row>
    <row r="205" spans="7:13" ht="14.25" customHeight="1" x14ac:dyDescent="0.3">
      <c r="G205" s="4"/>
      <c r="M205" s="4"/>
    </row>
    <row r="206" spans="7:13" ht="14.25" customHeight="1" x14ac:dyDescent="0.3">
      <c r="G206" s="4"/>
      <c r="M206" s="4"/>
    </row>
    <row r="207" spans="7:13" ht="14.25" customHeight="1" x14ac:dyDescent="0.3">
      <c r="G207" s="4"/>
      <c r="M207" s="4"/>
    </row>
    <row r="208" spans="7:13" ht="14.25" customHeight="1" x14ac:dyDescent="0.3">
      <c r="G208" s="4"/>
      <c r="M208" s="4"/>
    </row>
    <row r="209" spans="7:13" ht="14.25" customHeight="1" x14ac:dyDescent="0.3">
      <c r="G209" s="4"/>
      <c r="M209" s="4"/>
    </row>
    <row r="210" spans="7:13" ht="14.25" customHeight="1" x14ac:dyDescent="0.3">
      <c r="G210" s="4"/>
      <c r="M210" s="4"/>
    </row>
    <row r="211" spans="7:13" ht="14.25" customHeight="1" x14ac:dyDescent="0.3">
      <c r="G211" s="4"/>
      <c r="M211" s="4"/>
    </row>
    <row r="212" spans="7:13" ht="14.25" customHeight="1" x14ac:dyDescent="0.3">
      <c r="G212" s="4"/>
      <c r="M212" s="4"/>
    </row>
    <row r="213" spans="7:13" ht="14.25" customHeight="1" x14ac:dyDescent="0.3">
      <c r="G213" s="4"/>
      <c r="M213" s="4"/>
    </row>
    <row r="214" spans="7:13" ht="14.25" customHeight="1" x14ac:dyDescent="0.3">
      <c r="G214" s="4"/>
      <c r="M214" s="4"/>
    </row>
    <row r="215" spans="7:13" ht="14.25" customHeight="1" x14ac:dyDescent="0.3">
      <c r="G215" s="4"/>
      <c r="M215" s="4"/>
    </row>
    <row r="216" spans="7:13" ht="14.25" customHeight="1" x14ac:dyDescent="0.3">
      <c r="G216" s="4"/>
      <c r="M216" s="4"/>
    </row>
    <row r="217" spans="7:13" ht="14.25" customHeight="1" x14ac:dyDescent="0.3">
      <c r="G217" s="4"/>
      <c r="M217" s="4"/>
    </row>
    <row r="218" spans="7:13" ht="14.25" customHeight="1" x14ac:dyDescent="0.3">
      <c r="G218" s="4"/>
      <c r="M218" s="4"/>
    </row>
    <row r="219" spans="7:13" ht="14.25" customHeight="1" x14ac:dyDescent="0.3">
      <c r="G219" s="4"/>
      <c r="M219" s="4"/>
    </row>
    <row r="220" spans="7:13" ht="14.25" customHeight="1" x14ac:dyDescent="0.3">
      <c r="G220" s="4"/>
      <c r="M220" s="4"/>
    </row>
    <row r="221" spans="7:13" ht="14.25" customHeight="1" x14ac:dyDescent="0.3">
      <c r="G221" s="4"/>
      <c r="M221" s="4"/>
    </row>
    <row r="222" spans="7:13" ht="14.25" customHeight="1" x14ac:dyDescent="0.3">
      <c r="G222" s="4"/>
      <c r="M222" s="4"/>
    </row>
    <row r="223" spans="7:13" ht="14.25" customHeight="1" x14ac:dyDescent="0.3">
      <c r="G223" s="4"/>
      <c r="M223" s="4"/>
    </row>
    <row r="224" spans="7:13" ht="14.25" customHeight="1" x14ac:dyDescent="0.3">
      <c r="G224" s="4"/>
      <c r="M224" s="4"/>
    </row>
    <row r="225" spans="7:13" ht="14.25" customHeight="1" x14ac:dyDescent="0.3">
      <c r="G225" s="4"/>
      <c r="M225" s="4"/>
    </row>
    <row r="226" spans="7:13" ht="14.25" customHeight="1" x14ac:dyDescent="0.3">
      <c r="G226" s="4"/>
      <c r="M226" s="4"/>
    </row>
    <row r="227" spans="7:13" ht="14.25" customHeight="1" x14ac:dyDescent="0.3">
      <c r="G227" s="4"/>
      <c r="M227" s="4"/>
    </row>
    <row r="228" spans="7:13" ht="14.25" customHeight="1" x14ac:dyDescent="0.3">
      <c r="G228" s="4"/>
      <c r="M228" s="4"/>
    </row>
    <row r="229" spans="7:13" ht="14.25" customHeight="1" x14ac:dyDescent="0.3">
      <c r="G229" s="4"/>
      <c r="M229" s="4"/>
    </row>
    <row r="230" spans="7:13" ht="14.25" customHeight="1" x14ac:dyDescent="0.3">
      <c r="G230" s="4"/>
      <c r="M230" s="4"/>
    </row>
    <row r="231" spans="7:13" ht="14.25" customHeight="1" x14ac:dyDescent="0.3">
      <c r="G231" s="4"/>
      <c r="M231" s="4"/>
    </row>
    <row r="232" spans="7:13" ht="14.25" customHeight="1" x14ac:dyDescent="0.3">
      <c r="G232" s="4"/>
      <c r="M232" s="4"/>
    </row>
    <row r="233" spans="7:13" ht="14.25" customHeight="1" x14ac:dyDescent="0.3">
      <c r="G233" s="4"/>
      <c r="M233" s="4"/>
    </row>
    <row r="234" spans="7:13" ht="14.25" customHeight="1" x14ac:dyDescent="0.3">
      <c r="G234" s="4"/>
      <c r="M234" s="4"/>
    </row>
    <row r="235" spans="7:13" ht="14.25" customHeight="1" x14ac:dyDescent="0.3">
      <c r="G235" s="4"/>
      <c r="M235" s="4"/>
    </row>
    <row r="236" spans="7:13" ht="14.25" customHeight="1" x14ac:dyDescent="0.3">
      <c r="G236" s="4"/>
      <c r="M236" s="4"/>
    </row>
    <row r="237" spans="7:13" ht="14.25" customHeight="1" x14ac:dyDescent="0.3">
      <c r="G237" s="4"/>
      <c r="M237" s="4"/>
    </row>
    <row r="238" spans="7:13" ht="14.25" customHeight="1" x14ac:dyDescent="0.3">
      <c r="G238" s="4"/>
      <c r="M238" s="4"/>
    </row>
    <row r="239" spans="7:13" ht="14.25" customHeight="1" x14ac:dyDescent="0.3">
      <c r="G239" s="4"/>
      <c r="M239" s="4"/>
    </row>
    <row r="240" spans="7:13" ht="14.25" customHeight="1" x14ac:dyDescent="0.3">
      <c r="G240" s="4"/>
      <c r="M240" s="4"/>
    </row>
    <row r="241" spans="7:13" ht="14.25" customHeight="1" x14ac:dyDescent="0.3">
      <c r="G241" s="4"/>
      <c r="M241" s="4"/>
    </row>
    <row r="242" spans="7:13" ht="14.25" customHeight="1" x14ac:dyDescent="0.3">
      <c r="G242" s="4"/>
      <c r="M242" s="4"/>
    </row>
    <row r="243" spans="7:13" ht="14.25" customHeight="1" x14ac:dyDescent="0.3">
      <c r="G243" s="4"/>
      <c r="M243" s="4"/>
    </row>
    <row r="244" spans="7:13" ht="14.25" customHeight="1" x14ac:dyDescent="0.3">
      <c r="G244" s="4"/>
      <c r="M244" s="4"/>
    </row>
    <row r="245" spans="7:13" ht="14.25" customHeight="1" x14ac:dyDescent="0.3">
      <c r="G245" s="4"/>
      <c r="M245" s="4"/>
    </row>
    <row r="246" spans="7:13" ht="14.25" customHeight="1" x14ac:dyDescent="0.3">
      <c r="G246" s="4"/>
      <c r="M246" s="4"/>
    </row>
    <row r="247" spans="7:13" ht="14.25" customHeight="1" x14ac:dyDescent="0.3">
      <c r="G247" s="4"/>
      <c r="M247" s="4"/>
    </row>
    <row r="248" spans="7:13" ht="14.25" customHeight="1" x14ac:dyDescent="0.3">
      <c r="G248" s="4"/>
      <c r="M248" s="4"/>
    </row>
    <row r="249" spans="7:13" ht="14.25" customHeight="1" x14ac:dyDescent="0.3">
      <c r="G249" s="4"/>
      <c r="M249" s="4"/>
    </row>
    <row r="250" spans="7:13" ht="14.25" customHeight="1" x14ac:dyDescent="0.3">
      <c r="G250" s="4"/>
      <c r="M250" s="4"/>
    </row>
    <row r="251" spans="7:13" ht="14.25" customHeight="1" x14ac:dyDescent="0.3">
      <c r="G251" s="4"/>
      <c r="M251" s="4"/>
    </row>
    <row r="252" spans="7:13" ht="14.25" customHeight="1" x14ac:dyDescent="0.3">
      <c r="G252" s="4"/>
      <c r="M252" s="4"/>
    </row>
    <row r="253" spans="7:13" ht="14.25" customHeight="1" x14ac:dyDescent="0.3">
      <c r="G253" s="4"/>
      <c r="M253" s="4"/>
    </row>
    <row r="254" spans="7:13" ht="14.25" customHeight="1" x14ac:dyDescent="0.3">
      <c r="G254" s="4"/>
      <c r="M254" s="4"/>
    </row>
    <row r="255" spans="7:13" ht="14.25" customHeight="1" x14ac:dyDescent="0.3">
      <c r="G255" s="4"/>
      <c r="M255" s="4"/>
    </row>
    <row r="256" spans="7:13" ht="14.25" customHeight="1" x14ac:dyDescent="0.3">
      <c r="G256" s="4"/>
      <c r="M256" s="4"/>
    </row>
    <row r="257" spans="7:13" ht="14.25" customHeight="1" x14ac:dyDescent="0.3">
      <c r="G257" s="4"/>
      <c r="M257" s="4"/>
    </row>
    <row r="258" spans="7:13" ht="14.25" customHeight="1" x14ac:dyDescent="0.3">
      <c r="G258" s="4"/>
      <c r="M258" s="4"/>
    </row>
    <row r="259" spans="7:13" ht="14.25" customHeight="1" x14ac:dyDescent="0.3">
      <c r="G259" s="4"/>
      <c r="M259" s="4"/>
    </row>
    <row r="260" spans="7:13" ht="14.25" customHeight="1" x14ac:dyDescent="0.3">
      <c r="G260" s="4"/>
      <c r="M260" s="4"/>
    </row>
    <row r="261" spans="7:13" ht="14.25" customHeight="1" x14ac:dyDescent="0.3">
      <c r="G261" s="4"/>
      <c r="M261" s="4"/>
    </row>
    <row r="262" spans="7:13" ht="14.25" customHeight="1" x14ac:dyDescent="0.3">
      <c r="G262" s="4"/>
      <c r="M262" s="4"/>
    </row>
    <row r="263" spans="7:13" ht="14.25" customHeight="1" x14ac:dyDescent="0.3">
      <c r="G263" s="4"/>
      <c r="M263" s="4"/>
    </row>
    <row r="264" spans="7:13" ht="14.25" customHeight="1" x14ac:dyDescent="0.3">
      <c r="G264" s="4"/>
      <c r="M264" s="4"/>
    </row>
    <row r="265" spans="7:13" ht="14.25" customHeight="1" x14ac:dyDescent="0.3">
      <c r="G265" s="4"/>
      <c r="M265" s="4"/>
    </row>
    <row r="266" spans="7:13" ht="14.25" customHeight="1" x14ac:dyDescent="0.3">
      <c r="G266" s="4"/>
      <c r="M266" s="4"/>
    </row>
    <row r="267" spans="7:13" ht="14.25" customHeight="1" x14ac:dyDescent="0.3">
      <c r="G267" s="4"/>
      <c r="M267" s="4"/>
    </row>
    <row r="268" spans="7:13" ht="14.25" customHeight="1" x14ac:dyDescent="0.3">
      <c r="G268" s="4"/>
      <c r="M268" s="4"/>
    </row>
    <row r="269" spans="7:13" ht="14.25" customHeight="1" x14ac:dyDescent="0.3">
      <c r="G269" s="4"/>
      <c r="M269" s="4"/>
    </row>
    <row r="270" spans="7:13" ht="14.25" customHeight="1" x14ac:dyDescent="0.3">
      <c r="G270" s="4"/>
      <c r="M270" s="4"/>
    </row>
    <row r="271" spans="7:13" ht="14.25" customHeight="1" x14ac:dyDescent="0.3">
      <c r="G271" s="4"/>
      <c r="M271" s="4"/>
    </row>
    <row r="272" spans="7:13" ht="14.25" customHeight="1" x14ac:dyDescent="0.3">
      <c r="G272" s="4"/>
      <c r="M272" s="4"/>
    </row>
    <row r="273" spans="7:13" ht="14.25" customHeight="1" x14ac:dyDescent="0.3">
      <c r="G273" s="4"/>
      <c r="M273" s="4"/>
    </row>
    <row r="274" spans="7:13" ht="14.25" customHeight="1" x14ac:dyDescent="0.3">
      <c r="G274" s="4"/>
      <c r="M274" s="4"/>
    </row>
    <row r="275" spans="7:13" ht="14.25" customHeight="1" x14ac:dyDescent="0.3">
      <c r="G275" s="4"/>
      <c r="M275" s="4"/>
    </row>
    <row r="276" spans="7:13" ht="14.25" customHeight="1" x14ac:dyDescent="0.3">
      <c r="G276" s="4"/>
      <c r="M276" s="4"/>
    </row>
    <row r="277" spans="7:13" ht="14.25" customHeight="1" x14ac:dyDescent="0.3">
      <c r="G277" s="4"/>
      <c r="M277" s="4"/>
    </row>
    <row r="278" spans="7:13" ht="14.25" customHeight="1" x14ac:dyDescent="0.3">
      <c r="G278" s="4"/>
      <c r="M278" s="4"/>
    </row>
    <row r="279" spans="7:13" ht="14.25" customHeight="1" x14ac:dyDescent="0.3">
      <c r="G279" s="4"/>
      <c r="M279" s="4"/>
    </row>
    <row r="280" spans="7:13" ht="14.25" customHeight="1" x14ac:dyDescent="0.3">
      <c r="G280" s="4"/>
      <c r="M280" s="4"/>
    </row>
    <row r="281" spans="7:13" ht="14.25" customHeight="1" x14ac:dyDescent="0.3">
      <c r="G281" s="4"/>
      <c r="M281" s="4"/>
    </row>
    <row r="282" spans="7:13" ht="14.25" customHeight="1" x14ac:dyDescent="0.3">
      <c r="G282" s="4"/>
      <c r="M282" s="4"/>
    </row>
    <row r="283" spans="7:13" ht="14.25" customHeight="1" x14ac:dyDescent="0.3">
      <c r="G283" s="4"/>
      <c r="M283" s="4"/>
    </row>
    <row r="284" spans="7:13" ht="14.25" customHeight="1" x14ac:dyDescent="0.3">
      <c r="G284" s="4"/>
      <c r="M284" s="4"/>
    </row>
    <row r="285" spans="7:13" ht="14.25" customHeight="1" x14ac:dyDescent="0.3">
      <c r="G285" s="4"/>
      <c r="M285" s="4"/>
    </row>
    <row r="286" spans="7:13" ht="14.25" customHeight="1" x14ac:dyDescent="0.3">
      <c r="G286" s="4"/>
      <c r="M286" s="4"/>
    </row>
    <row r="287" spans="7:13" ht="14.25" customHeight="1" x14ac:dyDescent="0.3">
      <c r="G287" s="4"/>
      <c r="M287" s="4"/>
    </row>
    <row r="288" spans="7:13" ht="14.25" customHeight="1" x14ac:dyDescent="0.3">
      <c r="G288" s="4"/>
      <c r="M288" s="4"/>
    </row>
    <row r="289" spans="7:13" ht="14.25" customHeight="1" x14ac:dyDescent="0.3">
      <c r="G289" s="4"/>
      <c r="M289" s="4"/>
    </row>
    <row r="290" spans="7:13" ht="14.25" customHeight="1" x14ac:dyDescent="0.3">
      <c r="G290" s="4"/>
      <c r="M290" s="4"/>
    </row>
    <row r="291" spans="7:13" ht="14.25" customHeight="1" x14ac:dyDescent="0.3">
      <c r="G291" s="4"/>
      <c r="M291" s="4"/>
    </row>
    <row r="292" spans="7:13" ht="14.25" customHeight="1" x14ac:dyDescent="0.3">
      <c r="G292" s="4"/>
      <c r="M292" s="4"/>
    </row>
    <row r="293" spans="7:13" ht="14.25" customHeight="1" x14ac:dyDescent="0.3">
      <c r="G293" s="4"/>
      <c r="M293" s="4"/>
    </row>
    <row r="294" spans="7:13" ht="14.25" customHeight="1" x14ac:dyDescent="0.3">
      <c r="G294" s="4"/>
      <c r="M294" s="4"/>
    </row>
    <row r="295" spans="7:13" ht="14.25" customHeight="1" x14ac:dyDescent="0.3">
      <c r="G295" s="4"/>
      <c r="M295" s="4"/>
    </row>
    <row r="296" spans="7:13" ht="14.25" customHeight="1" x14ac:dyDescent="0.3">
      <c r="G296" s="4"/>
      <c r="M296" s="4"/>
    </row>
    <row r="297" spans="7:13" ht="14.25" customHeight="1" x14ac:dyDescent="0.3">
      <c r="G297" s="4"/>
      <c r="M297" s="4"/>
    </row>
    <row r="298" spans="7:13" ht="14.25" customHeight="1" x14ac:dyDescent="0.3">
      <c r="G298" s="4"/>
      <c r="M298" s="4"/>
    </row>
    <row r="299" spans="7:13" ht="14.25" customHeight="1" x14ac:dyDescent="0.3">
      <c r="G299" s="4"/>
      <c r="M299" s="4"/>
    </row>
    <row r="300" spans="7:13" ht="14.25" customHeight="1" x14ac:dyDescent="0.3">
      <c r="G300" s="4"/>
      <c r="M300" s="4"/>
    </row>
    <row r="301" spans="7:13" ht="14.25" customHeight="1" x14ac:dyDescent="0.3">
      <c r="G301" s="4"/>
      <c r="M301" s="4"/>
    </row>
    <row r="302" spans="7:13" ht="14.25" customHeight="1" x14ac:dyDescent="0.3">
      <c r="G302" s="4"/>
      <c r="M302" s="4"/>
    </row>
    <row r="303" spans="7:13" ht="14.25" customHeight="1" x14ac:dyDescent="0.3">
      <c r="G303" s="4"/>
      <c r="M303" s="4"/>
    </row>
    <row r="304" spans="7:13" ht="14.25" customHeight="1" x14ac:dyDescent="0.3">
      <c r="G304" s="4"/>
      <c r="M304" s="4"/>
    </row>
    <row r="305" spans="7:13" ht="14.25" customHeight="1" x14ac:dyDescent="0.3">
      <c r="G305" s="4"/>
      <c r="M305" s="4"/>
    </row>
    <row r="306" spans="7:13" ht="14.25" customHeight="1" x14ac:dyDescent="0.3">
      <c r="G306" s="4"/>
      <c r="M306" s="4"/>
    </row>
    <row r="307" spans="7:13" ht="14.25" customHeight="1" x14ac:dyDescent="0.3">
      <c r="G307" s="4"/>
      <c r="M307" s="4"/>
    </row>
    <row r="308" spans="7:13" ht="14.25" customHeight="1" x14ac:dyDescent="0.3">
      <c r="G308" s="4"/>
      <c r="M308" s="4"/>
    </row>
    <row r="309" spans="7:13" ht="14.25" customHeight="1" x14ac:dyDescent="0.3">
      <c r="G309" s="4"/>
      <c r="M309" s="4"/>
    </row>
    <row r="310" spans="7:13" ht="14.25" customHeight="1" x14ac:dyDescent="0.3">
      <c r="G310" s="4"/>
      <c r="M310" s="4"/>
    </row>
    <row r="311" spans="7:13" ht="14.25" customHeight="1" x14ac:dyDescent="0.3">
      <c r="G311" s="4"/>
      <c r="M311" s="4"/>
    </row>
    <row r="312" spans="7:13" ht="14.25" customHeight="1" x14ac:dyDescent="0.3">
      <c r="G312" s="4"/>
      <c r="M312" s="4"/>
    </row>
    <row r="313" spans="7:13" ht="14.25" customHeight="1" x14ac:dyDescent="0.3">
      <c r="G313" s="4"/>
      <c r="M313" s="4"/>
    </row>
    <row r="314" spans="7:13" ht="14.25" customHeight="1" x14ac:dyDescent="0.3">
      <c r="G314" s="4"/>
      <c r="M314" s="4"/>
    </row>
    <row r="315" spans="7:13" ht="14.25" customHeight="1" x14ac:dyDescent="0.3">
      <c r="G315" s="4"/>
      <c r="M315" s="4"/>
    </row>
    <row r="316" spans="7:13" ht="14.25" customHeight="1" x14ac:dyDescent="0.3">
      <c r="G316" s="4"/>
      <c r="M316" s="4"/>
    </row>
    <row r="317" spans="7:13" ht="14.25" customHeight="1" x14ac:dyDescent="0.3">
      <c r="G317" s="4"/>
      <c r="M317" s="4"/>
    </row>
    <row r="318" spans="7:13" ht="14.25" customHeight="1" x14ac:dyDescent="0.3">
      <c r="G318" s="4"/>
      <c r="M318" s="4"/>
    </row>
    <row r="319" spans="7:13" ht="14.25" customHeight="1" x14ac:dyDescent="0.3">
      <c r="G319" s="4"/>
      <c r="M319" s="4"/>
    </row>
    <row r="320" spans="7:13" ht="14.25" customHeight="1" x14ac:dyDescent="0.3">
      <c r="G320" s="4"/>
      <c r="M320" s="4"/>
    </row>
    <row r="321" spans="7:13" ht="14.25" customHeight="1" x14ac:dyDescent="0.3">
      <c r="G321" s="4"/>
      <c r="M321" s="4"/>
    </row>
    <row r="322" spans="7:13" ht="14.25" customHeight="1" x14ac:dyDescent="0.3">
      <c r="G322" s="4"/>
      <c r="M322" s="4"/>
    </row>
    <row r="323" spans="7:13" ht="14.25" customHeight="1" x14ac:dyDescent="0.3">
      <c r="G323" s="4"/>
      <c r="M323" s="4"/>
    </row>
    <row r="324" spans="7:13" ht="14.25" customHeight="1" x14ac:dyDescent="0.3">
      <c r="G324" s="4"/>
      <c r="M324" s="4"/>
    </row>
    <row r="325" spans="7:13" ht="14.25" customHeight="1" x14ac:dyDescent="0.3">
      <c r="G325" s="4"/>
      <c r="M325" s="4"/>
    </row>
    <row r="326" spans="7:13" ht="14.25" customHeight="1" x14ac:dyDescent="0.3">
      <c r="G326" s="4"/>
      <c r="M326" s="4"/>
    </row>
    <row r="327" spans="7:13" ht="14.25" customHeight="1" x14ac:dyDescent="0.3">
      <c r="G327" s="4"/>
      <c r="M327" s="4"/>
    </row>
    <row r="328" spans="7:13" ht="14.25" customHeight="1" x14ac:dyDescent="0.3">
      <c r="G328" s="4"/>
      <c r="M328" s="4"/>
    </row>
    <row r="329" spans="7:13" ht="14.25" customHeight="1" x14ac:dyDescent="0.3">
      <c r="G329" s="4"/>
      <c r="M329" s="4"/>
    </row>
    <row r="330" spans="7:13" ht="14.25" customHeight="1" x14ac:dyDescent="0.3">
      <c r="G330" s="4"/>
      <c r="M330" s="4"/>
    </row>
    <row r="331" spans="7:13" ht="14.25" customHeight="1" x14ac:dyDescent="0.3">
      <c r="G331" s="4"/>
      <c r="M331" s="4"/>
    </row>
    <row r="332" spans="7:13" ht="14.25" customHeight="1" x14ac:dyDescent="0.3">
      <c r="G332" s="4"/>
      <c r="M332" s="4"/>
    </row>
    <row r="333" spans="7:13" ht="14.25" customHeight="1" x14ac:dyDescent="0.3">
      <c r="G333" s="4"/>
      <c r="M333" s="4"/>
    </row>
    <row r="334" spans="7:13" ht="14.25" customHeight="1" x14ac:dyDescent="0.3">
      <c r="G334" s="4"/>
      <c r="M334" s="4"/>
    </row>
    <row r="335" spans="7:13" ht="14.25" customHeight="1" x14ac:dyDescent="0.3">
      <c r="G335" s="4"/>
      <c r="M335" s="4"/>
    </row>
    <row r="336" spans="7:13" ht="14.25" customHeight="1" x14ac:dyDescent="0.3">
      <c r="G336" s="4"/>
      <c r="M336" s="4"/>
    </row>
    <row r="337" spans="7:13" ht="14.25" customHeight="1" x14ac:dyDescent="0.3">
      <c r="G337" s="4"/>
      <c r="M337" s="4"/>
    </row>
    <row r="338" spans="7:13" ht="14.25" customHeight="1" x14ac:dyDescent="0.3">
      <c r="G338" s="4"/>
      <c r="M338" s="4"/>
    </row>
    <row r="339" spans="7:13" ht="14.25" customHeight="1" x14ac:dyDescent="0.3">
      <c r="G339" s="4"/>
      <c r="M339" s="4"/>
    </row>
    <row r="340" spans="7:13" ht="14.25" customHeight="1" x14ac:dyDescent="0.3">
      <c r="G340" s="4"/>
      <c r="M340" s="4"/>
    </row>
    <row r="341" spans="7:13" ht="14.25" customHeight="1" x14ac:dyDescent="0.3">
      <c r="G341" s="4"/>
      <c r="M341" s="4"/>
    </row>
    <row r="342" spans="7:13" ht="14.25" customHeight="1" x14ac:dyDescent="0.3">
      <c r="G342" s="4"/>
      <c r="M342" s="4"/>
    </row>
    <row r="343" spans="7:13" ht="14.25" customHeight="1" x14ac:dyDescent="0.3">
      <c r="G343" s="4"/>
      <c r="M343" s="4"/>
    </row>
    <row r="344" spans="7:13" ht="14.25" customHeight="1" x14ac:dyDescent="0.3">
      <c r="G344" s="4"/>
      <c r="M344" s="4"/>
    </row>
    <row r="345" spans="7:13" ht="14.25" customHeight="1" x14ac:dyDescent="0.3">
      <c r="G345" s="4"/>
      <c r="M345" s="4"/>
    </row>
    <row r="346" spans="7:13" ht="14.25" customHeight="1" x14ac:dyDescent="0.3">
      <c r="G346" s="4"/>
      <c r="M346" s="4"/>
    </row>
    <row r="347" spans="7:13" ht="14.25" customHeight="1" x14ac:dyDescent="0.3">
      <c r="G347" s="4"/>
      <c r="M347" s="4"/>
    </row>
    <row r="348" spans="7:13" ht="14.25" customHeight="1" x14ac:dyDescent="0.3">
      <c r="G348" s="4"/>
      <c r="M348" s="4"/>
    </row>
    <row r="349" spans="7:13" ht="14.25" customHeight="1" x14ac:dyDescent="0.3">
      <c r="G349" s="4"/>
      <c r="M349" s="4"/>
    </row>
    <row r="350" spans="7:13" ht="14.25" customHeight="1" x14ac:dyDescent="0.3">
      <c r="G350" s="4"/>
      <c r="M350" s="4"/>
    </row>
    <row r="351" spans="7:13" ht="14.25" customHeight="1" x14ac:dyDescent="0.3">
      <c r="G351" s="4"/>
      <c r="M351" s="4"/>
    </row>
    <row r="352" spans="7:13" ht="14.25" customHeight="1" x14ac:dyDescent="0.3">
      <c r="G352" s="4"/>
      <c r="M352" s="4"/>
    </row>
    <row r="353" spans="7:13" ht="14.25" customHeight="1" x14ac:dyDescent="0.3">
      <c r="G353" s="4"/>
      <c r="M353" s="4"/>
    </row>
    <row r="354" spans="7:13" ht="14.25" customHeight="1" x14ac:dyDescent="0.3">
      <c r="G354" s="4"/>
      <c r="M354" s="4"/>
    </row>
    <row r="355" spans="7:13" ht="14.25" customHeight="1" x14ac:dyDescent="0.3">
      <c r="G355" s="4"/>
      <c r="M355" s="4"/>
    </row>
    <row r="356" spans="7:13" ht="14.25" customHeight="1" x14ac:dyDescent="0.3">
      <c r="G356" s="4"/>
      <c r="M356" s="4"/>
    </row>
    <row r="357" spans="7:13" ht="14.25" customHeight="1" x14ac:dyDescent="0.3">
      <c r="G357" s="4"/>
      <c r="M357" s="4"/>
    </row>
    <row r="358" spans="7:13" ht="14.25" customHeight="1" x14ac:dyDescent="0.3">
      <c r="G358" s="4"/>
      <c r="M358" s="4"/>
    </row>
    <row r="359" spans="7:13" ht="14.25" customHeight="1" x14ac:dyDescent="0.3">
      <c r="G359" s="4"/>
      <c r="M359" s="4"/>
    </row>
    <row r="360" spans="7:13" ht="14.25" customHeight="1" x14ac:dyDescent="0.3">
      <c r="G360" s="4"/>
      <c r="M360" s="4"/>
    </row>
    <row r="361" spans="7:13" ht="14.25" customHeight="1" x14ac:dyDescent="0.3">
      <c r="G361" s="4"/>
      <c r="M361" s="4"/>
    </row>
    <row r="362" spans="7:13" ht="14.25" customHeight="1" x14ac:dyDescent="0.3">
      <c r="G362" s="4"/>
      <c r="M362" s="4"/>
    </row>
    <row r="363" spans="7:13" ht="14.25" customHeight="1" x14ac:dyDescent="0.3">
      <c r="G363" s="4"/>
      <c r="M363" s="4"/>
    </row>
    <row r="364" spans="7:13" ht="14.25" customHeight="1" x14ac:dyDescent="0.3">
      <c r="G364" s="4"/>
      <c r="M364" s="4"/>
    </row>
    <row r="365" spans="7:13" ht="14.25" customHeight="1" x14ac:dyDescent="0.3">
      <c r="G365" s="4"/>
      <c r="M365" s="4"/>
    </row>
    <row r="366" spans="7:13" ht="14.25" customHeight="1" x14ac:dyDescent="0.3">
      <c r="G366" s="4"/>
      <c r="M366" s="4"/>
    </row>
    <row r="367" spans="7:13" ht="14.25" customHeight="1" x14ac:dyDescent="0.3">
      <c r="G367" s="4"/>
      <c r="M367" s="4"/>
    </row>
    <row r="368" spans="7:13" ht="14.25" customHeight="1" x14ac:dyDescent="0.3">
      <c r="G368" s="4"/>
      <c r="M368" s="4"/>
    </row>
    <row r="369" spans="7:13" ht="14.25" customHeight="1" x14ac:dyDescent="0.3">
      <c r="G369" s="4"/>
      <c r="M369" s="4"/>
    </row>
    <row r="370" spans="7:13" ht="14.25" customHeight="1" x14ac:dyDescent="0.3">
      <c r="G370" s="4"/>
      <c r="M370" s="4"/>
    </row>
    <row r="371" spans="7:13" ht="14.25" customHeight="1" x14ac:dyDescent="0.3">
      <c r="G371" s="4"/>
      <c r="M371" s="4"/>
    </row>
    <row r="372" spans="7:13" ht="14.25" customHeight="1" x14ac:dyDescent="0.3">
      <c r="G372" s="4"/>
      <c r="M372" s="4"/>
    </row>
    <row r="373" spans="7:13" ht="14.25" customHeight="1" x14ac:dyDescent="0.3">
      <c r="G373" s="4"/>
      <c r="M373" s="4"/>
    </row>
    <row r="374" spans="7:13" ht="14.25" customHeight="1" x14ac:dyDescent="0.3">
      <c r="G374" s="4"/>
      <c r="M374" s="4"/>
    </row>
    <row r="375" spans="7:13" ht="14.25" customHeight="1" x14ac:dyDescent="0.3">
      <c r="G375" s="4"/>
      <c r="M375" s="4"/>
    </row>
    <row r="376" spans="7:13" ht="14.25" customHeight="1" x14ac:dyDescent="0.3">
      <c r="G376" s="4"/>
      <c r="M376" s="4"/>
    </row>
    <row r="377" spans="7:13" ht="14.25" customHeight="1" x14ac:dyDescent="0.3">
      <c r="G377" s="4"/>
      <c r="M377" s="4"/>
    </row>
    <row r="378" spans="7:13" ht="14.25" customHeight="1" x14ac:dyDescent="0.3">
      <c r="G378" s="4"/>
      <c r="M378" s="4"/>
    </row>
    <row r="379" spans="7:13" ht="14.25" customHeight="1" x14ac:dyDescent="0.3">
      <c r="G379" s="4"/>
      <c r="M379" s="4"/>
    </row>
    <row r="380" spans="7:13" ht="14.25" customHeight="1" x14ac:dyDescent="0.3">
      <c r="G380" s="4"/>
      <c r="M380" s="4"/>
    </row>
    <row r="381" spans="7:13" ht="14.25" customHeight="1" x14ac:dyDescent="0.3">
      <c r="G381" s="4"/>
      <c r="M381" s="4"/>
    </row>
    <row r="382" spans="7:13" ht="14.25" customHeight="1" x14ac:dyDescent="0.3">
      <c r="G382" s="4"/>
      <c r="M382" s="4"/>
    </row>
    <row r="383" spans="7:13" ht="14.25" customHeight="1" x14ac:dyDescent="0.3">
      <c r="G383" s="4"/>
      <c r="M383" s="4"/>
    </row>
    <row r="384" spans="7:13" ht="14.25" customHeight="1" x14ac:dyDescent="0.3">
      <c r="G384" s="4"/>
      <c r="M384" s="4"/>
    </row>
    <row r="385" spans="7:13" ht="14.25" customHeight="1" x14ac:dyDescent="0.3">
      <c r="G385" s="4"/>
      <c r="M385" s="4"/>
    </row>
    <row r="386" spans="7:13" ht="14.25" customHeight="1" x14ac:dyDescent="0.3">
      <c r="G386" s="4"/>
      <c r="M386" s="4"/>
    </row>
    <row r="387" spans="7:13" ht="14.25" customHeight="1" x14ac:dyDescent="0.3">
      <c r="G387" s="4"/>
      <c r="M387" s="4"/>
    </row>
    <row r="388" spans="7:13" ht="14.25" customHeight="1" x14ac:dyDescent="0.3">
      <c r="G388" s="4"/>
      <c r="M388" s="4"/>
    </row>
    <row r="389" spans="7:13" ht="14.25" customHeight="1" x14ac:dyDescent="0.3">
      <c r="G389" s="4"/>
      <c r="M389" s="4"/>
    </row>
    <row r="390" spans="7:13" ht="14.25" customHeight="1" x14ac:dyDescent="0.3">
      <c r="G390" s="4"/>
      <c r="M390" s="4"/>
    </row>
    <row r="391" spans="7:13" ht="14.25" customHeight="1" x14ac:dyDescent="0.3">
      <c r="G391" s="4"/>
      <c r="M391" s="4"/>
    </row>
    <row r="392" spans="7:13" ht="14.25" customHeight="1" x14ac:dyDescent="0.3">
      <c r="G392" s="4"/>
      <c r="M392" s="4"/>
    </row>
    <row r="393" spans="7:13" ht="14.25" customHeight="1" x14ac:dyDescent="0.3">
      <c r="G393" s="4"/>
      <c r="M393" s="4"/>
    </row>
    <row r="394" spans="7:13" ht="14.25" customHeight="1" x14ac:dyDescent="0.3">
      <c r="G394" s="4"/>
      <c r="M394" s="4"/>
    </row>
    <row r="395" spans="7:13" ht="14.25" customHeight="1" x14ac:dyDescent="0.3">
      <c r="G395" s="4"/>
      <c r="M395" s="4"/>
    </row>
    <row r="396" spans="7:13" ht="14.25" customHeight="1" x14ac:dyDescent="0.3">
      <c r="G396" s="4"/>
      <c r="M396" s="4"/>
    </row>
    <row r="397" spans="7:13" ht="14.25" customHeight="1" x14ac:dyDescent="0.3">
      <c r="G397" s="4"/>
      <c r="M397" s="4"/>
    </row>
    <row r="398" spans="7:13" ht="14.25" customHeight="1" x14ac:dyDescent="0.3">
      <c r="G398" s="4"/>
      <c r="M398" s="4"/>
    </row>
    <row r="399" spans="7:13" ht="14.25" customHeight="1" x14ac:dyDescent="0.3">
      <c r="G399" s="4"/>
      <c r="M399" s="4"/>
    </row>
    <row r="400" spans="7:13" ht="14.25" customHeight="1" x14ac:dyDescent="0.3">
      <c r="G400" s="4"/>
      <c r="M400" s="4"/>
    </row>
    <row r="401" spans="7:13" ht="14.25" customHeight="1" x14ac:dyDescent="0.3">
      <c r="G401" s="4"/>
      <c r="M401" s="4"/>
    </row>
    <row r="402" spans="7:13" ht="14.25" customHeight="1" x14ac:dyDescent="0.3">
      <c r="G402" s="4"/>
      <c r="M402" s="4"/>
    </row>
    <row r="403" spans="7:13" ht="14.25" customHeight="1" x14ac:dyDescent="0.3">
      <c r="G403" s="4"/>
      <c r="M403" s="4"/>
    </row>
    <row r="404" spans="7:13" ht="14.25" customHeight="1" x14ac:dyDescent="0.3">
      <c r="G404" s="4"/>
      <c r="M404" s="4"/>
    </row>
    <row r="405" spans="7:13" ht="14.25" customHeight="1" x14ac:dyDescent="0.3">
      <c r="G405" s="4"/>
      <c r="M405" s="4"/>
    </row>
    <row r="406" spans="7:13" ht="14.25" customHeight="1" x14ac:dyDescent="0.3">
      <c r="G406" s="4"/>
      <c r="M406" s="4"/>
    </row>
    <row r="407" spans="7:13" ht="14.25" customHeight="1" x14ac:dyDescent="0.3">
      <c r="G407" s="4"/>
      <c r="M407" s="4"/>
    </row>
    <row r="408" spans="7:13" ht="14.25" customHeight="1" x14ac:dyDescent="0.3">
      <c r="G408" s="4"/>
      <c r="M408" s="4"/>
    </row>
    <row r="409" spans="7:13" ht="14.25" customHeight="1" x14ac:dyDescent="0.3">
      <c r="G409" s="4"/>
      <c r="M409" s="4"/>
    </row>
    <row r="410" spans="7:13" ht="14.25" customHeight="1" x14ac:dyDescent="0.3">
      <c r="G410" s="4"/>
      <c r="M410" s="4"/>
    </row>
    <row r="411" spans="7:13" ht="14.25" customHeight="1" x14ac:dyDescent="0.3">
      <c r="G411" s="4"/>
      <c r="M411" s="4"/>
    </row>
    <row r="412" spans="7:13" ht="14.25" customHeight="1" x14ac:dyDescent="0.3">
      <c r="G412" s="4"/>
      <c r="M412" s="4"/>
    </row>
    <row r="413" spans="7:13" ht="14.25" customHeight="1" x14ac:dyDescent="0.3">
      <c r="G413" s="4"/>
      <c r="M413" s="4"/>
    </row>
    <row r="414" spans="7:13" ht="14.25" customHeight="1" x14ac:dyDescent="0.3">
      <c r="G414" s="4"/>
      <c r="M414" s="4"/>
    </row>
    <row r="415" spans="7:13" ht="14.25" customHeight="1" x14ac:dyDescent="0.3">
      <c r="G415" s="4"/>
      <c r="M415" s="4"/>
    </row>
    <row r="416" spans="7:13" ht="14.25" customHeight="1" x14ac:dyDescent="0.3">
      <c r="G416" s="4"/>
      <c r="M416" s="4"/>
    </row>
    <row r="417" spans="7:13" ht="14.25" customHeight="1" x14ac:dyDescent="0.3">
      <c r="G417" s="4"/>
      <c r="M417" s="4"/>
    </row>
    <row r="418" spans="7:13" ht="14.25" customHeight="1" x14ac:dyDescent="0.3">
      <c r="G418" s="4"/>
      <c r="M418" s="4"/>
    </row>
    <row r="419" spans="7:13" ht="14.25" customHeight="1" x14ac:dyDescent="0.3">
      <c r="G419" s="4"/>
      <c r="M419" s="4"/>
    </row>
    <row r="420" spans="7:13" ht="14.25" customHeight="1" x14ac:dyDescent="0.3">
      <c r="G420" s="4"/>
      <c r="M420" s="4"/>
    </row>
    <row r="421" spans="7:13" ht="14.25" customHeight="1" x14ac:dyDescent="0.3">
      <c r="G421" s="4"/>
      <c r="M421" s="4"/>
    </row>
    <row r="422" spans="7:13" ht="14.25" customHeight="1" x14ac:dyDescent="0.3">
      <c r="G422" s="4"/>
      <c r="M422" s="4"/>
    </row>
    <row r="423" spans="7:13" ht="14.25" customHeight="1" x14ac:dyDescent="0.3">
      <c r="G423" s="4"/>
      <c r="M423" s="4"/>
    </row>
    <row r="424" spans="7:13" ht="14.25" customHeight="1" x14ac:dyDescent="0.3">
      <c r="G424" s="4"/>
      <c r="M424" s="4"/>
    </row>
    <row r="425" spans="7:13" ht="14.25" customHeight="1" x14ac:dyDescent="0.3">
      <c r="G425" s="4"/>
      <c r="M425" s="4"/>
    </row>
    <row r="426" spans="7:13" ht="14.25" customHeight="1" x14ac:dyDescent="0.3">
      <c r="G426" s="4"/>
      <c r="M426" s="4"/>
    </row>
    <row r="427" spans="7:13" ht="14.25" customHeight="1" x14ac:dyDescent="0.3">
      <c r="G427" s="4"/>
      <c r="M427" s="4"/>
    </row>
    <row r="428" spans="7:13" ht="14.25" customHeight="1" x14ac:dyDescent="0.3">
      <c r="G428" s="4"/>
      <c r="M428" s="4"/>
    </row>
    <row r="429" spans="7:13" ht="14.25" customHeight="1" x14ac:dyDescent="0.3">
      <c r="G429" s="4"/>
      <c r="M429" s="4"/>
    </row>
    <row r="430" spans="7:13" ht="14.25" customHeight="1" x14ac:dyDescent="0.3">
      <c r="G430" s="4"/>
      <c r="M430" s="4"/>
    </row>
    <row r="431" spans="7:13" ht="14.25" customHeight="1" x14ac:dyDescent="0.3">
      <c r="G431" s="4"/>
      <c r="M431" s="4"/>
    </row>
    <row r="432" spans="7:13" ht="14.25" customHeight="1" x14ac:dyDescent="0.3">
      <c r="G432" s="4"/>
      <c r="M432" s="4"/>
    </row>
    <row r="433" spans="7:13" ht="14.25" customHeight="1" x14ac:dyDescent="0.3">
      <c r="G433" s="4"/>
      <c r="M433" s="4"/>
    </row>
    <row r="434" spans="7:13" ht="14.25" customHeight="1" x14ac:dyDescent="0.3">
      <c r="G434" s="4"/>
      <c r="M434" s="4"/>
    </row>
    <row r="435" spans="7:13" ht="14.25" customHeight="1" x14ac:dyDescent="0.3">
      <c r="G435" s="4"/>
      <c r="M435" s="4"/>
    </row>
    <row r="436" spans="7:13" ht="14.25" customHeight="1" x14ac:dyDescent="0.3">
      <c r="G436" s="4"/>
      <c r="M436" s="4"/>
    </row>
    <row r="437" spans="7:13" ht="14.25" customHeight="1" x14ac:dyDescent="0.3">
      <c r="G437" s="4"/>
      <c r="M437" s="4"/>
    </row>
    <row r="438" spans="7:13" ht="14.25" customHeight="1" x14ac:dyDescent="0.3">
      <c r="G438" s="4"/>
      <c r="M438" s="4"/>
    </row>
    <row r="439" spans="7:13" ht="14.25" customHeight="1" x14ac:dyDescent="0.3">
      <c r="G439" s="4"/>
      <c r="M439" s="4"/>
    </row>
    <row r="440" spans="7:13" ht="14.25" customHeight="1" x14ac:dyDescent="0.3">
      <c r="G440" s="4"/>
      <c r="M440" s="4"/>
    </row>
    <row r="441" spans="7:13" ht="14.25" customHeight="1" x14ac:dyDescent="0.3">
      <c r="G441" s="4"/>
      <c r="M441" s="4"/>
    </row>
    <row r="442" spans="7:13" ht="14.25" customHeight="1" x14ac:dyDescent="0.3">
      <c r="G442" s="4"/>
      <c r="M442" s="4"/>
    </row>
    <row r="443" spans="7:13" ht="14.25" customHeight="1" x14ac:dyDescent="0.3">
      <c r="G443" s="4"/>
      <c r="M443" s="4"/>
    </row>
    <row r="444" spans="7:13" ht="14.25" customHeight="1" x14ac:dyDescent="0.3">
      <c r="G444" s="4"/>
      <c r="M444" s="4"/>
    </row>
    <row r="445" spans="7:13" ht="14.25" customHeight="1" x14ac:dyDescent="0.3">
      <c r="G445" s="4"/>
      <c r="M445" s="4"/>
    </row>
    <row r="446" spans="7:13" ht="14.25" customHeight="1" x14ac:dyDescent="0.3">
      <c r="G446" s="4"/>
      <c r="M446" s="4"/>
    </row>
    <row r="447" spans="7:13" ht="14.25" customHeight="1" x14ac:dyDescent="0.3">
      <c r="G447" s="4"/>
      <c r="M447" s="4"/>
    </row>
    <row r="448" spans="7:13" ht="14.25" customHeight="1" x14ac:dyDescent="0.3">
      <c r="G448" s="4"/>
      <c r="M448" s="4"/>
    </row>
    <row r="449" spans="7:13" ht="14.25" customHeight="1" x14ac:dyDescent="0.3">
      <c r="G449" s="4"/>
      <c r="M449" s="4"/>
    </row>
    <row r="450" spans="7:13" ht="14.25" customHeight="1" x14ac:dyDescent="0.3">
      <c r="G450" s="4"/>
      <c r="M450" s="4"/>
    </row>
    <row r="451" spans="7:13" ht="14.25" customHeight="1" x14ac:dyDescent="0.3">
      <c r="G451" s="4"/>
      <c r="M451" s="4"/>
    </row>
    <row r="452" spans="7:13" ht="14.25" customHeight="1" x14ac:dyDescent="0.3">
      <c r="G452" s="4"/>
      <c r="M452" s="4"/>
    </row>
    <row r="453" spans="7:13" ht="14.25" customHeight="1" x14ac:dyDescent="0.3">
      <c r="G453" s="4"/>
      <c r="M453" s="4"/>
    </row>
    <row r="454" spans="7:13" ht="14.25" customHeight="1" x14ac:dyDescent="0.3">
      <c r="G454" s="4"/>
      <c r="M454" s="4"/>
    </row>
    <row r="455" spans="7:13" ht="14.25" customHeight="1" x14ac:dyDescent="0.3">
      <c r="G455" s="4"/>
      <c r="M455" s="4"/>
    </row>
    <row r="456" spans="7:13" ht="14.25" customHeight="1" x14ac:dyDescent="0.3">
      <c r="G456" s="4"/>
      <c r="M456" s="4"/>
    </row>
    <row r="457" spans="7:13" ht="14.25" customHeight="1" x14ac:dyDescent="0.3">
      <c r="G457" s="4"/>
      <c r="M457" s="4"/>
    </row>
    <row r="458" spans="7:13" ht="14.25" customHeight="1" x14ac:dyDescent="0.3">
      <c r="G458" s="4"/>
      <c r="M458" s="4"/>
    </row>
    <row r="459" spans="7:13" ht="14.25" customHeight="1" x14ac:dyDescent="0.3">
      <c r="G459" s="4"/>
      <c r="M459" s="4"/>
    </row>
    <row r="460" spans="7:13" ht="14.25" customHeight="1" x14ac:dyDescent="0.3">
      <c r="G460" s="4"/>
      <c r="M460" s="4"/>
    </row>
    <row r="461" spans="7:13" ht="14.25" customHeight="1" x14ac:dyDescent="0.3">
      <c r="G461" s="4"/>
      <c r="M461" s="4"/>
    </row>
    <row r="462" spans="7:13" ht="14.25" customHeight="1" x14ac:dyDescent="0.3">
      <c r="G462" s="4"/>
      <c r="M462" s="4"/>
    </row>
    <row r="463" spans="7:13" ht="14.25" customHeight="1" x14ac:dyDescent="0.3">
      <c r="G463" s="4"/>
      <c r="M463" s="4"/>
    </row>
    <row r="464" spans="7:13" ht="14.25" customHeight="1" x14ac:dyDescent="0.3">
      <c r="G464" s="4"/>
      <c r="M464" s="4"/>
    </row>
    <row r="465" spans="7:13" ht="14.25" customHeight="1" x14ac:dyDescent="0.3">
      <c r="G465" s="4"/>
      <c r="M465" s="4"/>
    </row>
    <row r="466" spans="7:13" ht="14.25" customHeight="1" x14ac:dyDescent="0.3">
      <c r="G466" s="4"/>
      <c r="M466" s="4"/>
    </row>
    <row r="467" spans="7:13" ht="14.25" customHeight="1" x14ac:dyDescent="0.3">
      <c r="G467" s="4"/>
      <c r="M467" s="4"/>
    </row>
    <row r="468" spans="7:13" ht="14.25" customHeight="1" x14ac:dyDescent="0.3">
      <c r="G468" s="4"/>
      <c r="M468" s="4"/>
    </row>
    <row r="469" spans="7:13" ht="14.25" customHeight="1" x14ac:dyDescent="0.3">
      <c r="G469" s="4"/>
      <c r="M469" s="4"/>
    </row>
    <row r="470" spans="7:13" ht="14.25" customHeight="1" x14ac:dyDescent="0.3">
      <c r="G470" s="4"/>
      <c r="M470" s="4"/>
    </row>
    <row r="471" spans="7:13" ht="14.25" customHeight="1" x14ac:dyDescent="0.3">
      <c r="G471" s="4"/>
      <c r="M471" s="4"/>
    </row>
    <row r="472" spans="7:13" ht="14.25" customHeight="1" x14ac:dyDescent="0.3">
      <c r="G472" s="4"/>
      <c r="M472" s="4"/>
    </row>
    <row r="473" spans="7:13" ht="14.25" customHeight="1" x14ac:dyDescent="0.3">
      <c r="G473" s="4"/>
      <c r="M473" s="4"/>
    </row>
    <row r="474" spans="7:13" ht="14.25" customHeight="1" x14ac:dyDescent="0.3">
      <c r="G474" s="4"/>
      <c r="M474" s="4"/>
    </row>
    <row r="475" spans="7:13" ht="14.25" customHeight="1" x14ac:dyDescent="0.3">
      <c r="G475" s="4"/>
      <c r="M475" s="4"/>
    </row>
    <row r="476" spans="7:13" ht="14.25" customHeight="1" x14ac:dyDescent="0.3">
      <c r="G476" s="4"/>
      <c r="M476" s="4"/>
    </row>
    <row r="477" spans="7:13" ht="14.25" customHeight="1" x14ac:dyDescent="0.3">
      <c r="G477" s="4"/>
      <c r="M477" s="4"/>
    </row>
    <row r="478" spans="7:13" ht="14.25" customHeight="1" x14ac:dyDescent="0.3">
      <c r="G478" s="4"/>
      <c r="M478" s="4"/>
    </row>
    <row r="479" spans="7:13" ht="14.25" customHeight="1" x14ac:dyDescent="0.3">
      <c r="G479" s="4"/>
      <c r="M479" s="4"/>
    </row>
    <row r="480" spans="7:13" ht="14.25" customHeight="1" x14ac:dyDescent="0.3">
      <c r="G480" s="4"/>
      <c r="M480" s="4"/>
    </row>
    <row r="481" spans="7:13" ht="14.25" customHeight="1" x14ac:dyDescent="0.3">
      <c r="G481" s="4"/>
      <c r="M481" s="4"/>
    </row>
    <row r="482" spans="7:13" ht="14.25" customHeight="1" x14ac:dyDescent="0.3">
      <c r="G482" s="4"/>
      <c r="M482" s="4"/>
    </row>
    <row r="483" spans="7:13" ht="14.25" customHeight="1" x14ac:dyDescent="0.3">
      <c r="G483" s="4"/>
      <c r="M483" s="4"/>
    </row>
    <row r="484" spans="7:13" ht="14.25" customHeight="1" x14ac:dyDescent="0.3">
      <c r="G484" s="4"/>
      <c r="M484" s="4"/>
    </row>
    <row r="485" spans="7:13" ht="14.25" customHeight="1" x14ac:dyDescent="0.3">
      <c r="G485" s="4"/>
      <c r="M485" s="4"/>
    </row>
    <row r="486" spans="7:13" ht="14.25" customHeight="1" x14ac:dyDescent="0.3">
      <c r="G486" s="4"/>
      <c r="M486" s="4"/>
    </row>
    <row r="487" spans="7:13" ht="14.25" customHeight="1" x14ac:dyDescent="0.3">
      <c r="G487" s="4"/>
      <c r="M487" s="4"/>
    </row>
    <row r="488" spans="7:13" ht="14.25" customHeight="1" x14ac:dyDescent="0.3">
      <c r="G488" s="4"/>
      <c r="M488" s="4"/>
    </row>
    <row r="489" spans="7:13" ht="14.25" customHeight="1" x14ac:dyDescent="0.3">
      <c r="G489" s="4"/>
      <c r="M489" s="4"/>
    </row>
    <row r="490" spans="7:13" ht="14.25" customHeight="1" x14ac:dyDescent="0.3">
      <c r="G490" s="4"/>
      <c r="M490" s="4"/>
    </row>
    <row r="491" spans="7:13" ht="14.25" customHeight="1" x14ac:dyDescent="0.3">
      <c r="G491" s="4"/>
      <c r="M491" s="4"/>
    </row>
    <row r="492" spans="7:13" ht="14.25" customHeight="1" x14ac:dyDescent="0.3">
      <c r="G492" s="4"/>
      <c r="M492" s="4"/>
    </row>
    <row r="493" spans="7:13" ht="14.25" customHeight="1" x14ac:dyDescent="0.3">
      <c r="G493" s="4"/>
      <c r="M493" s="4"/>
    </row>
    <row r="494" spans="7:13" ht="14.25" customHeight="1" x14ac:dyDescent="0.3">
      <c r="G494" s="4"/>
      <c r="M494" s="4"/>
    </row>
    <row r="495" spans="7:13" ht="14.25" customHeight="1" x14ac:dyDescent="0.3">
      <c r="G495" s="4"/>
      <c r="M495" s="4"/>
    </row>
    <row r="496" spans="7:13" ht="14.25" customHeight="1" x14ac:dyDescent="0.3">
      <c r="G496" s="4"/>
      <c r="M496" s="4"/>
    </row>
    <row r="497" spans="7:13" ht="14.25" customHeight="1" x14ac:dyDescent="0.3">
      <c r="G497" s="4"/>
      <c r="M497" s="4"/>
    </row>
    <row r="498" spans="7:13" ht="14.25" customHeight="1" x14ac:dyDescent="0.3">
      <c r="G498" s="4"/>
      <c r="M498" s="4"/>
    </row>
    <row r="499" spans="7:13" ht="14.25" customHeight="1" x14ac:dyDescent="0.3">
      <c r="G499" s="4"/>
      <c r="M499" s="4"/>
    </row>
    <row r="500" spans="7:13" ht="14.25" customHeight="1" x14ac:dyDescent="0.3">
      <c r="G500" s="4"/>
      <c r="M500" s="4"/>
    </row>
    <row r="501" spans="7:13" ht="14.25" customHeight="1" x14ac:dyDescent="0.3">
      <c r="G501" s="4"/>
      <c r="M501" s="4"/>
    </row>
    <row r="502" spans="7:13" ht="14.25" customHeight="1" x14ac:dyDescent="0.3">
      <c r="G502" s="4"/>
      <c r="M502" s="4"/>
    </row>
    <row r="503" spans="7:13" ht="14.25" customHeight="1" x14ac:dyDescent="0.3">
      <c r="G503" s="4"/>
      <c r="M503" s="4"/>
    </row>
    <row r="504" spans="7:13" ht="14.25" customHeight="1" x14ac:dyDescent="0.3">
      <c r="G504" s="4"/>
      <c r="M504" s="4"/>
    </row>
    <row r="505" spans="7:13" ht="14.25" customHeight="1" x14ac:dyDescent="0.3">
      <c r="G505" s="4"/>
      <c r="M505" s="4"/>
    </row>
    <row r="506" spans="7:13" ht="14.25" customHeight="1" x14ac:dyDescent="0.3">
      <c r="G506" s="4"/>
      <c r="M506" s="4"/>
    </row>
    <row r="507" spans="7:13" ht="14.25" customHeight="1" x14ac:dyDescent="0.3">
      <c r="G507" s="4"/>
      <c r="M507" s="4"/>
    </row>
    <row r="508" spans="7:13" ht="14.25" customHeight="1" x14ac:dyDescent="0.3">
      <c r="G508" s="4"/>
      <c r="M508" s="4"/>
    </row>
    <row r="509" spans="7:13" ht="14.25" customHeight="1" x14ac:dyDescent="0.3">
      <c r="G509" s="4"/>
      <c r="M509" s="4"/>
    </row>
    <row r="510" spans="7:13" ht="14.25" customHeight="1" x14ac:dyDescent="0.3">
      <c r="G510" s="4"/>
      <c r="M510" s="4"/>
    </row>
    <row r="511" spans="7:13" ht="14.25" customHeight="1" x14ac:dyDescent="0.3">
      <c r="G511" s="4"/>
      <c r="M511" s="4"/>
    </row>
    <row r="512" spans="7:13" ht="14.25" customHeight="1" x14ac:dyDescent="0.3">
      <c r="G512" s="4"/>
      <c r="M512" s="4"/>
    </row>
    <row r="513" spans="7:13" ht="14.25" customHeight="1" x14ac:dyDescent="0.3">
      <c r="G513" s="4"/>
      <c r="M513" s="4"/>
    </row>
    <row r="514" spans="7:13" ht="14.25" customHeight="1" x14ac:dyDescent="0.3">
      <c r="G514" s="4"/>
      <c r="M514" s="4"/>
    </row>
    <row r="515" spans="7:13" ht="14.25" customHeight="1" x14ac:dyDescent="0.3">
      <c r="G515" s="4"/>
      <c r="M515" s="4"/>
    </row>
    <row r="516" spans="7:13" ht="14.25" customHeight="1" x14ac:dyDescent="0.3">
      <c r="G516" s="4"/>
      <c r="M516" s="4"/>
    </row>
    <row r="517" spans="7:13" ht="14.25" customHeight="1" x14ac:dyDescent="0.3">
      <c r="G517" s="4"/>
      <c r="M517" s="4"/>
    </row>
    <row r="518" spans="7:13" ht="14.25" customHeight="1" x14ac:dyDescent="0.3">
      <c r="G518" s="4"/>
      <c r="M518" s="4"/>
    </row>
    <row r="519" spans="7:13" ht="14.25" customHeight="1" x14ac:dyDescent="0.3">
      <c r="G519" s="4"/>
      <c r="M519" s="4"/>
    </row>
    <row r="520" spans="7:13" ht="14.25" customHeight="1" x14ac:dyDescent="0.3">
      <c r="G520" s="4"/>
      <c r="M520" s="4"/>
    </row>
    <row r="521" spans="7:13" ht="14.25" customHeight="1" x14ac:dyDescent="0.3">
      <c r="G521" s="4"/>
      <c r="M521" s="4"/>
    </row>
    <row r="522" spans="7:13" ht="14.25" customHeight="1" x14ac:dyDescent="0.3">
      <c r="G522" s="4"/>
      <c r="M522" s="4"/>
    </row>
    <row r="523" spans="7:13" ht="14.25" customHeight="1" x14ac:dyDescent="0.3">
      <c r="G523" s="4"/>
      <c r="M523" s="4"/>
    </row>
    <row r="524" spans="7:13" ht="14.25" customHeight="1" x14ac:dyDescent="0.3">
      <c r="G524" s="4"/>
      <c r="M524" s="4"/>
    </row>
    <row r="525" spans="7:13" ht="14.25" customHeight="1" x14ac:dyDescent="0.3">
      <c r="G525" s="4"/>
      <c r="M525" s="4"/>
    </row>
    <row r="526" spans="7:13" ht="14.25" customHeight="1" x14ac:dyDescent="0.3">
      <c r="G526" s="4"/>
      <c r="M526" s="4"/>
    </row>
    <row r="527" spans="7:13" ht="14.25" customHeight="1" x14ac:dyDescent="0.3">
      <c r="G527" s="4"/>
      <c r="M527" s="4"/>
    </row>
    <row r="528" spans="7:13" ht="14.25" customHeight="1" x14ac:dyDescent="0.3">
      <c r="G528" s="4"/>
      <c r="M528" s="4"/>
    </row>
    <row r="529" spans="7:13" ht="14.25" customHeight="1" x14ac:dyDescent="0.3">
      <c r="G529" s="4"/>
      <c r="M529" s="4"/>
    </row>
    <row r="530" spans="7:13" ht="14.25" customHeight="1" x14ac:dyDescent="0.3">
      <c r="G530" s="4"/>
      <c r="M530" s="4"/>
    </row>
    <row r="531" spans="7:13" ht="14.25" customHeight="1" x14ac:dyDescent="0.3">
      <c r="G531" s="4"/>
      <c r="M531" s="4"/>
    </row>
    <row r="532" spans="7:13" ht="14.25" customHeight="1" x14ac:dyDescent="0.3">
      <c r="G532" s="4"/>
      <c r="M532" s="4"/>
    </row>
    <row r="533" spans="7:13" ht="14.25" customHeight="1" x14ac:dyDescent="0.3">
      <c r="G533" s="4"/>
      <c r="M533" s="4"/>
    </row>
    <row r="534" spans="7:13" ht="14.25" customHeight="1" x14ac:dyDescent="0.3">
      <c r="G534" s="4"/>
      <c r="M534" s="4"/>
    </row>
    <row r="535" spans="7:13" ht="14.25" customHeight="1" x14ac:dyDescent="0.3">
      <c r="G535" s="4"/>
      <c r="M535" s="4"/>
    </row>
    <row r="536" spans="7:13" ht="14.25" customHeight="1" x14ac:dyDescent="0.3">
      <c r="G536" s="4"/>
      <c r="M536" s="4"/>
    </row>
    <row r="537" spans="7:13" ht="14.25" customHeight="1" x14ac:dyDescent="0.3">
      <c r="G537" s="4"/>
      <c r="M537" s="4"/>
    </row>
    <row r="538" spans="7:13" ht="14.25" customHeight="1" x14ac:dyDescent="0.3">
      <c r="G538" s="4"/>
      <c r="M538" s="4"/>
    </row>
    <row r="539" spans="7:13" ht="14.25" customHeight="1" x14ac:dyDescent="0.3">
      <c r="G539" s="4"/>
      <c r="M539" s="4"/>
    </row>
    <row r="540" spans="7:13" ht="14.25" customHeight="1" x14ac:dyDescent="0.3">
      <c r="G540" s="4"/>
      <c r="M540" s="4"/>
    </row>
    <row r="541" spans="7:13" ht="14.25" customHeight="1" x14ac:dyDescent="0.3">
      <c r="G541" s="4"/>
      <c r="M541" s="4"/>
    </row>
    <row r="542" spans="7:13" ht="14.25" customHeight="1" x14ac:dyDescent="0.3">
      <c r="G542" s="4"/>
      <c r="M542" s="4"/>
    </row>
    <row r="543" spans="7:13" ht="14.25" customHeight="1" x14ac:dyDescent="0.3">
      <c r="G543" s="4"/>
      <c r="M543" s="4"/>
    </row>
    <row r="544" spans="7:13" ht="14.25" customHeight="1" x14ac:dyDescent="0.3">
      <c r="G544" s="4"/>
      <c r="M544" s="4"/>
    </row>
    <row r="545" spans="7:13" ht="14.25" customHeight="1" x14ac:dyDescent="0.3">
      <c r="G545" s="4"/>
      <c r="M545" s="4"/>
    </row>
    <row r="546" spans="7:13" ht="14.25" customHeight="1" x14ac:dyDescent="0.3">
      <c r="G546" s="4"/>
      <c r="M546" s="4"/>
    </row>
    <row r="547" spans="7:13" ht="14.25" customHeight="1" x14ac:dyDescent="0.3">
      <c r="G547" s="4"/>
      <c r="M547" s="4"/>
    </row>
    <row r="548" spans="7:13" ht="14.25" customHeight="1" x14ac:dyDescent="0.3">
      <c r="G548" s="4"/>
      <c r="M548" s="4"/>
    </row>
    <row r="549" spans="7:13" ht="14.25" customHeight="1" x14ac:dyDescent="0.3">
      <c r="G549" s="4"/>
      <c r="M549" s="4"/>
    </row>
    <row r="550" spans="7:13" ht="14.25" customHeight="1" x14ac:dyDescent="0.3">
      <c r="G550" s="4"/>
      <c r="M550" s="4"/>
    </row>
    <row r="551" spans="7:13" ht="14.25" customHeight="1" x14ac:dyDescent="0.3">
      <c r="G551" s="4"/>
      <c r="M551" s="4"/>
    </row>
    <row r="552" spans="7:13" ht="14.25" customHeight="1" x14ac:dyDescent="0.3">
      <c r="G552" s="4"/>
      <c r="M552" s="4"/>
    </row>
    <row r="553" spans="7:13" ht="14.25" customHeight="1" x14ac:dyDescent="0.3">
      <c r="G553" s="4"/>
      <c r="M553" s="4"/>
    </row>
    <row r="554" spans="7:13" ht="14.25" customHeight="1" x14ac:dyDescent="0.3">
      <c r="G554" s="4"/>
      <c r="M554" s="4"/>
    </row>
    <row r="555" spans="7:13" ht="14.25" customHeight="1" x14ac:dyDescent="0.3">
      <c r="G555" s="4"/>
      <c r="M555" s="4"/>
    </row>
    <row r="556" spans="7:13" ht="14.25" customHeight="1" x14ac:dyDescent="0.3">
      <c r="G556" s="4"/>
      <c r="M556" s="4"/>
    </row>
    <row r="557" spans="7:13" ht="14.25" customHeight="1" x14ac:dyDescent="0.3">
      <c r="G557" s="4"/>
      <c r="M557" s="4"/>
    </row>
    <row r="558" spans="7:13" ht="14.25" customHeight="1" x14ac:dyDescent="0.3">
      <c r="G558" s="4"/>
      <c r="M558" s="4"/>
    </row>
    <row r="559" spans="7:13" ht="14.25" customHeight="1" x14ac:dyDescent="0.3">
      <c r="G559" s="4"/>
      <c r="M559" s="4"/>
    </row>
    <row r="560" spans="7:13" ht="14.25" customHeight="1" x14ac:dyDescent="0.3">
      <c r="G560" s="4"/>
      <c r="M560" s="4"/>
    </row>
    <row r="561" spans="7:13" ht="14.25" customHeight="1" x14ac:dyDescent="0.3">
      <c r="G561" s="4"/>
      <c r="M561" s="4"/>
    </row>
    <row r="562" spans="7:13" ht="14.25" customHeight="1" x14ac:dyDescent="0.3">
      <c r="G562" s="4"/>
      <c r="M562" s="4"/>
    </row>
    <row r="563" spans="7:13" ht="14.25" customHeight="1" x14ac:dyDescent="0.3">
      <c r="G563" s="4"/>
      <c r="M563" s="4"/>
    </row>
    <row r="564" spans="7:13" ht="14.25" customHeight="1" x14ac:dyDescent="0.3">
      <c r="G564" s="4"/>
      <c r="M564" s="4"/>
    </row>
    <row r="565" spans="7:13" ht="14.25" customHeight="1" x14ac:dyDescent="0.3">
      <c r="G565" s="4"/>
      <c r="M565" s="4"/>
    </row>
    <row r="566" spans="7:13" ht="14.25" customHeight="1" x14ac:dyDescent="0.3">
      <c r="G566" s="4"/>
      <c r="M566" s="4"/>
    </row>
    <row r="567" spans="7:13" ht="14.25" customHeight="1" x14ac:dyDescent="0.3">
      <c r="G567" s="4"/>
      <c r="M567" s="4"/>
    </row>
    <row r="568" spans="7:13" ht="14.25" customHeight="1" x14ac:dyDescent="0.3">
      <c r="G568" s="4"/>
      <c r="M568" s="4"/>
    </row>
    <row r="569" spans="7:13" ht="14.25" customHeight="1" x14ac:dyDescent="0.3">
      <c r="G569" s="4"/>
      <c r="M569" s="4"/>
    </row>
    <row r="570" spans="7:13" ht="14.25" customHeight="1" x14ac:dyDescent="0.3">
      <c r="G570" s="4"/>
      <c r="M570" s="4"/>
    </row>
    <row r="571" spans="7:13" ht="14.25" customHeight="1" x14ac:dyDescent="0.3">
      <c r="G571" s="4"/>
      <c r="M571" s="4"/>
    </row>
    <row r="572" spans="7:13" ht="14.25" customHeight="1" x14ac:dyDescent="0.3">
      <c r="G572" s="4"/>
      <c r="M572" s="4"/>
    </row>
    <row r="573" spans="7:13" ht="14.25" customHeight="1" x14ac:dyDescent="0.3">
      <c r="G573" s="4"/>
      <c r="M573" s="4"/>
    </row>
    <row r="574" spans="7:13" ht="14.25" customHeight="1" x14ac:dyDescent="0.3">
      <c r="G574" s="4"/>
      <c r="M574" s="4"/>
    </row>
    <row r="575" spans="7:13" ht="14.25" customHeight="1" x14ac:dyDescent="0.3">
      <c r="G575" s="4"/>
      <c r="M575" s="4"/>
    </row>
    <row r="576" spans="7:13" ht="14.25" customHeight="1" x14ac:dyDescent="0.3">
      <c r="G576" s="4"/>
      <c r="M576" s="4"/>
    </row>
    <row r="577" spans="7:13" ht="14.25" customHeight="1" x14ac:dyDescent="0.3">
      <c r="G577" s="4"/>
      <c r="M577" s="4"/>
    </row>
    <row r="578" spans="7:13" ht="14.25" customHeight="1" x14ac:dyDescent="0.3">
      <c r="G578" s="4"/>
      <c r="M578" s="4"/>
    </row>
    <row r="579" spans="7:13" ht="14.25" customHeight="1" x14ac:dyDescent="0.3">
      <c r="G579" s="4"/>
      <c r="M579" s="4"/>
    </row>
    <row r="580" spans="7:13" ht="14.25" customHeight="1" x14ac:dyDescent="0.3">
      <c r="G580" s="4"/>
      <c r="M580" s="4"/>
    </row>
    <row r="581" spans="7:13" ht="14.25" customHeight="1" x14ac:dyDescent="0.3">
      <c r="G581" s="4"/>
      <c r="M581" s="4"/>
    </row>
    <row r="582" spans="7:13" ht="14.25" customHeight="1" x14ac:dyDescent="0.3">
      <c r="G582" s="4"/>
      <c r="M582" s="4"/>
    </row>
    <row r="583" spans="7:13" ht="14.25" customHeight="1" x14ac:dyDescent="0.3">
      <c r="G583" s="4"/>
      <c r="M583" s="4"/>
    </row>
    <row r="584" spans="7:13" ht="14.25" customHeight="1" x14ac:dyDescent="0.3">
      <c r="G584" s="4"/>
      <c r="M584" s="4"/>
    </row>
    <row r="585" spans="7:13" ht="14.25" customHeight="1" x14ac:dyDescent="0.3">
      <c r="G585" s="4"/>
      <c r="M585" s="4"/>
    </row>
    <row r="586" spans="7:13" ht="14.25" customHeight="1" x14ac:dyDescent="0.3">
      <c r="G586" s="4"/>
      <c r="M586" s="4"/>
    </row>
    <row r="587" spans="7:13" ht="14.25" customHeight="1" x14ac:dyDescent="0.3">
      <c r="G587" s="4"/>
      <c r="M587" s="4"/>
    </row>
    <row r="588" spans="7:13" ht="14.25" customHeight="1" x14ac:dyDescent="0.3">
      <c r="G588" s="4"/>
      <c r="M588" s="4"/>
    </row>
    <row r="589" spans="7:13" ht="14.25" customHeight="1" x14ac:dyDescent="0.3">
      <c r="G589" s="4"/>
      <c r="M589" s="4"/>
    </row>
    <row r="590" spans="7:13" ht="14.25" customHeight="1" x14ac:dyDescent="0.3">
      <c r="G590" s="4"/>
      <c r="M590" s="4"/>
    </row>
    <row r="591" spans="7:13" ht="14.25" customHeight="1" x14ac:dyDescent="0.3">
      <c r="G591" s="4"/>
      <c r="M591" s="4"/>
    </row>
    <row r="592" spans="7:13" ht="14.25" customHeight="1" x14ac:dyDescent="0.3">
      <c r="G592" s="4"/>
      <c r="M592" s="4"/>
    </row>
    <row r="593" spans="7:13" ht="14.25" customHeight="1" x14ac:dyDescent="0.3">
      <c r="G593" s="4"/>
      <c r="M593" s="4"/>
    </row>
    <row r="594" spans="7:13" ht="14.25" customHeight="1" x14ac:dyDescent="0.3">
      <c r="G594" s="4"/>
      <c r="M594" s="4"/>
    </row>
    <row r="595" spans="7:13" ht="14.25" customHeight="1" x14ac:dyDescent="0.3">
      <c r="G595" s="4"/>
      <c r="M595" s="4"/>
    </row>
    <row r="596" spans="7:13" ht="14.25" customHeight="1" x14ac:dyDescent="0.3">
      <c r="G596" s="4"/>
      <c r="M596" s="4"/>
    </row>
    <row r="597" spans="7:13" ht="14.25" customHeight="1" x14ac:dyDescent="0.3">
      <c r="G597" s="4"/>
      <c r="M597" s="4"/>
    </row>
    <row r="598" spans="7:13" ht="14.25" customHeight="1" x14ac:dyDescent="0.3">
      <c r="G598" s="4"/>
      <c r="M598" s="4"/>
    </row>
    <row r="599" spans="7:13" ht="14.25" customHeight="1" x14ac:dyDescent="0.3">
      <c r="G599" s="4"/>
      <c r="M599" s="4"/>
    </row>
    <row r="600" spans="7:13" ht="14.25" customHeight="1" x14ac:dyDescent="0.3">
      <c r="G600" s="4"/>
      <c r="M600" s="4"/>
    </row>
    <row r="601" spans="7:13" ht="14.25" customHeight="1" x14ac:dyDescent="0.3">
      <c r="G601" s="4"/>
      <c r="M601" s="4"/>
    </row>
    <row r="602" spans="7:13" ht="14.25" customHeight="1" x14ac:dyDescent="0.3">
      <c r="G602" s="4"/>
      <c r="M602" s="4"/>
    </row>
    <row r="603" spans="7:13" ht="14.25" customHeight="1" x14ac:dyDescent="0.3">
      <c r="G603" s="4"/>
      <c r="M603" s="4"/>
    </row>
    <row r="604" spans="7:13" ht="14.25" customHeight="1" x14ac:dyDescent="0.3">
      <c r="G604" s="4"/>
      <c r="M604" s="4"/>
    </row>
    <row r="605" spans="7:13" ht="14.25" customHeight="1" x14ac:dyDescent="0.3">
      <c r="G605" s="4"/>
      <c r="M605" s="4"/>
    </row>
    <row r="606" spans="7:13" ht="14.25" customHeight="1" x14ac:dyDescent="0.3">
      <c r="G606" s="4"/>
      <c r="M606" s="4"/>
    </row>
    <row r="607" spans="7:13" ht="14.25" customHeight="1" x14ac:dyDescent="0.3">
      <c r="G607" s="4"/>
      <c r="M607" s="4"/>
    </row>
    <row r="608" spans="7:13" ht="14.25" customHeight="1" x14ac:dyDescent="0.3">
      <c r="G608" s="4"/>
      <c r="M608" s="4"/>
    </row>
    <row r="609" spans="7:13" ht="14.25" customHeight="1" x14ac:dyDescent="0.3">
      <c r="G609" s="4"/>
      <c r="M609" s="4"/>
    </row>
    <row r="610" spans="7:13" ht="14.25" customHeight="1" x14ac:dyDescent="0.3">
      <c r="G610" s="4"/>
      <c r="M610" s="4"/>
    </row>
    <row r="611" spans="7:13" ht="14.25" customHeight="1" x14ac:dyDescent="0.3">
      <c r="G611" s="4"/>
      <c r="M611" s="4"/>
    </row>
    <row r="612" spans="7:13" ht="14.25" customHeight="1" x14ac:dyDescent="0.3">
      <c r="G612" s="4"/>
      <c r="M612" s="4"/>
    </row>
    <row r="613" spans="7:13" ht="14.25" customHeight="1" x14ac:dyDescent="0.3">
      <c r="G613" s="4"/>
      <c r="M613" s="4"/>
    </row>
    <row r="614" spans="7:13" ht="14.25" customHeight="1" x14ac:dyDescent="0.3">
      <c r="G614" s="4"/>
      <c r="M614" s="4"/>
    </row>
    <row r="615" spans="7:13" ht="14.25" customHeight="1" x14ac:dyDescent="0.3">
      <c r="G615" s="4"/>
      <c r="M615" s="4"/>
    </row>
    <row r="616" spans="7:13" ht="14.25" customHeight="1" x14ac:dyDescent="0.3">
      <c r="G616" s="4"/>
      <c r="M616" s="4"/>
    </row>
    <row r="617" spans="7:13" ht="14.25" customHeight="1" x14ac:dyDescent="0.3">
      <c r="G617" s="4"/>
      <c r="M617" s="4"/>
    </row>
    <row r="618" spans="7:13" ht="14.25" customHeight="1" x14ac:dyDescent="0.3">
      <c r="G618" s="4"/>
      <c r="M618" s="4"/>
    </row>
    <row r="619" spans="7:13" ht="14.25" customHeight="1" x14ac:dyDescent="0.3">
      <c r="G619" s="4"/>
      <c r="M619" s="4"/>
    </row>
    <row r="620" spans="7:13" ht="14.25" customHeight="1" x14ac:dyDescent="0.3">
      <c r="G620" s="4"/>
      <c r="M620" s="4"/>
    </row>
    <row r="621" spans="7:13" ht="14.25" customHeight="1" x14ac:dyDescent="0.3">
      <c r="G621" s="4"/>
      <c r="M621" s="4"/>
    </row>
    <row r="622" spans="7:13" ht="14.25" customHeight="1" x14ac:dyDescent="0.3">
      <c r="G622" s="4"/>
      <c r="M622" s="4"/>
    </row>
    <row r="623" spans="7:13" ht="14.25" customHeight="1" x14ac:dyDescent="0.3">
      <c r="G623" s="4"/>
      <c r="M623" s="4"/>
    </row>
    <row r="624" spans="7:13" ht="14.25" customHeight="1" x14ac:dyDescent="0.3">
      <c r="G624" s="4"/>
      <c r="M624" s="4"/>
    </row>
    <row r="625" spans="7:13" ht="14.25" customHeight="1" x14ac:dyDescent="0.3">
      <c r="G625" s="4"/>
      <c r="M625" s="4"/>
    </row>
    <row r="626" spans="7:13" ht="14.25" customHeight="1" x14ac:dyDescent="0.3">
      <c r="G626" s="4"/>
      <c r="M626" s="4"/>
    </row>
    <row r="627" spans="7:13" ht="14.25" customHeight="1" x14ac:dyDescent="0.3">
      <c r="G627" s="4"/>
      <c r="M627" s="4"/>
    </row>
    <row r="628" spans="7:13" ht="14.25" customHeight="1" x14ac:dyDescent="0.3">
      <c r="G628" s="4"/>
      <c r="M628" s="4"/>
    </row>
    <row r="629" spans="7:13" ht="14.25" customHeight="1" x14ac:dyDescent="0.3">
      <c r="G629" s="4"/>
      <c r="M629" s="4"/>
    </row>
    <row r="630" spans="7:13" ht="14.25" customHeight="1" x14ac:dyDescent="0.3">
      <c r="G630" s="4"/>
      <c r="M630" s="4"/>
    </row>
    <row r="631" spans="7:13" ht="14.25" customHeight="1" x14ac:dyDescent="0.3">
      <c r="G631" s="4"/>
      <c r="M631" s="4"/>
    </row>
    <row r="632" spans="7:13" ht="14.25" customHeight="1" x14ac:dyDescent="0.3">
      <c r="G632" s="4"/>
      <c r="M632" s="4"/>
    </row>
    <row r="633" spans="7:13" ht="14.25" customHeight="1" x14ac:dyDescent="0.3">
      <c r="G633" s="4"/>
      <c r="M633" s="4"/>
    </row>
    <row r="634" spans="7:13" ht="14.25" customHeight="1" x14ac:dyDescent="0.3">
      <c r="G634" s="4"/>
      <c r="M634" s="4"/>
    </row>
    <row r="635" spans="7:13" ht="14.25" customHeight="1" x14ac:dyDescent="0.3">
      <c r="G635" s="4"/>
      <c r="M635" s="4"/>
    </row>
    <row r="636" spans="7:13" ht="14.25" customHeight="1" x14ac:dyDescent="0.3">
      <c r="G636" s="4"/>
      <c r="M636" s="4"/>
    </row>
    <row r="637" spans="7:13" ht="14.25" customHeight="1" x14ac:dyDescent="0.3">
      <c r="G637" s="4"/>
      <c r="M637" s="4"/>
    </row>
    <row r="638" spans="7:13" ht="14.25" customHeight="1" x14ac:dyDescent="0.3">
      <c r="G638" s="4"/>
      <c r="M638" s="4"/>
    </row>
    <row r="639" spans="7:13" ht="14.25" customHeight="1" x14ac:dyDescent="0.3">
      <c r="G639" s="4"/>
      <c r="M639" s="4"/>
    </row>
    <row r="640" spans="7:13" ht="14.25" customHeight="1" x14ac:dyDescent="0.3">
      <c r="G640" s="4"/>
      <c r="M640" s="4"/>
    </row>
    <row r="641" spans="7:13" ht="14.25" customHeight="1" x14ac:dyDescent="0.3">
      <c r="G641" s="4"/>
      <c r="M641" s="4"/>
    </row>
    <row r="642" spans="7:13" ht="14.25" customHeight="1" x14ac:dyDescent="0.3">
      <c r="G642" s="4"/>
      <c r="M642" s="4"/>
    </row>
    <row r="643" spans="7:13" ht="14.25" customHeight="1" x14ac:dyDescent="0.3">
      <c r="G643" s="4"/>
      <c r="M643" s="4"/>
    </row>
    <row r="644" spans="7:13" ht="14.25" customHeight="1" x14ac:dyDescent="0.3">
      <c r="G644" s="4"/>
      <c r="M644" s="4"/>
    </row>
    <row r="645" spans="7:13" ht="14.25" customHeight="1" x14ac:dyDescent="0.3">
      <c r="G645" s="4"/>
      <c r="M645" s="4"/>
    </row>
    <row r="646" spans="7:13" ht="14.25" customHeight="1" x14ac:dyDescent="0.3">
      <c r="G646" s="4"/>
      <c r="M646" s="4"/>
    </row>
    <row r="647" spans="7:13" ht="14.25" customHeight="1" x14ac:dyDescent="0.3">
      <c r="G647" s="4"/>
      <c r="M647" s="4"/>
    </row>
    <row r="648" spans="7:13" ht="14.25" customHeight="1" x14ac:dyDescent="0.3">
      <c r="G648" s="4"/>
      <c r="M648" s="4"/>
    </row>
    <row r="649" spans="7:13" ht="14.25" customHeight="1" x14ac:dyDescent="0.3">
      <c r="G649" s="4"/>
      <c r="M649" s="4"/>
    </row>
    <row r="650" spans="7:13" ht="14.25" customHeight="1" x14ac:dyDescent="0.3">
      <c r="G650" s="4"/>
      <c r="M650" s="4"/>
    </row>
    <row r="651" spans="7:13" ht="14.25" customHeight="1" x14ac:dyDescent="0.3">
      <c r="G651" s="4"/>
      <c r="M651" s="4"/>
    </row>
    <row r="652" spans="7:13" ht="14.25" customHeight="1" x14ac:dyDescent="0.3">
      <c r="G652" s="4"/>
      <c r="M652" s="4"/>
    </row>
    <row r="653" spans="7:13" ht="14.25" customHeight="1" x14ac:dyDescent="0.3">
      <c r="G653" s="4"/>
      <c r="M653" s="4"/>
    </row>
    <row r="654" spans="7:13" ht="14.25" customHeight="1" x14ac:dyDescent="0.3">
      <c r="G654" s="4"/>
      <c r="M654" s="4"/>
    </row>
    <row r="655" spans="7:13" ht="14.25" customHeight="1" x14ac:dyDescent="0.3">
      <c r="G655" s="4"/>
      <c r="M655" s="4"/>
    </row>
    <row r="656" spans="7:13" ht="14.25" customHeight="1" x14ac:dyDescent="0.3">
      <c r="G656" s="4"/>
      <c r="M656" s="4"/>
    </row>
    <row r="657" spans="7:13" ht="14.25" customHeight="1" x14ac:dyDescent="0.3">
      <c r="G657" s="4"/>
      <c r="M657" s="4"/>
    </row>
    <row r="658" spans="7:13" ht="14.25" customHeight="1" x14ac:dyDescent="0.3">
      <c r="G658" s="4"/>
      <c r="M658" s="4"/>
    </row>
    <row r="659" spans="7:13" ht="14.25" customHeight="1" x14ac:dyDescent="0.3">
      <c r="G659" s="4"/>
      <c r="M659" s="4"/>
    </row>
    <row r="660" spans="7:13" ht="14.25" customHeight="1" x14ac:dyDescent="0.3">
      <c r="G660" s="4"/>
      <c r="M660" s="4"/>
    </row>
    <row r="661" spans="7:13" ht="14.25" customHeight="1" x14ac:dyDescent="0.3">
      <c r="G661" s="4"/>
      <c r="M661" s="4"/>
    </row>
    <row r="662" spans="7:13" ht="14.25" customHeight="1" x14ac:dyDescent="0.3">
      <c r="G662" s="4"/>
      <c r="M662" s="4"/>
    </row>
    <row r="663" spans="7:13" ht="14.25" customHeight="1" x14ac:dyDescent="0.3">
      <c r="G663" s="4"/>
      <c r="M663" s="4"/>
    </row>
    <row r="664" spans="7:13" ht="14.25" customHeight="1" x14ac:dyDescent="0.3">
      <c r="G664" s="4"/>
      <c r="M664" s="4"/>
    </row>
    <row r="665" spans="7:13" ht="14.25" customHeight="1" x14ac:dyDescent="0.3">
      <c r="G665" s="4"/>
      <c r="M665" s="4"/>
    </row>
    <row r="666" spans="7:13" ht="14.25" customHeight="1" x14ac:dyDescent="0.3">
      <c r="G666" s="4"/>
      <c r="M666" s="4"/>
    </row>
    <row r="667" spans="7:13" ht="14.25" customHeight="1" x14ac:dyDescent="0.3">
      <c r="G667" s="4"/>
      <c r="M667" s="4"/>
    </row>
    <row r="668" spans="7:13" ht="14.25" customHeight="1" x14ac:dyDescent="0.3">
      <c r="G668" s="4"/>
      <c r="M668" s="4"/>
    </row>
    <row r="669" spans="7:13" ht="14.25" customHeight="1" x14ac:dyDescent="0.3">
      <c r="G669" s="4"/>
      <c r="M669" s="4"/>
    </row>
    <row r="670" spans="7:13" ht="14.25" customHeight="1" x14ac:dyDescent="0.3">
      <c r="G670" s="4"/>
      <c r="M670" s="4"/>
    </row>
    <row r="671" spans="7:13" ht="14.25" customHeight="1" x14ac:dyDescent="0.3">
      <c r="G671" s="4"/>
      <c r="M671" s="4"/>
    </row>
    <row r="672" spans="7:13" ht="14.25" customHeight="1" x14ac:dyDescent="0.3">
      <c r="G672" s="4"/>
      <c r="M672" s="4"/>
    </row>
    <row r="673" spans="7:13" ht="14.25" customHeight="1" x14ac:dyDescent="0.3">
      <c r="G673" s="4"/>
      <c r="M673" s="4"/>
    </row>
    <row r="674" spans="7:13" ht="14.25" customHeight="1" x14ac:dyDescent="0.3">
      <c r="G674" s="4"/>
      <c r="M674" s="4"/>
    </row>
    <row r="675" spans="7:13" ht="14.25" customHeight="1" x14ac:dyDescent="0.3">
      <c r="G675" s="4"/>
      <c r="M675" s="4"/>
    </row>
    <row r="676" spans="7:13" ht="14.25" customHeight="1" x14ac:dyDescent="0.3">
      <c r="G676" s="4"/>
      <c r="M676" s="4"/>
    </row>
    <row r="677" spans="7:13" ht="14.25" customHeight="1" x14ac:dyDescent="0.3">
      <c r="G677" s="4"/>
      <c r="M677" s="4"/>
    </row>
    <row r="678" spans="7:13" ht="14.25" customHeight="1" x14ac:dyDescent="0.3">
      <c r="G678" s="4"/>
      <c r="M678" s="4"/>
    </row>
    <row r="679" spans="7:13" ht="14.25" customHeight="1" x14ac:dyDescent="0.3">
      <c r="G679" s="4"/>
      <c r="M679" s="4"/>
    </row>
    <row r="680" spans="7:13" ht="14.25" customHeight="1" x14ac:dyDescent="0.3">
      <c r="G680" s="4"/>
      <c r="M680" s="4"/>
    </row>
    <row r="681" spans="7:13" ht="14.25" customHeight="1" x14ac:dyDescent="0.3">
      <c r="G681" s="4"/>
      <c r="M681" s="4"/>
    </row>
    <row r="682" spans="7:13" ht="14.25" customHeight="1" x14ac:dyDescent="0.3">
      <c r="G682" s="4"/>
      <c r="M682" s="4"/>
    </row>
    <row r="683" spans="7:13" ht="14.25" customHeight="1" x14ac:dyDescent="0.3">
      <c r="G683" s="4"/>
      <c r="M683" s="4"/>
    </row>
    <row r="684" spans="7:13" ht="14.25" customHeight="1" x14ac:dyDescent="0.3">
      <c r="G684" s="4"/>
      <c r="M684" s="4"/>
    </row>
    <row r="685" spans="7:13" ht="14.25" customHeight="1" x14ac:dyDescent="0.3">
      <c r="G685" s="4"/>
      <c r="M685" s="4"/>
    </row>
    <row r="686" spans="7:13" ht="14.25" customHeight="1" x14ac:dyDescent="0.3">
      <c r="G686" s="4"/>
      <c r="M686" s="4"/>
    </row>
    <row r="687" spans="7:13" ht="14.25" customHeight="1" x14ac:dyDescent="0.3">
      <c r="G687" s="4"/>
      <c r="M687" s="4"/>
    </row>
    <row r="688" spans="7:13" ht="14.25" customHeight="1" x14ac:dyDescent="0.3">
      <c r="G688" s="4"/>
      <c r="M688" s="4"/>
    </row>
    <row r="689" spans="7:13" ht="14.25" customHeight="1" x14ac:dyDescent="0.3">
      <c r="G689" s="4"/>
      <c r="M689" s="4"/>
    </row>
    <row r="690" spans="7:13" ht="14.25" customHeight="1" x14ac:dyDescent="0.3">
      <c r="G690" s="4"/>
      <c r="M690" s="4"/>
    </row>
    <row r="691" spans="7:13" ht="14.25" customHeight="1" x14ac:dyDescent="0.3">
      <c r="G691" s="4"/>
      <c r="M691" s="4"/>
    </row>
    <row r="692" spans="7:13" ht="14.25" customHeight="1" x14ac:dyDescent="0.3">
      <c r="G692" s="4"/>
      <c r="M692" s="4"/>
    </row>
    <row r="693" spans="7:13" ht="14.25" customHeight="1" x14ac:dyDescent="0.3">
      <c r="G693" s="4"/>
      <c r="M693" s="4"/>
    </row>
    <row r="694" spans="7:13" ht="14.25" customHeight="1" x14ac:dyDescent="0.3">
      <c r="G694" s="4"/>
      <c r="M694" s="4"/>
    </row>
    <row r="695" spans="7:13" ht="14.25" customHeight="1" x14ac:dyDescent="0.3">
      <c r="G695" s="4"/>
      <c r="M695" s="4"/>
    </row>
    <row r="696" spans="7:13" ht="14.25" customHeight="1" x14ac:dyDescent="0.3">
      <c r="G696" s="4"/>
      <c r="M696" s="4"/>
    </row>
    <row r="697" spans="7:13" ht="14.25" customHeight="1" x14ac:dyDescent="0.3">
      <c r="G697" s="4"/>
      <c r="M697" s="4"/>
    </row>
    <row r="698" spans="7:13" ht="14.25" customHeight="1" x14ac:dyDescent="0.3">
      <c r="G698" s="4"/>
      <c r="M698" s="4"/>
    </row>
    <row r="699" spans="7:13" ht="14.25" customHeight="1" x14ac:dyDescent="0.3">
      <c r="G699" s="4"/>
      <c r="M699" s="4"/>
    </row>
    <row r="700" spans="7:13" ht="14.25" customHeight="1" x14ac:dyDescent="0.3">
      <c r="G700" s="4"/>
      <c r="M700" s="4"/>
    </row>
    <row r="701" spans="7:13" ht="14.25" customHeight="1" x14ac:dyDescent="0.3">
      <c r="G701" s="4"/>
      <c r="M701" s="4"/>
    </row>
    <row r="702" spans="7:13" ht="14.25" customHeight="1" x14ac:dyDescent="0.3">
      <c r="G702" s="4"/>
      <c r="M702" s="4"/>
    </row>
    <row r="703" spans="7:13" ht="14.25" customHeight="1" x14ac:dyDescent="0.3">
      <c r="G703" s="4"/>
      <c r="M703" s="4"/>
    </row>
    <row r="704" spans="7:13" ht="14.25" customHeight="1" x14ac:dyDescent="0.3">
      <c r="G704" s="4"/>
      <c r="M704" s="4"/>
    </row>
    <row r="705" spans="7:13" ht="14.25" customHeight="1" x14ac:dyDescent="0.3">
      <c r="G705" s="4"/>
      <c r="M705" s="4"/>
    </row>
    <row r="706" spans="7:13" ht="14.25" customHeight="1" x14ac:dyDescent="0.3">
      <c r="G706" s="4"/>
      <c r="M706" s="4"/>
    </row>
    <row r="707" spans="7:13" ht="14.25" customHeight="1" x14ac:dyDescent="0.3">
      <c r="G707" s="4"/>
      <c r="M707" s="4"/>
    </row>
    <row r="708" spans="7:13" ht="14.25" customHeight="1" x14ac:dyDescent="0.3">
      <c r="G708" s="4"/>
      <c r="M708" s="4"/>
    </row>
    <row r="709" spans="7:13" ht="14.25" customHeight="1" x14ac:dyDescent="0.3">
      <c r="G709" s="4"/>
      <c r="M709" s="4"/>
    </row>
    <row r="710" spans="7:13" ht="14.25" customHeight="1" x14ac:dyDescent="0.3">
      <c r="G710" s="4"/>
      <c r="M710" s="4"/>
    </row>
    <row r="711" spans="7:13" ht="14.25" customHeight="1" x14ac:dyDescent="0.3">
      <c r="G711" s="4"/>
      <c r="M711" s="4"/>
    </row>
    <row r="712" spans="7:13" ht="14.25" customHeight="1" x14ac:dyDescent="0.3">
      <c r="G712" s="4"/>
      <c r="M712" s="4"/>
    </row>
    <row r="713" spans="7:13" ht="14.25" customHeight="1" x14ac:dyDescent="0.3">
      <c r="G713" s="4"/>
      <c r="M713" s="4"/>
    </row>
    <row r="714" spans="7:13" ht="14.25" customHeight="1" x14ac:dyDescent="0.3">
      <c r="G714" s="4"/>
      <c r="M714" s="4"/>
    </row>
    <row r="715" spans="7:13" ht="14.25" customHeight="1" x14ac:dyDescent="0.3">
      <c r="G715" s="4"/>
      <c r="M715" s="4"/>
    </row>
    <row r="716" spans="7:13" ht="14.25" customHeight="1" x14ac:dyDescent="0.3">
      <c r="G716" s="4"/>
      <c r="M716" s="4"/>
    </row>
    <row r="717" spans="7:13" ht="14.25" customHeight="1" x14ac:dyDescent="0.3">
      <c r="G717" s="4"/>
      <c r="M717" s="4"/>
    </row>
    <row r="718" spans="7:13" ht="14.25" customHeight="1" x14ac:dyDescent="0.3">
      <c r="G718" s="4"/>
      <c r="M718" s="4"/>
    </row>
    <row r="719" spans="7:13" ht="14.25" customHeight="1" x14ac:dyDescent="0.3">
      <c r="G719" s="4"/>
      <c r="M719" s="4"/>
    </row>
    <row r="720" spans="7:13" ht="14.25" customHeight="1" x14ac:dyDescent="0.3">
      <c r="G720" s="4"/>
      <c r="M720" s="4"/>
    </row>
    <row r="721" spans="7:13" ht="14.25" customHeight="1" x14ac:dyDescent="0.3">
      <c r="G721" s="4"/>
      <c r="M721" s="4"/>
    </row>
    <row r="722" spans="7:13" ht="14.25" customHeight="1" x14ac:dyDescent="0.3">
      <c r="G722" s="4"/>
      <c r="M722" s="4"/>
    </row>
    <row r="723" spans="7:13" ht="14.25" customHeight="1" x14ac:dyDescent="0.3">
      <c r="G723" s="4"/>
      <c r="M723" s="4"/>
    </row>
    <row r="724" spans="7:13" ht="14.25" customHeight="1" x14ac:dyDescent="0.3">
      <c r="G724" s="4"/>
      <c r="M724" s="4"/>
    </row>
    <row r="725" spans="7:13" ht="14.25" customHeight="1" x14ac:dyDescent="0.3">
      <c r="G725" s="4"/>
      <c r="M725" s="4"/>
    </row>
    <row r="726" spans="7:13" ht="14.25" customHeight="1" x14ac:dyDescent="0.3">
      <c r="G726" s="4"/>
      <c r="M726" s="4"/>
    </row>
    <row r="727" spans="7:13" ht="14.25" customHeight="1" x14ac:dyDescent="0.3">
      <c r="G727" s="4"/>
      <c r="M727" s="4"/>
    </row>
    <row r="728" spans="7:13" ht="14.25" customHeight="1" x14ac:dyDescent="0.3">
      <c r="G728" s="4"/>
      <c r="M728" s="4"/>
    </row>
    <row r="729" spans="7:13" ht="14.25" customHeight="1" x14ac:dyDescent="0.3">
      <c r="G729" s="4"/>
      <c r="M729" s="4"/>
    </row>
    <row r="730" spans="7:13" ht="14.25" customHeight="1" x14ac:dyDescent="0.3">
      <c r="G730" s="4"/>
      <c r="M730" s="4"/>
    </row>
    <row r="731" spans="7:13" ht="14.25" customHeight="1" x14ac:dyDescent="0.3">
      <c r="G731" s="4"/>
      <c r="M731" s="4"/>
    </row>
    <row r="732" spans="7:13" ht="14.25" customHeight="1" x14ac:dyDescent="0.3">
      <c r="G732" s="4"/>
      <c r="M732" s="4"/>
    </row>
    <row r="733" spans="7:13" ht="14.25" customHeight="1" x14ac:dyDescent="0.3">
      <c r="G733" s="4"/>
      <c r="M733" s="4"/>
    </row>
    <row r="734" spans="7:13" ht="14.25" customHeight="1" x14ac:dyDescent="0.3">
      <c r="G734" s="4"/>
      <c r="M734" s="4"/>
    </row>
    <row r="735" spans="7:13" ht="14.25" customHeight="1" x14ac:dyDescent="0.3">
      <c r="G735" s="4"/>
      <c r="M735" s="4"/>
    </row>
    <row r="736" spans="7:13" ht="14.25" customHeight="1" x14ac:dyDescent="0.3">
      <c r="G736" s="4"/>
      <c r="M736" s="4"/>
    </row>
    <row r="737" spans="7:13" ht="14.25" customHeight="1" x14ac:dyDescent="0.3">
      <c r="G737" s="4"/>
      <c r="M737" s="4"/>
    </row>
    <row r="738" spans="7:13" ht="14.25" customHeight="1" x14ac:dyDescent="0.3">
      <c r="G738" s="4"/>
      <c r="M738" s="4"/>
    </row>
    <row r="739" spans="7:13" ht="14.25" customHeight="1" x14ac:dyDescent="0.3">
      <c r="G739" s="4"/>
      <c r="M739" s="4"/>
    </row>
    <row r="740" spans="7:13" ht="14.25" customHeight="1" x14ac:dyDescent="0.3">
      <c r="G740" s="4"/>
      <c r="M740" s="4"/>
    </row>
    <row r="741" spans="7:13" ht="14.25" customHeight="1" x14ac:dyDescent="0.3">
      <c r="G741" s="4"/>
      <c r="M741" s="4"/>
    </row>
    <row r="742" spans="7:13" ht="14.25" customHeight="1" x14ac:dyDescent="0.3">
      <c r="G742" s="4"/>
      <c r="M742" s="4"/>
    </row>
    <row r="743" spans="7:13" ht="14.25" customHeight="1" x14ac:dyDescent="0.3">
      <c r="G743" s="4"/>
      <c r="M743" s="4"/>
    </row>
    <row r="744" spans="7:13" ht="14.25" customHeight="1" x14ac:dyDescent="0.3">
      <c r="G744" s="4"/>
      <c r="M744" s="4"/>
    </row>
    <row r="745" spans="7:13" ht="14.25" customHeight="1" x14ac:dyDescent="0.3">
      <c r="G745" s="4"/>
      <c r="M745" s="4"/>
    </row>
    <row r="746" spans="7:13" ht="14.25" customHeight="1" x14ac:dyDescent="0.3">
      <c r="G746" s="4"/>
      <c r="M746" s="4"/>
    </row>
    <row r="747" spans="7:13" ht="14.25" customHeight="1" x14ac:dyDescent="0.3">
      <c r="G747" s="4"/>
      <c r="M747" s="4"/>
    </row>
    <row r="748" spans="7:13" ht="14.25" customHeight="1" x14ac:dyDescent="0.3">
      <c r="G748" s="4"/>
      <c r="M748" s="4"/>
    </row>
    <row r="749" spans="7:13" ht="14.25" customHeight="1" x14ac:dyDescent="0.3">
      <c r="G749" s="4"/>
      <c r="M749" s="4"/>
    </row>
    <row r="750" spans="7:13" ht="14.25" customHeight="1" x14ac:dyDescent="0.3">
      <c r="G750" s="4"/>
      <c r="M750" s="4"/>
    </row>
    <row r="751" spans="7:13" ht="14.25" customHeight="1" x14ac:dyDescent="0.3">
      <c r="G751" s="4"/>
      <c r="M751" s="4"/>
    </row>
    <row r="752" spans="7:13" ht="14.25" customHeight="1" x14ac:dyDescent="0.3">
      <c r="G752" s="4"/>
      <c r="M752" s="4"/>
    </row>
    <row r="753" spans="7:13" ht="14.25" customHeight="1" x14ac:dyDescent="0.3">
      <c r="G753" s="4"/>
      <c r="M753" s="4"/>
    </row>
    <row r="754" spans="7:13" ht="14.25" customHeight="1" x14ac:dyDescent="0.3">
      <c r="G754" s="4"/>
      <c r="M754" s="4"/>
    </row>
    <row r="755" spans="7:13" ht="14.25" customHeight="1" x14ac:dyDescent="0.3">
      <c r="G755" s="4"/>
      <c r="M755" s="4"/>
    </row>
    <row r="756" spans="7:13" ht="14.25" customHeight="1" x14ac:dyDescent="0.3">
      <c r="G756" s="4"/>
      <c r="M756" s="4"/>
    </row>
    <row r="757" spans="7:13" ht="14.25" customHeight="1" x14ac:dyDescent="0.3">
      <c r="G757" s="4"/>
      <c r="M757" s="4"/>
    </row>
    <row r="758" spans="7:13" ht="14.25" customHeight="1" x14ac:dyDescent="0.3">
      <c r="G758" s="4"/>
      <c r="M758" s="4"/>
    </row>
    <row r="759" spans="7:13" ht="14.25" customHeight="1" x14ac:dyDescent="0.3">
      <c r="G759" s="4"/>
      <c r="M759" s="4"/>
    </row>
    <row r="760" spans="7:13" ht="14.25" customHeight="1" x14ac:dyDescent="0.3">
      <c r="G760" s="4"/>
      <c r="M760" s="4"/>
    </row>
    <row r="761" spans="7:13" ht="14.25" customHeight="1" x14ac:dyDescent="0.3">
      <c r="G761" s="4"/>
      <c r="M761" s="4"/>
    </row>
    <row r="762" spans="7:13" ht="14.25" customHeight="1" x14ac:dyDescent="0.3">
      <c r="G762" s="4"/>
      <c r="M762" s="4"/>
    </row>
    <row r="763" spans="7:13" ht="14.25" customHeight="1" x14ac:dyDescent="0.3">
      <c r="G763" s="4"/>
      <c r="M763" s="4"/>
    </row>
    <row r="764" spans="7:13" ht="14.25" customHeight="1" x14ac:dyDescent="0.3">
      <c r="G764" s="4"/>
      <c r="M764" s="4"/>
    </row>
    <row r="765" spans="7:13" ht="14.25" customHeight="1" x14ac:dyDescent="0.3">
      <c r="G765" s="4"/>
      <c r="M765" s="4"/>
    </row>
    <row r="766" spans="7:13" ht="14.25" customHeight="1" x14ac:dyDescent="0.3">
      <c r="G766" s="4"/>
      <c r="M766" s="4"/>
    </row>
    <row r="767" spans="7:13" ht="14.25" customHeight="1" x14ac:dyDescent="0.3">
      <c r="G767" s="4"/>
      <c r="M767" s="4"/>
    </row>
    <row r="768" spans="7:13" ht="14.25" customHeight="1" x14ac:dyDescent="0.3">
      <c r="G768" s="4"/>
      <c r="M768" s="4"/>
    </row>
    <row r="769" spans="7:13" ht="14.25" customHeight="1" x14ac:dyDescent="0.3">
      <c r="G769" s="4"/>
      <c r="M769" s="4"/>
    </row>
    <row r="770" spans="7:13" ht="14.25" customHeight="1" x14ac:dyDescent="0.3">
      <c r="G770" s="4"/>
      <c r="M770" s="4"/>
    </row>
    <row r="771" spans="7:13" ht="14.25" customHeight="1" x14ac:dyDescent="0.3">
      <c r="G771" s="4"/>
      <c r="M771" s="4"/>
    </row>
    <row r="772" spans="7:13" ht="14.25" customHeight="1" x14ac:dyDescent="0.3">
      <c r="G772" s="4"/>
      <c r="M772" s="4"/>
    </row>
    <row r="773" spans="7:13" ht="14.25" customHeight="1" x14ac:dyDescent="0.3">
      <c r="G773" s="4"/>
      <c r="M773" s="4"/>
    </row>
    <row r="774" spans="7:13" ht="14.25" customHeight="1" x14ac:dyDescent="0.3">
      <c r="G774" s="4"/>
      <c r="M774" s="4"/>
    </row>
    <row r="775" spans="7:13" ht="14.25" customHeight="1" x14ac:dyDescent="0.3">
      <c r="G775" s="4"/>
      <c r="M775" s="4"/>
    </row>
    <row r="776" spans="7:13" ht="14.25" customHeight="1" x14ac:dyDescent="0.3">
      <c r="G776" s="4"/>
      <c r="M776" s="4"/>
    </row>
    <row r="777" spans="7:13" ht="14.25" customHeight="1" x14ac:dyDescent="0.3">
      <c r="G777" s="4"/>
      <c r="M777" s="4"/>
    </row>
    <row r="778" spans="7:13" ht="14.25" customHeight="1" x14ac:dyDescent="0.3">
      <c r="G778" s="4"/>
      <c r="M778" s="4"/>
    </row>
    <row r="779" spans="7:13" ht="14.25" customHeight="1" x14ac:dyDescent="0.3">
      <c r="G779" s="4"/>
      <c r="M779" s="4"/>
    </row>
    <row r="780" spans="7:13" ht="14.25" customHeight="1" x14ac:dyDescent="0.3">
      <c r="G780" s="4"/>
      <c r="M780" s="4"/>
    </row>
    <row r="781" spans="7:13" ht="14.25" customHeight="1" x14ac:dyDescent="0.3">
      <c r="G781" s="4"/>
      <c r="M781" s="4"/>
    </row>
    <row r="782" spans="7:13" ht="14.25" customHeight="1" x14ac:dyDescent="0.3">
      <c r="G782" s="4"/>
      <c r="M782" s="4"/>
    </row>
    <row r="783" spans="7:13" ht="14.25" customHeight="1" x14ac:dyDescent="0.3">
      <c r="G783" s="4"/>
      <c r="M783" s="4"/>
    </row>
    <row r="784" spans="7:13" ht="14.25" customHeight="1" x14ac:dyDescent="0.3">
      <c r="G784" s="4"/>
      <c r="M784" s="4"/>
    </row>
    <row r="785" spans="7:13" ht="14.25" customHeight="1" x14ac:dyDescent="0.3">
      <c r="G785" s="4"/>
      <c r="M785" s="4"/>
    </row>
    <row r="786" spans="7:13" ht="14.25" customHeight="1" x14ac:dyDescent="0.3">
      <c r="G786" s="4"/>
      <c r="M786" s="4"/>
    </row>
    <row r="787" spans="7:13" ht="14.25" customHeight="1" x14ac:dyDescent="0.3">
      <c r="G787" s="4"/>
      <c r="M787" s="4"/>
    </row>
    <row r="788" spans="7:13" ht="14.25" customHeight="1" x14ac:dyDescent="0.3">
      <c r="G788" s="4"/>
      <c r="M788" s="4"/>
    </row>
    <row r="789" spans="7:13" ht="14.25" customHeight="1" x14ac:dyDescent="0.3">
      <c r="G789" s="4"/>
      <c r="M789" s="4"/>
    </row>
    <row r="790" spans="7:13" ht="14.25" customHeight="1" x14ac:dyDescent="0.3">
      <c r="G790" s="4"/>
      <c r="M790" s="4"/>
    </row>
    <row r="791" spans="7:13" ht="14.25" customHeight="1" x14ac:dyDescent="0.3">
      <c r="G791" s="4"/>
      <c r="M791" s="4"/>
    </row>
    <row r="792" spans="7:13" ht="14.25" customHeight="1" x14ac:dyDescent="0.3">
      <c r="G792" s="4"/>
      <c r="M792" s="4"/>
    </row>
    <row r="793" spans="7:13" ht="14.25" customHeight="1" x14ac:dyDescent="0.3">
      <c r="G793" s="4"/>
      <c r="M793" s="4"/>
    </row>
    <row r="794" spans="7:13" ht="14.25" customHeight="1" x14ac:dyDescent="0.3">
      <c r="G794" s="4"/>
      <c r="M794" s="4"/>
    </row>
    <row r="795" spans="7:13" ht="14.25" customHeight="1" x14ac:dyDescent="0.3">
      <c r="G795" s="4"/>
      <c r="M795" s="4"/>
    </row>
    <row r="796" spans="7:13" ht="14.25" customHeight="1" x14ac:dyDescent="0.3">
      <c r="G796" s="4"/>
      <c r="M796" s="4"/>
    </row>
    <row r="797" spans="7:13" ht="14.25" customHeight="1" x14ac:dyDescent="0.3">
      <c r="G797" s="4"/>
      <c r="M797" s="4"/>
    </row>
    <row r="798" spans="7:13" ht="14.25" customHeight="1" x14ac:dyDescent="0.3">
      <c r="G798" s="4"/>
      <c r="M798" s="4"/>
    </row>
    <row r="799" spans="7:13" ht="14.25" customHeight="1" x14ac:dyDescent="0.3">
      <c r="G799" s="4"/>
      <c r="M799" s="4"/>
    </row>
    <row r="800" spans="7:13" ht="14.25" customHeight="1" x14ac:dyDescent="0.3">
      <c r="G800" s="4"/>
      <c r="M800" s="4"/>
    </row>
    <row r="801" spans="7:13" ht="14.25" customHeight="1" x14ac:dyDescent="0.3">
      <c r="G801" s="4"/>
      <c r="M801" s="4"/>
    </row>
    <row r="802" spans="7:13" ht="14.25" customHeight="1" x14ac:dyDescent="0.3">
      <c r="G802" s="4"/>
      <c r="M802" s="4"/>
    </row>
    <row r="803" spans="7:13" ht="14.25" customHeight="1" x14ac:dyDescent="0.3">
      <c r="G803" s="4"/>
      <c r="M803" s="4"/>
    </row>
    <row r="804" spans="7:13" ht="14.25" customHeight="1" x14ac:dyDescent="0.3">
      <c r="G804" s="4"/>
      <c r="M804" s="4"/>
    </row>
    <row r="805" spans="7:13" ht="14.25" customHeight="1" x14ac:dyDescent="0.3">
      <c r="G805" s="4"/>
      <c r="M805" s="4"/>
    </row>
    <row r="806" spans="7:13" ht="14.25" customHeight="1" x14ac:dyDescent="0.3">
      <c r="G806" s="4"/>
      <c r="M806" s="4"/>
    </row>
    <row r="807" spans="7:13" ht="14.25" customHeight="1" x14ac:dyDescent="0.3">
      <c r="G807" s="4"/>
      <c r="M807" s="4"/>
    </row>
    <row r="808" spans="7:13" ht="14.25" customHeight="1" x14ac:dyDescent="0.3">
      <c r="G808" s="4"/>
      <c r="M808" s="4"/>
    </row>
    <row r="809" spans="7:13" ht="14.25" customHeight="1" x14ac:dyDescent="0.3">
      <c r="G809" s="4"/>
      <c r="M809" s="4"/>
    </row>
    <row r="810" spans="7:13" ht="14.25" customHeight="1" x14ac:dyDescent="0.3">
      <c r="G810" s="4"/>
      <c r="M810" s="4"/>
    </row>
    <row r="811" spans="7:13" ht="14.25" customHeight="1" x14ac:dyDescent="0.3">
      <c r="G811" s="4"/>
      <c r="M811" s="4"/>
    </row>
    <row r="812" spans="7:13" ht="14.25" customHeight="1" x14ac:dyDescent="0.3">
      <c r="G812" s="4"/>
      <c r="M812" s="4"/>
    </row>
    <row r="813" spans="7:13" ht="14.25" customHeight="1" x14ac:dyDescent="0.3">
      <c r="G813" s="4"/>
      <c r="M813" s="4"/>
    </row>
    <row r="814" spans="7:13" ht="14.25" customHeight="1" x14ac:dyDescent="0.3">
      <c r="G814" s="4"/>
      <c r="M814" s="4"/>
    </row>
    <row r="815" spans="7:13" ht="14.25" customHeight="1" x14ac:dyDescent="0.3">
      <c r="G815" s="4"/>
      <c r="M815" s="4"/>
    </row>
    <row r="816" spans="7:13" ht="14.25" customHeight="1" x14ac:dyDescent="0.3">
      <c r="G816" s="4"/>
      <c r="M816" s="4"/>
    </row>
    <row r="817" spans="7:13" ht="14.25" customHeight="1" x14ac:dyDescent="0.3">
      <c r="G817" s="4"/>
      <c r="M817" s="4"/>
    </row>
    <row r="818" spans="7:13" ht="14.25" customHeight="1" x14ac:dyDescent="0.3">
      <c r="G818" s="4"/>
      <c r="M818" s="4"/>
    </row>
    <row r="819" spans="7:13" ht="14.25" customHeight="1" x14ac:dyDescent="0.3">
      <c r="G819" s="4"/>
      <c r="M819" s="4"/>
    </row>
    <row r="820" spans="7:13" ht="14.25" customHeight="1" x14ac:dyDescent="0.3">
      <c r="G820" s="4"/>
      <c r="M820" s="4"/>
    </row>
    <row r="821" spans="7:13" ht="14.25" customHeight="1" x14ac:dyDescent="0.3">
      <c r="G821" s="4"/>
      <c r="M821" s="4"/>
    </row>
    <row r="822" spans="7:13" ht="14.25" customHeight="1" x14ac:dyDescent="0.3">
      <c r="G822" s="4"/>
      <c r="M822" s="4"/>
    </row>
    <row r="823" spans="7:13" ht="14.25" customHeight="1" x14ac:dyDescent="0.3">
      <c r="G823" s="4"/>
      <c r="M823" s="4"/>
    </row>
    <row r="824" spans="7:13" ht="14.25" customHeight="1" x14ac:dyDescent="0.3">
      <c r="G824" s="4"/>
      <c r="M824" s="4"/>
    </row>
    <row r="825" spans="7:13" ht="14.25" customHeight="1" x14ac:dyDescent="0.3">
      <c r="G825" s="4"/>
      <c r="M825" s="4"/>
    </row>
    <row r="826" spans="7:13" ht="14.25" customHeight="1" x14ac:dyDescent="0.3">
      <c r="G826" s="4"/>
      <c r="M826" s="4"/>
    </row>
    <row r="827" spans="7:13" ht="14.25" customHeight="1" x14ac:dyDescent="0.3">
      <c r="G827" s="4"/>
      <c r="M827" s="4"/>
    </row>
    <row r="828" spans="7:13" ht="14.25" customHeight="1" x14ac:dyDescent="0.3">
      <c r="G828" s="4"/>
      <c r="M828" s="4"/>
    </row>
    <row r="829" spans="7:13" ht="14.25" customHeight="1" x14ac:dyDescent="0.3">
      <c r="G829" s="4"/>
      <c r="M829" s="4"/>
    </row>
    <row r="830" spans="7:13" ht="14.25" customHeight="1" x14ac:dyDescent="0.3">
      <c r="G830" s="4"/>
      <c r="M830" s="4"/>
    </row>
    <row r="831" spans="7:13" ht="14.25" customHeight="1" x14ac:dyDescent="0.3">
      <c r="G831" s="4"/>
      <c r="M831" s="4"/>
    </row>
    <row r="832" spans="7:13" ht="14.25" customHeight="1" x14ac:dyDescent="0.3">
      <c r="G832" s="4"/>
      <c r="M832" s="4"/>
    </row>
    <row r="833" spans="7:13" ht="14.25" customHeight="1" x14ac:dyDescent="0.3">
      <c r="G833" s="4"/>
      <c r="M833" s="4"/>
    </row>
    <row r="834" spans="7:13" ht="14.25" customHeight="1" x14ac:dyDescent="0.3">
      <c r="G834" s="4"/>
      <c r="M834" s="4"/>
    </row>
    <row r="835" spans="7:13" ht="14.25" customHeight="1" x14ac:dyDescent="0.3">
      <c r="G835" s="4"/>
      <c r="M835" s="4"/>
    </row>
    <row r="836" spans="7:13" ht="14.25" customHeight="1" x14ac:dyDescent="0.3">
      <c r="G836" s="4"/>
      <c r="M836" s="4"/>
    </row>
    <row r="837" spans="7:13" ht="14.25" customHeight="1" x14ac:dyDescent="0.3">
      <c r="G837" s="4"/>
      <c r="M837" s="4"/>
    </row>
    <row r="838" spans="7:13" ht="14.25" customHeight="1" x14ac:dyDescent="0.3">
      <c r="G838" s="4"/>
      <c r="M838" s="4"/>
    </row>
    <row r="839" spans="7:13" ht="14.25" customHeight="1" x14ac:dyDescent="0.3">
      <c r="G839" s="4"/>
      <c r="M839" s="4"/>
    </row>
    <row r="840" spans="7:13" ht="14.25" customHeight="1" x14ac:dyDescent="0.3">
      <c r="G840" s="4"/>
      <c r="M840" s="4"/>
    </row>
    <row r="841" spans="7:13" ht="14.25" customHeight="1" x14ac:dyDescent="0.3">
      <c r="G841" s="4"/>
      <c r="M841" s="4"/>
    </row>
    <row r="842" spans="7:13" ht="14.25" customHeight="1" x14ac:dyDescent="0.3">
      <c r="G842" s="4"/>
      <c r="M842" s="4"/>
    </row>
    <row r="843" spans="7:13" ht="14.25" customHeight="1" x14ac:dyDescent="0.3">
      <c r="G843" s="4"/>
      <c r="M843" s="4"/>
    </row>
    <row r="844" spans="7:13" ht="14.25" customHeight="1" x14ac:dyDescent="0.3">
      <c r="G844" s="4"/>
      <c r="M844" s="4"/>
    </row>
    <row r="845" spans="7:13" ht="14.25" customHeight="1" x14ac:dyDescent="0.3">
      <c r="G845" s="4"/>
      <c r="M845" s="4"/>
    </row>
    <row r="846" spans="7:13" ht="14.25" customHeight="1" x14ac:dyDescent="0.3">
      <c r="G846" s="4"/>
      <c r="M846" s="4"/>
    </row>
    <row r="847" spans="7:13" ht="14.25" customHeight="1" x14ac:dyDescent="0.3">
      <c r="G847" s="4"/>
      <c r="M847" s="4"/>
    </row>
    <row r="848" spans="7:13" ht="14.25" customHeight="1" x14ac:dyDescent="0.3">
      <c r="G848" s="4"/>
      <c r="M848" s="4"/>
    </row>
    <row r="849" spans="7:13" ht="14.25" customHeight="1" x14ac:dyDescent="0.3">
      <c r="G849" s="4"/>
      <c r="M849" s="4"/>
    </row>
    <row r="850" spans="7:13" ht="14.25" customHeight="1" x14ac:dyDescent="0.3">
      <c r="G850" s="4"/>
      <c r="M850" s="4"/>
    </row>
    <row r="851" spans="7:13" ht="14.25" customHeight="1" x14ac:dyDescent="0.3">
      <c r="G851" s="4"/>
      <c r="M851" s="4"/>
    </row>
    <row r="852" spans="7:13" ht="14.25" customHeight="1" x14ac:dyDescent="0.3">
      <c r="G852" s="4"/>
      <c r="M852" s="4"/>
    </row>
    <row r="853" spans="7:13" ht="14.25" customHeight="1" x14ac:dyDescent="0.3">
      <c r="G853" s="4"/>
      <c r="M853" s="4"/>
    </row>
    <row r="854" spans="7:13" ht="14.25" customHeight="1" x14ac:dyDescent="0.3">
      <c r="G854" s="4"/>
      <c r="M854" s="4"/>
    </row>
    <row r="855" spans="7:13" ht="14.25" customHeight="1" x14ac:dyDescent="0.3">
      <c r="G855" s="4"/>
      <c r="M855" s="4"/>
    </row>
    <row r="856" spans="7:13" ht="14.25" customHeight="1" x14ac:dyDescent="0.3">
      <c r="G856" s="4"/>
      <c r="M856" s="4"/>
    </row>
    <row r="857" spans="7:13" ht="14.25" customHeight="1" x14ac:dyDescent="0.3">
      <c r="G857" s="4"/>
      <c r="M857" s="4"/>
    </row>
    <row r="858" spans="7:13" ht="14.25" customHeight="1" x14ac:dyDescent="0.3">
      <c r="G858" s="4"/>
      <c r="M858" s="4"/>
    </row>
    <row r="859" spans="7:13" ht="14.25" customHeight="1" x14ac:dyDescent="0.3">
      <c r="G859" s="4"/>
      <c r="M859" s="4"/>
    </row>
    <row r="860" spans="7:13" ht="14.25" customHeight="1" x14ac:dyDescent="0.3">
      <c r="G860" s="4"/>
      <c r="M860" s="4"/>
    </row>
    <row r="861" spans="7:13" ht="14.25" customHeight="1" x14ac:dyDescent="0.3">
      <c r="G861" s="4"/>
      <c r="M861" s="4"/>
    </row>
    <row r="862" spans="7:13" ht="14.25" customHeight="1" x14ac:dyDescent="0.3">
      <c r="G862" s="4"/>
      <c r="M862" s="4"/>
    </row>
    <row r="863" spans="7:13" ht="14.25" customHeight="1" x14ac:dyDescent="0.3">
      <c r="G863" s="4"/>
      <c r="M863" s="4"/>
    </row>
    <row r="864" spans="7:13" ht="14.25" customHeight="1" x14ac:dyDescent="0.3">
      <c r="G864" s="4"/>
      <c r="M864" s="4"/>
    </row>
    <row r="865" spans="7:13" ht="14.25" customHeight="1" x14ac:dyDescent="0.3">
      <c r="G865" s="4"/>
      <c r="M865" s="4"/>
    </row>
    <row r="866" spans="7:13" ht="14.25" customHeight="1" x14ac:dyDescent="0.3">
      <c r="G866" s="4"/>
      <c r="M866" s="4"/>
    </row>
    <row r="867" spans="7:13" ht="14.25" customHeight="1" x14ac:dyDescent="0.3">
      <c r="G867" s="4"/>
      <c r="M867" s="4"/>
    </row>
    <row r="868" spans="7:13" ht="14.25" customHeight="1" x14ac:dyDescent="0.3">
      <c r="G868" s="4"/>
      <c r="M868" s="4"/>
    </row>
    <row r="869" spans="7:13" ht="14.25" customHeight="1" x14ac:dyDescent="0.3">
      <c r="G869" s="4"/>
      <c r="M869" s="4"/>
    </row>
    <row r="870" spans="7:13" ht="14.25" customHeight="1" x14ac:dyDescent="0.3">
      <c r="G870" s="4"/>
      <c r="M870" s="4"/>
    </row>
    <row r="871" spans="7:13" ht="14.25" customHeight="1" x14ac:dyDescent="0.3">
      <c r="G871" s="4"/>
      <c r="M871" s="4"/>
    </row>
    <row r="872" spans="7:13" ht="14.25" customHeight="1" x14ac:dyDescent="0.3">
      <c r="G872" s="4"/>
      <c r="M872" s="4"/>
    </row>
    <row r="873" spans="7:13" ht="14.25" customHeight="1" x14ac:dyDescent="0.3">
      <c r="G873" s="4"/>
      <c r="M873" s="4"/>
    </row>
    <row r="874" spans="7:13" ht="14.25" customHeight="1" x14ac:dyDescent="0.3">
      <c r="G874" s="4"/>
      <c r="M874" s="4"/>
    </row>
    <row r="875" spans="7:13" ht="14.25" customHeight="1" x14ac:dyDescent="0.3">
      <c r="G875" s="4"/>
      <c r="M875" s="4"/>
    </row>
    <row r="876" spans="7:13" ht="14.25" customHeight="1" x14ac:dyDescent="0.3">
      <c r="G876" s="4"/>
      <c r="M876" s="4"/>
    </row>
    <row r="877" spans="7:13" ht="14.25" customHeight="1" x14ac:dyDescent="0.3">
      <c r="G877" s="4"/>
      <c r="M877" s="4"/>
    </row>
    <row r="878" spans="7:13" ht="14.25" customHeight="1" x14ac:dyDescent="0.3">
      <c r="G878" s="4"/>
      <c r="M878" s="4"/>
    </row>
    <row r="879" spans="7:13" ht="14.25" customHeight="1" x14ac:dyDescent="0.3">
      <c r="G879" s="4"/>
      <c r="M879" s="4"/>
    </row>
    <row r="880" spans="7:13" ht="14.25" customHeight="1" x14ac:dyDescent="0.3">
      <c r="G880" s="4"/>
      <c r="M880" s="4"/>
    </row>
    <row r="881" spans="7:13" ht="14.25" customHeight="1" x14ac:dyDescent="0.3">
      <c r="G881" s="4"/>
      <c r="M881" s="4"/>
    </row>
    <row r="882" spans="7:13" ht="14.25" customHeight="1" x14ac:dyDescent="0.3">
      <c r="G882" s="4"/>
      <c r="M882" s="4"/>
    </row>
    <row r="883" spans="7:13" ht="14.25" customHeight="1" x14ac:dyDescent="0.3">
      <c r="G883" s="4"/>
      <c r="M883" s="4"/>
    </row>
    <row r="884" spans="7:13" ht="14.25" customHeight="1" x14ac:dyDescent="0.3">
      <c r="G884" s="4"/>
      <c r="M884" s="4"/>
    </row>
    <row r="885" spans="7:13" ht="14.25" customHeight="1" x14ac:dyDescent="0.3">
      <c r="G885" s="4"/>
      <c r="M885" s="4"/>
    </row>
    <row r="886" spans="7:13" ht="14.25" customHeight="1" x14ac:dyDescent="0.3">
      <c r="G886" s="4"/>
      <c r="M886" s="4"/>
    </row>
    <row r="887" spans="7:13" ht="14.25" customHeight="1" x14ac:dyDescent="0.3">
      <c r="G887" s="4"/>
      <c r="M887" s="4"/>
    </row>
    <row r="888" spans="7:13" ht="14.25" customHeight="1" x14ac:dyDescent="0.3">
      <c r="G888" s="4"/>
      <c r="M888" s="4"/>
    </row>
    <row r="889" spans="7:13" ht="14.25" customHeight="1" x14ac:dyDescent="0.3">
      <c r="G889" s="4"/>
      <c r="M889" s="4"/>
    </row>
    <row r="890" spans="7:13" ht="14.25" customHeight="1" x14ac:dyDescent="0.3">
      <c r="G890" s="4"/>
      <c r="M890" s="4"/>
    </row>
    <row r="891" spans="7:13" ht="14.25" customHeight="1" x14ac:dyDescent="0.3">
      <c r="G891" s="4"/>
      <c r="M891" s="4"/>
    </row>
    <row r="892" spans="7:13" ht="14.25" customHeight="1" x14ac:dyDescent="0.3">
      <c r="G892" s="4"/>
      <c r="M892" s="4"/>
    </row>
    <row r="893" spans="7:13" ht="14.25" customHeight="1" x14ac:dyDescent="0.3">
      <c r="G893" s="4"/>
      <c r="M893" s="4"/>
    </row>
    <row r="894" spans="7:13" ht="14.25" customHeight="1" x14ac:dyDescent="0.3">
      <c r="G894" s="4"/>
      <c r="M894" s="4"/>
    </row>
    <row r="895" spans="7:13" ht="14.25" customHeight="1" x14ac:dyDescent="0.3">
      <c r="G895" s="4"/>
      <c r="M895" s="4"/>
    </row>
    <row r="896" spans="7:13" ht="14.25" customHeight="1" x14ac:dyDescent="0.3">
      <c r="G896" s="4"/>
      <c r="M896" s="4"/>
    </row>
    <row r="897" spans="7:13" ht="14.25" customHeight="1" x14ac:dyDescent="0.3">
      <c r="G897" s="4"/>
      <c r="M897" s="4"/>
    </row>
    <row r="898" spans="7:13" ht="14.25" customHeight="1" x14ac:dyDescent="0.3">
      <c r="G898" s="4"/>
      <c r="M898" s="4"/>
    </row>
    <row r="899" spans="7:13" ht="14.25" customHeight="1" x14ac:dyDescent="0.3">
      <c r="G899" s="4"/>
      <c r="M899" s="4"/>
    </row>
    <row r="900" spans="7:13" ht="14.25" customHeight="1" x14ac:dyDescent="0.3">
      <c r="G900" s="4"/>
      <c r="M900" s="4"/>
    </row>
    <row r="901" spans="7:13" ht="14.25" customHeight="1" x14ac:dyDescent="0.3">
      <c r="G901" s="4"/>
      <c r="M901" s="4"/>
    </row>
    <row r="902" spans="7:13" ht="14.25" customHeight="1" x14ac:dyDescent="0.3">
      <c r="G902" s="4"/>
      <c r="M902" s="4"/>
    </row>
    <row r="903" spans="7:13" ht="14.25" customHeight="1" x14ac:dyDescent="0.3">
      <c r="G903" s="4"/>
      <c r="M903" s="4"/>
    </row>
    <row r="904" spans="7:13" ht="14.25" customHeight="1" x14ac:dyDescent="0.3">
      <c r="G904" s="4"/>
      <c r="M904" s="4"/>
    </row>
    <row r="905" spans="7:13" ht="14.25" customHeight="1" x14ac:dyDescent="0.3">
      <c r="G905" s="4"/>
      <c r="M905" s="4"/>
    </row>
    <row r="906" spans="7:13" ht="14.25" customHeight="1" x14ac:dyDescent="0.3">
      <c r="G906" s="4"/>
      <c r="M906" s="4"/>
    </row>
    <row r="907" spans="7:13" ht="14.25" customHeight="1" x14ac:dyDescent="0.3">
      <c r="G907" s="4"/>
      <c r="M907" s="4"/>
    </row>
    <row r="908" spans="7:13" ht="14.25" customHeight="1" x14ac:dyDescent="0.3">
      <c r="G908" s="4"/>
      <c r="M908" s="4"/>
    </row>
    <row r="909" spans="7:13" ht="14.25" customHeight="1" x14ac:dyDescent="0.3">
      <c r="G909" s="4"/>
      <c r="M909" s="4"/>
    </row>
    <row r="910" spans="7:13" ht="14.25" customHeight="1" x14ac:dyDescent="0.3">
      <c r="G910" s="4"/>
      <c r="M910" s="4"/>
    </row>
    <row r="911" spans="7:13" ht="14.25" customHeight="1" x14ac:dyDescent="0.3">
      <c r="G911" s="4"/>
      <c r="M911" s="4"/>
    </row>
    <row r="912" spans="7:13" ht="14.25" customHeight="1" x14ac:dyDescent="0.3">
      <c r="G912" s="4"/>
      <c r="M912" s="4"/>
    </row>
    <row r="913" spans="7:13" ht="14.25" customHeight="1" x14ac:dyDescent="0.3">
      <c r="G913" s="4"/>
      <c r="M913" s="4"/>
    </row>
    <row r="914" spans="7:13" ht="14.25" customHeight="1" x14ac:dyDescent="0.3">
      <c r="G914" s="4"/>
      <c r="M914" s="4"/>
    </row>
    <row r="915" spans="7:13" ht="14.25" customHeight="1" x14ac:dyDescent="0.3">
      <c r="G915" s="4"/>
      <c r="M915" s="4"/>
    </row>
    <row r="916" spans="7:13" ht="14.25" customHeight="1" x14ac:dyDescent="0.3">
      <c r="G916" s="4"/>
      <c r="M916" s="4"/>
    </row>
    <row r="917" spans="7:13" ht="14.25" customHeight="1" x14ac:dyDescent="0.3">
      <c r="G917" s="4"/>
      <c r="M917" s="4"/>
    </row>
    <row r="918" spans="7:13" ht="14.25" customHeight="1" x14ac:dyDescent="0.3">
      <c r="G918" s="4"/>
      <c r="M918" s="4"/>
    </row>
    <row r="919" spans="7:13" ht="14.25" customHeight="1" x14ac:dyDescent="0.3">
      <c r="G919" s="4"/>
      <c r="M919" s="4"/>
    </row>
    <row r="920" spans="7:13" ht="14.25" customHeight="1" x14ac:dyDescent="0.3">
      <c r="G920" s="4"/>
      <c r="M920" s="4"/>
    </row>
    <row r="921" spans="7:13" ht="14.25" customHeight="1" x14ac:dyDescent="0.3">
      <c r="G921" s="4"/>
      <c r="M921" s="4"/>
    </row>
    <row r="922" spans="7:13" ht="14.25" customHeight="1" x14ac:dyDescent="0.3">
      <c r="G922" s="4"/>
      <c r="M922" s="4"/>
    </row>
    <row r="923" spans="7:13" ht="14.25" customHeight="1" x14ac:dyDescent="0.3">
      <c r="G923" s="4"/>
      <c r="M923" s="4"/>
    </row>
    <row r="924" spans="7:13" ht="14.25" customHeight="1" x14ac:dyDescent="0.3">
      <c r="G924" s="4"/>
      <c r="M924" s="4"/>
    </row>
    <row r="925" spans="7:13" ht="14.25" customHeight="1" x14ac:dyDescent="0.3">
      <c r="G925" s="4"/>
      <c r="M925" s="4"/>
    </row>
    <row r="926" spans="7:13" ht="14.25" customHeight="1" x14ac:dyDescent="0.3">
      <c r="G926" s="4"/>
      <c r="M926" s="4"/>
    </row>
    <row r="927" spans="7:13" ht="14.25" customHeight="1" x14ac:dyDescent="0.3">
      <c r="G927" s="4"/>
      <c r="M927" s="4"/>
    </row>
    <row r="928" spans="7:13" ht="14.25" customHeight="1" x14ac:dyDescent="0.3">
      <c r="G928" s="4"/>
      <c r="M928" s="4"/>
    </row>
    <row r="929" spans="7:13" ht="14.25" customHeight="1" x14ac:dyDescent="0.3">
      <c r="G929" s="4"/>
      <c r="M929" s="4"/>
    </row>
    <row r="930" spans="7:13" ht="14.25" customHeight="1" x14ac:dyDescent="0.3">
      <c r="G930" s="4"/>
      <c r="M930" s="4"/>
    </row>
    <row r="931" spans="7:13" ht="14.25" customHeight="1" x14ac:dyDescent="0.3">
      <c r="G931" s="4"/>
      <c r="M931" s="4"/>
    </row>
    <row r="932" spans="7:13" ht="14.25" customHeight="1" x14ac:dyDescent="0.3">
      <c r="G932" s="4"/>
      <c r="M932" s="4"/>
    </row>
    <row r="933" spans="7:13" ht="14.25" customHeight="1" x14ac:dyDescent="0.3">
      <c r="G933" s="4"/>
      <c r="M933" s="4"/>
    </row>
    <row r="934" spans="7:13" ht="14.25" customHeight="1" x14ac:dyDescent="0.3">
      <c r="G934" s="4"/>
      <c r="M934" s="4"/>
    </row>
    <row r="935" spans="7:13" ht="14.25" customHeight="1" x14ac:dyDescent="0.3">
      <c r="G935" s="4"/>
      <c r="M935" s="4"/>
    </row>
    <row r="936" spans="7:13" ht="14.25" customHeight="1" x14ac:dyDescent="0.3">
      <c r="G936" s="4"/>
      <c r="M936" s="4"/>
    </row>
    <row r="937" spans="7:13" ht="14.25" customHeight="1" x14ac:dyDescent="0.3">
      <c r="G937" s="4"/>
      <c r="M937" s="4"/>
    </row>
    <row r="938" spans="7:13" ht="14.25" customHeight="1" x14ac:dyDescent="0.3">
      <c r="G938" s="4"/>
      <c r="M938" s="4"/>
    </row>
    <row r="939" spans="7:13" ht="14.25" customHeight="1" x14ac:dyDescent="0.3">
      <c r="G939" s="4"/>
      <c r="M939" s="4"/>
    </row>
    <row r="940" spans="7:13" ht="14.25" customHeight="1" x14ac:dyDescent="0.3">
      <c r="G940" s="4"/>
      <c r="M940" s="4"/>
    </row>
    <row r="941" spans="7:13" ht="14.25" customHeight="1" x14ac:dyDescent="0.3">
      <c r="G941" s="4"/>
      <c r="M941" s="4"/>
    </row>
    <row r="942" spans="7:13" ht="14.25" customHeight="1" x14ac:dyDescent="0.3">
      <c r="G942" s="4"/>
      <c r="M942" s="4"/>
    </row>
    <row r="943" spans="7:13" ht="14.25" customHeight="1" x14ac:dyDescent="0.3">
      <c r="G943" s="4"/>
      <c r="M943" s="4"/>
    </row>
    <row r="944" spans="7:13" ht="14.25" customHeight="1" x14ac:dyDescent="0.3">
      <c r="G944" s="4"/>
      <c r="M944" s="4"/>
    </row>
    <row r="945" spans="7:13" ht="14.25" customHeight="1" x14ac:dyDescent="0.3">
      <c r="G945" s="4"/>
      <c r="M945" s="4"/>
    </row>
    <row r="946" spans="7:13" ht="14.25" customHeight="1" x14ac:dyDescent="0.3">
      <c r="G946" s="4"/>
      <c r="M946" s="4"/>
    </row>
    <row r="947" spans="7:13" ht="14.25" customHeight="1" x14ac:dyDescent="0.3">
      <c r="G947" s="4"/>
      <c r="M947" s="4"/>
    </row>
    <row r="948" spans="7:13" ht="14.25" customHeight="1" x14ac:dyDescent="0.3">
      <c r="G948" s="4"/>
      <c r="M948" s="4"/>
    </row>
    <row r="949" spans="7:13" ht="14.25" customHeight="1" x14ac:dyDescent="0.3">
      <c r="G949" s="4"/>
      <c r="M949" s="4"/>
    </row>
    <row r="950" spans="7:13" ht="14.25" customHeight="1" x14ac:dyDescent="0.3">
      <c r="G950" s="4"/>
      <c r="M950" s="4"/>
    </row>
    <row r="951" spans="7:13" ht="14.25" customHeight="1" x14ac:dyDescent="0.3">
      <c r="G951" s="4"/>
      <c r="M951" s="4"/>
    </row>
    <row r="952" spans="7:13" ht="14.25" customHeight="1" x14ac:dyDescent="0.3">
      <c r="G952" s="4"/>
      <c r="M952" s="4"/>
    </row>
    <row r="953" spans="7:13" ht="14.25" customHeight="1" x14ac:dyDescent="0.3">
      <c r="G953" s="4"/>
      <c r="M953" s="4"/>
    </row>
    <row r="954" spans="7:13" ht="14.25" customHeight="1" x14ac:dyDescent="0.3">
      <c r="G954" s="4"/>
      <c r="M954" s="4"/>
    </row>
    <row r="955" spans="7:13" ht="14.25" customHeight="1" x14ac:dyDescent="0.3">
      <c r="G955" s="4"/>
      <c r="M955" s="4"/>
    </row>
    <row r="956" spans="7:13" ht="14.25" customHeight="1" x14ac:dyDescent="0.3">
      <c r="G956" s="4"/>
      <c r="M956" s="4"/>
    </row>
    <row r="957" spans="7:13" ht="14.25" customHeight="1" x14ac:dyDescent="0.3">
      <c r="G957" s="4"/>
      <c r="M957" s="4"/>
    </row>
    <row r="958" spans="7:13" ht="14.25" customHeight="1" x14ac:dyDescent="0.3">
      <c r="G958" s="4"/>
      <c r="M958" s="4"/>
    </row>
    <row r="959" spans="7:13" ht="14.25" customHeight="1" x14ac:dyDescent="0.3">
      <c r="G959" s="4"/>
      <c r="M959" s="4"/>
    </row>
    <row r="960" spans="7:13" ht="14.25" customHeight="1" x14ac:dyDescent="0.3">
      <c r="G960" s="4"/>
      <c r="M960" s="4"/>
    </row>
    <row r="961" spans="7:13" ht="14.25" customHeight="1" x14ac:dyDescent="0.3">
      <c r="G961" s="4"/>
      <c r="M961" s="4"/>
    </row>
    <row r="962" spans="7:13" ht="14.25" customHeight="1" x14ac:dyDescent="0.3">
      <c r="G962" s="4"/>
      <c r="M962" s="4"/>
    </row>
    <row r="963" spans="7:13" ht="14.25" customHeight="1" x14ac:dyDescent="0.3">
      <c r="G963" s="4"/>
      <c r="M963" s="4"/>
    </row>
    <row r="964" spans="7:13" ht="14.25" customHeight="1" x14ac:dyDescent="0.3">
      <c r="G964" s="4"/>
      <c r="M964" s="4"/>
    </row>
    <row r="965" spans="7:13" ht="14.25" customHeight="1" x14ac:dyDescent="0.3">
      <c r="G965" s="4"/>
      <c r="M965" s="4"/>
    </row>
    <row r="966" spans="7:13" ht="14.25" customHeight="1" x14ac:dyDescent="0.3">
      <c r="G966" s="4"/>
      <c r="M966" s="4"/>
    </row>
    <row r="967" spans="7:13" ht="14.25" customHeight="1" x14ac:dyDescent="0.3">
      <c r="G967" s="4"/>
      <c r="M967" s="4"/>
    </row>
    <row r="968" spans="7:13" ht="14.25" customHeight="1" x14ac:dyDescent="0.3">
      <c r="G968" s="4"/>
      <c r="M968" s="4"/>
    </row>
    <row r="969" spans="7:13" ht="14.25" customHeight="1" x14ac:dyDescent="0.3">
      <c r="G969" s="4"/>
      <c r="M969" s="4"/>
    </row>
    <row r="970" spans="7:13" ht="14.25" customHeight="1" x14ac:dyDescent="0.3">
      <c r="G970" s="4"/>
      <c r="M970" s="4"/>
    </row>
    <row r="971" spans="7:13" ht="14.25" customHeight="1" x14ac:dyDescent="0.3">
      <c r="G971" s="4"/>
      <c r="M971" s="4"/>
    </row>
    <row r="972" spans="7:13" ht="14.25" customHeight="1" x14ac:dyDescent="0.3">
      <c r="G972" s="4"/>
      <c r="M972" s="4"/>
    </row>
    <row r="973" spans="7:13" ht="14.25" customHeight="1" x14ac:dyDescent="0.3">
      <c r="G973" s="4"/>
      <c r="M973" s="4"/>
    </row>
    <row r="974" spans="7:13" ht="14.25" customHeight="1" x14ac:dyDescent="0.3">
      <c r="G974" s="4"/>
      <c r="M974" s="4"/>
    </row>
    <row r="975" spans="7:13" ht="14.25" customHeight="1" x14ac:dyDescent="0.3">
      <c r="G975" s="4"/>
      <c r="M975" s="4"/>
    </row>
    <row r="976" spans="7:13" ht="14.25" customHeight="1" x14ac:dyDescent="0.3">
      <c r="G976" s="4"/>
      <c r="M976" s="4"/>
    </row>
    <row r="977" spans="7:13" ht="14.25" customHeight="1" x14ac:dyDescent="0.3">
      <c r="G977" s="4"/>
      <c r="M977" s="4"/>
    </row>
    <row r="978" spans="7:13" ht="14.25" customHeight="1" x14ac:dyDescent="0.3">
      <c r="G978" s="4"/>
      <c r="M978" s="4"/>
    </row>
    <row r="979" spans="7:13" ht="14.25" customHeight="1" x14ac:dyDescent="0.3">
      <c r="G979" s="4"/>
      <c r="M979" s="4"/>
    </row>
    <row r="980" spans="7:13" ht="14.25" customHeight="1" x14ac:dyDescent="0.3">
      <c r="G980" s="4"/>
      <c r="M980" s="4"/>
    </row>
    <row r="981" spans="7:13" ht="14.25" customHeight="1" x14ac:dyDescent="0.3">
      <c r="G981" s="4"/>
      <c r="M981" s="4"/>
    </row>
    <row r="982" spans="7:13" ht="14.25" customHeight="1" x14ac:dyDescent="0.3">
      <c r="G982" s="4"/>
      <c r="M982" s="4"/>
    </row>
    <row r="983" spans="7:13" ht="14.25" customHeight="1" x14ac:dyDescent="0.3">
      <c r="G983" s="4"/>
      <c r="M983" s="4"/>
    </row>
    <row r="984" spans="7:13" ht="14.25" customHeight="1" x14ac:dyDescent="0.3">
      <c r="G984" s="4"/>
      <c r="M984" s="4"/>
    </row>
    <row r="985" spans="7:13" ht="14.25" customHeight="1" x14ac:dyDescent="0.3">
      <c r="G985" s="4"/>
      <c r="M985" s="4"/>
    </row>
    <row r="986" spans="7:13" ht="14.25" customHeight="1" x14ac:dyDescent="0.3">
      <c r="G986" s="4"/>
      <c r="M986" s="4"/>
    </row>
    <row r="987" spans="7:13" ht="14.25" customHeight="1" x14ac:dyDescent="0.3">
      <c r="G987" s="4"/>
      <c r="M987" s="4"/>
    </row>
    <row r="988" spans="7:13" ht="14.25" customHeight="1" x14ac:dyDescent="0.3">
      <c r="G988" s="4"/>
      <c r="M988" s="4"/>
    </row>
    <row r="989" spans="7:13" ht="14.25" customHeight="1" x14ac:dyDescent="0.3">
      <c r="G989" s="4"/>
      <c r="M989" s="4"/>
    </row>
    <row r="990" spans="7:13" ht="14.25" customHeight="1" x14ac:dyDescent="0.3">
      <c r="G990" s="4"/>
      <c r="M990" s="4"/>
    </row>
    <row r="991" spans="7:13" ht="14.25" customHeight="1" x14ac:dyDescent="0.3">
      <c r="G991" s="4"/>
      <c r="M991" s="4"/>
    </row>
    <row r="992" spans="7:13" ht="14.25" customHeight="1" x14ac:dyDescent="0.3">
      <c r="G992" s="4"/>
      <c r="M992" s="4"/>
    </row>
    <row r="993" spans="7:13" ht="14.25" customHeight="1" x14ac:dyDescent="0.3">
      <c r="G993" s="4"/>
      <c r="M993" s="4"/>
    </row>
    <row r="994" spans="7:13" ht="14.25" customHeight="1" x14ac:dyDescent="0.3">
      <c r="G994" s="4"/>
      <c r="M994" s="4"/>
    </row>
    <row r="995" spans="7:13" ht="14.25" customHeight="1" x14ac:dyDescent="0.3">
      <c r="G995" s="4"/>
      <c r="M995" s="4"/>
    </row>
    <row r="996" spans="7:13" ht="14.25" customHeight="1" x14ac:dyDescent="0.3">
      <c r="G996" s="4"/>
      <c r="M996" s="4"/>
    </row>
    <row r="997" spans="7:13" ht="14.25" customHeight="1" x14ac:dyDescent="0.3">
      <c r="G997" s="4"/>
      <c r="M997" s="4"/>
    </row>
    <row r="998" spans="7:13" ht="14.25" customHeight="1" x14ac:dyDescent="0.3">
      <c r="G998" s="4"/>
      <c r="M998" s="4"/>
    </row>
    <row r="999" spans="7:13" ht="14.25" customHeight="1" x14ac:dyDescent="0.3">
      <c r="G999" s="4"/>
      <c r="M999" s="4"/>
    </row>
    <row r="1000" spans="7:13" ht="14.25" customHeight="1" x14ac:dyDescent="0.3">
      <c r="G1000" s="4"/>
      <c r="M1000" s="4"/>
    </row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3"/>
  </sheetPr>
  <dimension ref="B1:Y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-5</v>
      </c>
      <c r="C3" s="1">
        <v>12.9896334337843</v>
      </c>
      <c r="D3" s="1">
        <v>7.0167939258265601</v>
      </c>
      <c r="E3" s="1">
        <v>3.8210000000000002</v>
      </c>
      <c r="F3" s="1">
        <v>88.759349335328693</v>
      </c>
      <c r="G3" s="2" t="s">
        <v>6</v>
      </c>
      <c r="I3" s="1">
        <v>-5</v>
      </c>
      <c r="J3" s="1">
        <v>13.2055766190716</v>
      </c>
      <c r="K3" s="1">
        <v>11.2010582150353</v>
      </c>
      <c r="L3" s="1">
        <v>77.167083916866403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-5</v>
      </c>
      <c r="C4" s="1">
        <v>2.5764589202733199</v>
      </c>
      <c r="D4" s="1">
        <v>4.3632730215720903</v>
      </c>
      <c r="E4" s="1">
        <v>13.032999999999999</v>
      </c>
      <c r="F4" s="1">
        <v>93.698025061228407</v>
      </c>
      <c r="G4" s="1" t="s">
        <v>7</v>
      </c>
      <c r="I4" s="1">
        <v>-5</v>
      </c>
      <c r="J4" s="1">
        <v>2.8296231339045499</v>
      </c>
      <c r="K4" s="1">
        <v>21.758863778761601</v>
      </c>
      <c r="L4" s="1">
        <v>61.136991526798603</v>
      </c>
      <c r="M4" s="1" t="s">
        <v>7</v>
      </c>
      <c r="P4" s="1">
        <v>-5</v>
      </c>
      <c r="Q4" s="1">
        <v>-16.712506538057902</v>
      </c>
      <c r="R4" s="1">
        <v>-3.2158883956333701</v>
      </c>
      <c r="S4" s="1">
        <v>-4.0277888218135001</v>
      </c>
      <c r="T4" s="1">
        <v>-1.89104474061709</v>
      </c>
    </row>
    <row r="5" spans="2:25" ht="14.25" customHeight="1" x14ac:dyDescent="0.3">
      <c r="B5" s="1">
        <v>-5</v>
      </c>
      <c r="C5" s="1">
        <v>4.5317941418480103</v>
      </c>
      <c r="D5" s="1">
        <v>4.4126165496274004</v>
      </c>
      <c r="E5" s="1">
        <v>11.590999999999999</v>
      </c>
      <c r="F5" s="1">
        <v>95.166982413384005</v>
      </c>
      <c r="G5" s="1" t="s">
        <v>8</v>
      </c>
      <c r="I5" s="1">
        <v>-5</v>
      </c>
      <c r="J5" s="1">
        <v>4.8896512405347297</v>
      </c>
      <c r="K5" s="1">
        <v>19.451668394952499</v>
      </c>
      <c r="L5" s="1">
        <v>61.166391629373898</v>
      </c>
      <c r="M5" s="1" t="s">
        <v>8</v>
      </c>
      <c r="P5" s="1">
        <v>5</v>
      </c>
      <c r="Q5" s="1">
        <v>13.2135618343967</v>
      </c>
      <c r="R5" s="1">
        <v>1.5421912332061101</v>
      </c>
      <c r="S5" s="1">
        <v>1.9468404547862199</v>
      </c>
      <c r="T5" s="1">
        <v>0.91413369629624597</v>
      </c>
      <c r="V5" s="1">
        <f t="shared" ref="V5:Y5" si="0">Q6-Q5</f>
        <v>8.9667351235082009</v>
      </c>
      <c r="W5" s="1">
        <f t="shared" si="0"/>
        <v>0.86572130081270005</v>
      </c>
      <c r="X5" s="1">
        <f t="shared" si="0"/>
        <v>1.0870696231858401</v>
      </c>
      <c r="Y5" s="1">
        <f t="shared" si="0"/>
        <v>0.51039556183478407</v>
      </c>
    </row>
    <row r="6" spans="2:25" ht="14.25" customHeight="1" x14ac:dyDescent="0.3">
      <c r="B6" s="1">
        <v>-5</v>
      </c>
      <c r="C6" s="1">
        <v>1.29434442299562</v>
      </c>
      <c r="D6" s="1">
        <v>5.0675186406829003</v>
      </c>
      <c r="E6" s="1">
        <v>11.632999999999999</v>
      </c>
      <c r="F6" s="1">
        <v>93.798399995577995</v>
      </c>
      <c r="G6" s="1" t="s">
        <v>9</v>
      </c>
      <c r="I6" s="1">
        <v>-5</v>
      </c>
      <c r="J6" s="1">
        <v>1.4024546641406801</v>
      </c>
      <c r="K6" s="1">
        <v>20.3667878251437</v>
      </c>
      <c r="L6" s="1">
        <v>62.2580444896739</v>
      </c>
      <c r="M6" s="1" t="s">
        <v>9</v>
      </c>
      <c r="P6" s="1">
        <v>10</v>
      </c>
      <c r="Q6" s="1">
        <v>22.180296957904901</v>
      </c>
      <c r="R6" s="1">
        <v>2.4079125340188101</v>
      </c>
      <c r="S6" s="1">
        <v>3.03391007797206</v>
      </c>
      <c r="T6" s="1">
        <v>1.42452925813103</v>
      </c>
      <c r="V6" s="1">
        <f t="shared" ref="V6:Y6" si="1">Q7-Q6</f>
        <v>6.2637027105949983</v>
      </c>
      <c r="W6" s="1">
        <f t="shared" si="1"/>
        <v>0.54586206144984972</v>
      </c>
      <c r="X6" s="1">
        <f t="shared" si="1"/>
        <v>0.68542851480580991</v>
      </c>
      <c r="Y6" s="1">
        <f t="shared" si="1"/>
        <v>0.32181901181877004</v>
      </c>
    </row>
    <row r="7" spans="2:25" ht="14.25" customHeight="1" x14ac:dyDescent="0.3">
      <c r="B7" s="1">
        <v>5</v>
      </c>
      <c r="C7" s="1">
        <v>10.2330750606829</v>
      </c>
      <c r="D7" s="1">
        <v>4.54289566497929</v>
      </c>
      <c r="E7" s="1">
        <v>6.1749999999999998</v>
      </c>
      <c r="F7" s="1">
        <v>87.612124941012894</v>
      </c>
      <c r="G7" s="2" t="s">
        <v>6</v>
      </c>
      <c r="I7" s="1">
        <v>5</v>
      </c>
      <c r="J7" s="1">
        <v>10.448150661097101</v>
      </c>
      <c r="K7" s="1">
        <v>10.966999240923601</v>
      </c>
      <c r="L7" s="1">
        <v>71.807005259405301</v>
      </c>
      <c r="M7" s="2" t="s">
        <v>6</v>
      </c>
      <c r="P7" s="1">
        <v>15</v>
      </c>
      <c r="Q7" s="1">
        <v>28.443999668499899</v>
      </c>
      <c r="R7" s="1">
        <v>2.9537745954686598</v>
      </c>
      <c r="S7" s="1">
        <v>3.7193385927778699</v>
      </c>
      <c r="T7" s="1">
        <v>1.7463482699498001</v>
      </c>
      <c r="V7" s="1">
        <f t="shared" ref="V7:Y7" si="2">Q8-Q7</f>
        <v>4.5719991457310982</v>
      </c>
      <c r="W7" s="1">
        <f t="shared" si="2"/>
        <v>0.37376807322984007</v>
      </c>
      <c r="X7" s="1">
        <f t="shared" si="2"/>
        <v>0.46933339649078043</v>
      </c>
      <c r="Y7" s="1">
        <f t="shared" si="2"/>
        <v>0.22035909888433003</v>
      </c>
    </row>
    <row r="8" spans="2:25" ht="14.25" customHeight="1" x14ac:dyDescent="0.3">
      <c r="B8" s="1">
        <v>5</v>
      </c>
      <c r="C8" s="1">
        <v>1.24204897152981</v>
      </c>
      <c r="D8" s="1">
        <v>3.5253297221059299</v>
      </c>
      <c r="E8" s="1">
        <v>16.308</v>
      </c>
      <c r="F8" s="1">
        <v>92.605546709130195</v>
      </c>
      <c r="G8" s="1" t="s">
        <v>7</v>
      </c>
      <c r="I8" s="1">
        <v>5</v>
      </c>
      <c r="J8" s="1">
        <v>1.3956380834687001</v>
      </c>
      <c r="K8" s="1">
        <v>25.891661404792799</v>
      </c>
      <c r="L8" s="1">
        <v>57.4096994834375</v>
      </c>
      <c r="M8" s="1" t="s">
        <v>7</v>
      </c>
      <c r="P8" s="1">
        <v>20</v>
      </c>
      <c r="Q8" s="1">
        <v>33.015998814230997</v>
      </c>
      <c r="R8" s="1">
        <v>3.3275426686984999</v>
      </c>
      <c r="S8" s="1">
        <v>4.1886719892686504</v>
      </c>
      <c r="T8" s="1">
        <v>1.9667073688341301</v>
      </c>
      <c r="V8" s="1">
        <f t="shared" ref="V8:Y8" si="3">Q9-Q8</f>
        <v>3.4678058192391035</v>
      </c>
      <c r="W8" s="1">
        <f t="shared" si="3"/>
        <v>0.2713561868452401</v>
      </c>
      <c r="X8" s="1">
        <f t="shared" si="3"/>
        <v>0.34073675616637988</v>
      </c>
      <c r="Y8" s="1">
        <f t="shared" si="3"/>
        <v>0.15998103929315</v>
      </c>
    </row>
    <row r="9" spans="2:25" ht="14.25" customHeight="1" x14ac:dyDescent="0.3">
      <c r="B9" s="1">
        <v>5</v>
      </c>
      <c r="C9" s="1">
        <v>2.1858136446493299</v>
      </c>
      <c r="D9" s="1">
        <v>3.6139369982974698</v>
      </c>
      <c r="E9" s="1">
        <v>14.66</v>
      </c>
      <c r="F9" s="1">
        <v>93.9353141945206</v>
      </c>
      <c r="G9" s="1" t="s">
        <v>8</v>
      </c>
      <c r="I9" s="1">
        <v>5</v>
      </c>
      <c r="J9" s="1">
        <v>2.4014808148911002</v>
      </c>
      <c r="K9" s="1">
        <v>23.023243950403501</v>
      </c>
      <c r="L9" s="1">
        <v>57.085861358895102</v>
      </c>
      <c r="M9" s="1" t="s">
        <v>8</v>
      </c>
      <c r="P9" s="1">
        <v>25</v>
      </c>
      <c r="Q9" s="1">
        <v>36.4838046334701</v>
      </c>
      <c r="R9" s="1">
        <v>3.59889885554374</v>
      </c>
      <c r="S9" s="1">
        <v>4.5294087454350302</v>
      </c>
      <c r="T9" s="1">
        <v>2.1266884081272801</v>
      </c>
      <c r="V9" s="1">
        <f t="shared" ref="V9:Y9" si="4">Q10-Q9</f>
        <v>2.7141901177561962</v>
      </c>
      <c r="W9" s="1">
        <f t="shared" si="4"/>
        <v>0.20571751003992977</v>
      </c>
      <c r="X9" s="1">
        <f t="shared" si="4"/>
        <v>0.25831552938791003</v>
      </c>
      <c r="Y9" s="1">
        <f t="shared" si="4"/>
        <v>0.12128303186894973</v>
      </c>
    </row>
    <row r="10" spans="2:25" ht="14.25" customHeight="1" x14ac:dyDescent="0.3">
      <c r="B10" s="1">
        <v>5</v>
      </c>
      <c r="C10" s="1">
        <v>0.62288096700859596</v>
      </c>
      <c r="D10" s="1">
        <v>3.8427210620113699</v>
      </c>
      <c r="E10" s="1">
        <v>15.221</v>
      </c>
      <c r="F10" s="1">
        <v>91.742522930784602</v>
      </c>
      <c r="G10" s="1" t="s">
        <v>9</v>
      </c>
      <c r="I10" s="1">
        <v>5</v>
      </c>
      <c r="J10" s="1">
        <v>0.68923274292421099</v>
      </c>
      <c r="K10" s="1">
        <v>24.043189478965299</v>
      </c>
      <c r="L10" s="1">
        <v>58.699292184931501</v>
      </c>
      <c r="M10" s="1" t="s">
        <v>9</v>
      </c>
      <c r="P10" s="1">
        <v>30</v>
      </c>
      <c r="Q10" s="1">
        <v>39.197994751226297</v>
      </c>
      <c r="R10" s="1">
        <v>3.8046163655836698</v>
      </c>
      <c r="S10" s="1">
        <v>4.7877242748229403</v>
      </c>
      <c r="T10" s="1">
        <v>2.2479714399962298</v>
      </c>
    </row>
    <row r="11" spans="2:25" ht="14.25" customHeight="1" x14ac:dyDescent="0.3">
      <c r="B11" s="1">
        <v>10</v>
      </c>
      <c r="C11" s="1">
        <v>8.5829725198589806</v>
      </c>
      <c r="D11" s="1">
        <v>4.9342801218679702</v>
      </c>
      <c r="E11" s="1">
        <v>7.1239999999999997</v>
      </c>
      <c r="F11" s="1">
        <v>88.726759291099796</v>
      </c>
      <c r="G11" s="2" t="s">
        <v>6</v>
      </c>
      <c r="I11" s="1">
        <v>10</v>
      </c>
      <c r="J11" s="1">
        <v>8.7956426905681298</v>
      </c>
      <c r="K11" s="1">
        <v>12.522941511919001</v>
      </c>
      <c r="L11" s="1">
        <v>70.955098049734303</v>
      </c>
      <c r="M11" s="2" t="s">
        <v>6</v>
      </c>
    </row>
    <row r="12" spans="2:25" ht="14.25" customHeight="1" x14ac:dyDescent="0.3">
      <c r="B12" s="1">
        <v>10</v>
      </c>
      <c r="C12" s="1">
        <v>0.96862993013604604</v>
      </c>
      <c r="D12" s="1">
        <v>3.7640645506428299</v>
      </c>
      <c r="E12" s="1">
        <v>20.29</v>
      </c>
      <c r="F12" s="1">
        <v>92.648433288005805</v>
      </c>
      <c r="G12" s="1" t="s">
        <v>7</v>
      </c>
      <c r="I12" s="1">
        <v>10</v>
      </c>
      <c r="J12" s="1">
        <v>1.1571618855403101</v>
      </c>
      <c r="K12" s="1">
        <v>35.197589505004501</v>
      </c>
      <c r="L12" s="1">
        <v>56.043478150685402</v>
      </c>
      <c r="M12" s="1" t="s">
        <v>7</v>
      </c>
      <c r="V12" s="1">
        <v>385</v>
      </c>
      <c r="W12" s="1">
        <v>400</v>
      </c>
      <c r="X12" s="1">
        <v>560</v>
      </c>
      <c r="Y12" s="1">
        <v>340</v>
      </c>
    </row>
    <row r="13" spans="2:25" ht="14.25" customHeight="1" x14ac:dyDescent="0.3">
      <c r="B13" s="1">
        <v>10</v>
      </c>
      <c r="C13" s="1">
        <v>1.7040524448358501</v>
      </c>
      <c r="D13" s="1">
        <v>3.83221130527392</v>
      </c>
      <c r="E13" s="1">
        <v>18.504999999999999</v>
      </c>
      <c r="F13" s="1">
        <v>94.138201497535306</v>
      </c>
      <c r="G13" s="1" t="s">
        <v>8</v>
      </c>
      <c r="I13" s="1">
        <v>10</v>
      </c>
      <c r="J13" s="1">
        <v>1.96783291270501</v>
      </c>
      <c r="K13" s="1">
        <v>31.005784921373401</v>
      </c>
      <c r="L13" s="1">
        <v>55.756896332374502</v>
      </c>
      <c r="M13" s="1" t="s">
        <v>8</v>
      </c>
    </row>
    <row r="14" spans="2:25" ht="14.25" customHeight="1" x14ac:dyDescent="0.3">
      <c r="B14" s="1">
        <v>10</v>
      </c>
      <c r="C14" s="1">
        <v>0.48576633997704899</v>
      </c>
      <c r="D14" s="1">
        <v>4.1226908003937801</v>
      </c>
      <c r="E14" s="1">
        <v>19.087</v>
      </c>
      <c r="F14" s="1">
        <v>91.259816123357297</v>
      </c>
      <c r="G14" s="1" t="s">
        <v>9</v>
      </c>
      <c r="I14" s="1">
        <v>10</v>
      </c>
      <c r="J14" s="1">
        <v>0.56624834566307602</v>
      </c>
      <c r="K14" s="1">
        <v>32.309111683248702</v>
      </c>
      <c r="L14" s="1">
        <v>57.406563717149602</v>
      </c>
      <c r="M14" s="1" t="s">
        <v>9</v>
      </c>
      <c r="V14" s="1">
        <f t="shared" ref="V14:Y14" si="5">AVERAGE(V5:V9)</f>
        <v>5.1968865833659192</v>
      </c>
      <c r="W14" s="1">
        <f t="shared" si="5"/>
        <v>0.45248502647551192</v>
      </c>
      <c r="X14" s="1">
        <f t="shared" si="5"/>
        <v>0.56817676400734407</v>
      </c>
      <c r="Y14" s="1">
        <f t="shared" si="5"/>
        <v>0.26676754873999681</v>
      </c>
    </row>
    <row r="15" spans="2:25" ht="14.25" customHeight="1" x14ac:dyDescent="0.3">
      <c r="B15" s="1">
        <v>15</v>
      </c>
      <c r="C15" s="1">
        <v>7.3352397975647596</v>
      </c>
      <c r="D15" s="1">
        <v>4.9945556526037</v>
      </c>
      <c r="E15" s="1">
        <v>7.1180000000000003</v>
      </c>
      <c r="F15" s="1">
        <v>88.462911811242805</v>
      </c>
      <c r="G15" s="2" t="s">
        <v>6</v>
      </c>
      <c r="I15" s="1">
        <v>15</v>
      </c>
      <c r="J15" s="1">
        <v>7.5066054086909899</v>
      </c>
      <c r="K15" s="1">
        <v>12.5155758451866</v>
      </c>
      <c r="L15" s="1">
        <v>71.350594811718395</v>
      </c>
      <c r="M15" s="2" t="s">
        <v>6</v>
      </c>
      <c r="V15" s="1">
        <f t="shared" ref="V15:Y15" si="6">AVERAGE(V5:V9)*V12%</f>
        <v>20.008013345958791</v>
      </c>
      <c r="W15" s="1">
        <f t="shared" si="6"/>
        <v>1.8099401059020477</v>
      </c>
      <c r="X15" s="1">
        <f t="shared" si="6"/>
        <v>3.1817898784411267</v>
      </c>
      <c r="Y15" s="1">
        <f t="shared" si="6"/>
        <v>0.90700966571598907</v>
      </c>
    </row>
    <row r="16" spans="2:25" ht="14.25" customHeight="1" x14ac:dyDescent="0.3">
      <c r="B16" s="1">
        <v>15</v>
      </c>
      <c r="C16" s="1">
        <v>0.79108505079638902</v>
      </c>
      <c r="D16" s="1">
        <v>3.6566432476323598</v>
      </c>
      <c r="E16" s="1">
        <v>22.271000000000001</v>
      </c>
      <c r="F16" s="1">
        <v>93.524780973778306</v>
      </c>
      <c r="G16" s="1" t="s">
        <v>7</v>
      </c>
      <c r="I16" s="1">
        <v>15</v>
      </c>
      <c r="J16" s="1">
        <v>0.97406826696779503</v>
      </c>
      <c r="K16" s="1">
        <v>40.014890988225098</v>
      </c>
      <c r="L16" s="1">
        <v>55.483841279903899</v>
      </c>
      <c r="M16" s="1" t="s">
        <v>7</v>
      </c>
      <c r="V16" s="1">
        <f t="shared" ref="V16:Y16" si="7">_xlfn.STDEV.P(V5:V9)</f>
        <v>2.2313153521574276</v>
      </c>
      <c r="W16" s="1">
        <f t="shared" si="7"/>
        <v>0.23638177236434876</v>
      </c>
      <c r="X16" s="1">
        <f t="shared" si="7"/>
        <v>0.29682005510421056</v>
      </c>
      <c r="Y16" s="1">
        <f t="shared" si="7"/>
        <v>0.13936148665874423</v>
      </c>
    </row>
    <row r="17" spans="2:13" ht="14.25" customHeight="1" x14ac:dyDescent="0.3">
      <c r="B17" s="1">
        <v>15</v>
      </c>
      <c r="C17" s="1">
        <v>1.3921463347837599</v>
      </c>
      <c r="D17" s="1">
        <v>3.6501500660149402</v>
      </c>
      <c r="E17" s="1">
        <v>20.536000000000001</v>
      </c>
      <c r="F17" s="1">
        <v>93.980384618567498</v>
      </c>
      <c r="G17" s="1" t="s">
        <v>8</v>
      </c>
      <c r="I17" s="1">
        <v>15</v>
      </c>
      <c r="J17" s="1">
        <v>1.64749169443447</v>
      </c>
      <c r="K17" s="1">
        <v>35.089190220579702</v>
      </c>
      <c r="L17" s="1">
        <v>54.9122524017993</v>
      </c>
      <c r="M17" s="1" t="s">
        <v>8</v>
      </c>
    </row>
    <row r="18" spans="2:13" ht="14.25" customHeight="1" x14ac:dyDescent="0.3">
      <c r="B18" s="1">
        <v>15</v>
      </c>
      <c r="C18" s="1">
        <v>0.39674688445240602</v>
      </c>
      <c r="D18" s="1">
        <v>3.9789887260194901</v>
      </c>
      <c r="E18" s="1">
        <v>21.11</v>
      </c>
      <c r="F18" s="1">
        <v>91.428394311587297</v>
      </c>
      <c r="G18" s="1" t="s">
        <v>9</v>
      </c>
      <c r="I18" s="1">
        <v>15</v>
      </c>
      <c r="J18" s="1">
        <v>0.474583488504767</v>
      </c>
      <c r="K18" s="1">
        <v>36.5523564594573</v>
      </c>
      <c r="L18" s="1">
        <v>56.813161307730098</v>
      </c>
      <c r="M18" s="1" t="s">
        <v>9</v>
      </c>
    </row>
    <row r="19" spans="2:13" ht="14.25" customHeight="1" x14ac:dyDescent="0.3">
      <c r="B19" s="1">
        <v>20</v>
      </c>
      <c r="C19" s="1">
        <v>6.3824115411098497</v>
      </c>
      <c r="D19" s="1">
        <v>4.90009259663693</v>
      </c>
      <c r="E19" s="1">
        <v>7.0730000000000004</v>
      </c>
      <c r="F19" s="1">
        <v>88.128382571701394</v>
      </c>
      <c r="G19" s="2" t="s">
        <v>6</v>
      </c>
      <c r="I19" s="1">
        <v>20</v>
      </c>
      <c r="J19" s="1">
        <v>6.5289747128603199</v>
      </c>
      <c r="K19" s="1">
        <v>12.3334424676042</v>
      </c>
      <c r="L19" s="1">
        <v>71.802855180804301</v>
      </c>
      <c r="M19" s="2" t="s">
        <v>6</v>
      </c>
    </row>
    <row r="20" spans="2:13" ht="14.25" customHeight="1" x14ac:dyDescent="0.3">
      <c r="B20" s="1">
        <v>20</v>
      </c>
      <c r="C20" s="1">
        <v>0.67123570793548304</v>
      </c>
      <c r="D20" s="1">
        <v>4.8716014628749598</v>
      </c>
      <c r="E20" s="1">
        <v>22.812000000000001</v>
      </c>
      <c r="F20" s="1">
        <v>93.202578572939601</v>
      </c>
      <c r="G20" s="1" t="s">
        <v>7</v>
      </c>
      <c r="I20" s="1">
        <v>20</v>
      </c>
      <c r="J20" s="1">
        <v>0.86848249377601805</v>
      </c>
      <c r="K20" s="1">
        <v>46.679860184086202</v>
      </c>
      <c r="L20" s="1">
        <v>55.180870056847397</v>
      </c>
      <c r="M20" s="1" t="s">
        <v>7</v>
      </c>
    </row>
    <row r="21" spans="2:13" ht="14.25" customHeight="1" x14ac:dyDescent="0.3">
      <c r="B21" s="1">
        <v>20</v>
      </c>
      <c r="C21" s="1">
        <v>1.1773187738185</v>
      </c>
      <c r="D21" s="1">
        <v>4.06066335931295</v>
      </c>
      <c r="E21" s="1">
        <v>21.736000000000001</v>
      </c>
      <c r="F21" s="1">
        <v>94.897011344003801</v>
      </c>
      <c r="G21" s="1" t="s">
        <v>8</v>
      </c>
      <c r="I21" s="1">
        <v>20</v>
      </c>
      <c r="J21" s="1">
        <v>1.45002742453889</v>
      </c>
      <c r="K21" s="1">
        <v>40.2451587522484</v>
      </c>
      <c r="L21" s="1">
        <v>54.602360928293301</v>
      </c>
      <c r="M21" s="1" t="s">
        <v>8</v>
      </c>
    </row>
    <row r="22" spans="2:13" ht="14.25" customHeight="1" x14ac:dyDescent="0.3">
      <c r="B22" s="1">
        <v>20</v>
      </c>
      <c r="C22" s="1">
        <v>0.33581594925262098</v>
      </c>
      <c r="D22" s="1">
        <v>4.5957941668962503</v>
      </c>
      <c r="E22" s="1">
        <v>22.161000000000001</v>
      </c>
      <c r="F22" s="1">
        <v>92.135363735189301</v>
      </c>
      <c r="G22" s="1" t="s">
        <v>9</v>
      </c>
      <c r="I22" s="1">
        <v>20</v>
      </c>
      <c r="J22" s="1">
        <v>0.41907282769174198</v>
      </c>
      <c r="K22" s="1">
        <v>42.088661866471703</v>
      </c>
      <c r="L22" s="1">
        <v>56.533980872165998</v>
      </c>
      <c r="M22" s="1" t="s">
        <v>9</v>
      </c>
    </row>
    <row r="23" spans="2:13" ht="14.25" customHeight="1" x14ac:dyDescent="0.3">
      <c r="B23" s="1">
        <v>25</v>
      </c>
      <c r="C23" s="1">
        <v>5.6472987536696602</v>
      </c>
      <c r="D23" s="1">
        <v>5.3192953524633104</v>
      </c>
      <c r="E23" s="1">
        <v>8.3230000000000004</v>
      </c>
      <c r="F23" s="1">
        <v>89.501354956746894</v>
      </c>
      <c r="G23" s="2" t="s">
        <v>6</v>
      </c>
      <c r="I23" s="1">
        <v>25</v>
      </c>
      <c r="J23" s="1">
        <v>5.8069633461749097</v>
      </c>
      <c r="K23" s="1">
        <v>14.3633154828653</v>
      </c>
      <c r="L23" s="1">
        <v>68.991935288001798</v>
      </c>
      <c r="M23" s="2" t="s">
        <v>6</v>
      </c>
    </row>
    <row r="24" spans="2:13" ht="14.25" customHeight="1" x14ac:dyDescent="0.3">
      <c r="B24" s="1">
        <v>25</v>
      </c>
      <c r="C24" s="1">
        <v>0.57974143258574895</v>
      </c>
      <c r="D24" s="1">
        <v>4.5265608136357196</v>
      </c>
      <c r="E24" s="1">
        <v>25.577000000000002</v>
      </c>
      <c r="F24" s="1">
        <v>94.306255264397606</v>
      </c>
      <c r="G24" s="1" t="s">
        <v>7</v>
      </c>
      <c r="I24" s="1">
        <v>25</v>
      </c>
      <c r="J24" s="1">
        <v>0.78943824675407803</v>
      </c>
      <c r="K24" s="1">
        <v>55.024096909923202</v>
      </c>
      <c r="L24" s="1">
        <v>54.3459760360168</v>
      </c>
      <c r="M24" s="1" t="s">
        <v>7</v>
      </c>
    </row>
    <row r="25" spans="2:13" ht="14.25" customHeight="1" x14ac:dyDescent="0.3">
      <c r="B25" s="1">
        <v>25</v>
      </c>
      <c r="C25" s="1">
        <v>1.01713356163069</v>
      </c>
      <c r="D25" s="1">
        <v>3.6789997272980099</v>
      </c>
      <c r="E25" s="1">
        <v>24.521999999999998</v>
      </c>
      <c r="F25" s="1">
        <v>96.010439750473196</v>
      </c>
      <c r="G25" s="1" t="s">
        <v>8</v>
      </c>
      <c r="I25" s="1">
        <v>25</v>
      </c>
      <c r="J25" s="1">
        <v>1.3094443998335601</v>
      </c>
      <c r="K25" s="1">
        <v>47.426812333226898</v>
      </c>
      <c r="L25" s="1">
        <v>53.481499437619497</v>
      </c>
      <c r="M25" s="1" t="s">
        <v>8</v>
      </c>
    </row>
    <row r="26" spans="2:13" ht="14.25" customHeight="1" x14ac:dyDescent="0.3">
      <c r="B26" s="1">
        <v>25</v>
      </c>
      <c r="C26" s="1">
        <v>0.290564278678698</v>
      </c>
      <c r="D26" s="1">
        <v>4.7567579305569501</v>
      </c>
      <c r="E26" s="1">
        <v>24.381</v>
      </c>
      <c r="F26" s="1">
        <v>93.570967360741406</v>
      </c>
      <c r="G26" s="1" t="s">
        <v>9</v>
      </c>
      <c r="I26" s="1">
        <v>25</v>
      </c>
      <c r="J26" s="1">
        <v>0.379062470566424</v>
      </c>
      <c r="K26" s="1">
        <v>49.577214781022697</v>
      </c>
      <c r="L26" s="1">
        <v>55.423402571533103</v>
      </c>
      <c r="M26" s="1" t="s">
        <v>9</v>
      </c>
    </row>
    <row r="27" spans="2:13" ht="14.25" customHeight="1" x14ac:dyDescent="0.3">
      <c r="B27" s="1">
        <v>30</v>
      </c>
      <c r="C27" s="1">
        <v>5.0541462783062103</v>
      </c>
      <c r="D27" s="1">
        <v>5.2564543198820299</v>
      </c>
      <c r="E27" s="1">
        <v>8.2669999999999995</v>
      </c>
      <c r="F27" s="1">
        <v>89.245671582500506</v>
      </c>
      <c r="G27" s="2" t="s">
        <v>6</v>
      </c>
      <c r="I27" s="1">
        <v>30</v>
      </c>
      <c r="J27" s="1">
        <v>5.1891972614670898</v>
      </c>
      <c r="K27" s="1">
        <v>14.1560761300375</v>
      </c>
      <c r="L27" s="1">
        <v>69.368658588230105</v>
      </c>
      <c r="M27" s="2" t="s">
        <v>6</v>
      </c>
    </row>
    <row r="28" spans="2:13" ht="14.25" customHeight="1" x14ac:dyDescent="0.3">
      <c r="B28" s="1">
        <v>30</v>
      </c>
      <c r="C28" s="1">
        <v>0.51058585208134999</v>
      </c>
      <c r="D28" s="1">
        <v>4.5520778970508804</v>
      </c>
      <c r="E28" s="1">
        <v>26.544</v>
      </c>
      <c r="F28" s="1">
        <v>94.3220677807237</v>
      </c>
      <c r="G28" s="1" t="s">
        <v>7</v>
      </c>
      <c r="I28" s="1">
        <v>30</v>
      </c>
      <c r="J28" s="1">
        <v>0.70661832160642402</v>
      </c>
      <c r="K28" s="1">
        <v>58.254370109409301</v>
      </c>
      <c r="L28" s="1">
        <v>54.209779969438898</v>
      </c>
      <c r="M28" s="1" t="s">
        <v>7</v>
      </c>
    </row>
    <row r="29" spans="2:13" ht="14.25" customHeight="1" x14ac:dyDescent="0.3">
      <c r="B29" s="1">
        <v>30</v>
      </c>
      <c r="C29" s="1">
        <v>0.89732884589470496</v>
      </c>
      <c r="D29" s="1">
        <v>4.2003379595540897</v>
      </c>
      <c r="E29" s="1">
        <v>24.927</v>
      </c>
      <c r="F29" s="1">
        <v>95.274296949696307</v>
      </c>
      <c r="G29" s="1" t="s">
        <v>8</v>
      </c>
      <c r="I29" s="1">
        <v>30</v>
      </c>
      <c r="J29" s="1">
        <v>1.1679335048099699</v>
      </c>
      <c r="K29" s="1">
        <v>50.0156534356029</v>
      </c>
      <c r="L29" s="1">
        <v>53.299422073845697</v>
      </c>
      <c r="M29" s="1" t="s">
        <v>8</v>
      </c>
    </row>
    <row r="30" spans="2:13" ht="14.25" customHeight="1" x14ac:dyDescent="0.3">
      <c r="B30" s="1">
        <v>30</v>
      </c>
      <c r="C30" s="1">
        <v>0.25635737734568498</v>
      </c>
      <c r="D30" s="1">
        <v>5.3291751884798204</v>
      </c>
      <c r="E30" s="1">
        <v>24.742999999999999</v>
      </c>
      <c r="F30" s="1">
        <v>93.566175277275505</v>
      </c>
      <c r="G30" s="1" t="s">
        <v>9</v>
      </c>
      <c r="I30" s="1">
        <v>30</v>
      </c>
      <c r="J30" s="1">
        <v>0.33851085471519998</v>
      </c>
      <c r="K30" s="1">
        <v>52.370166000545602</v>
      </c>
      <c r="L30" s="1">
        <v>55.243473935082797</v>
      </c>
      <c r="M30" s="1" t="s">
        <v>9</v>
      </c>
    </row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3"/>
  </sheetPr>
  <dimension ref="B1:Y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-5</v>
      </c>
      <c r="C3" s="3">
        <v>2.00591071179473E-11</v>
      </c>
      <c r="D3" s="1">
        <v>2.0292851526584499E-2</v>
      </c>
      <c r="E3" s="1">
        <v>0.28799999999999998</v>
      </c>
      <c r="F3" s="1">
        <v>18.2218543570735</v>
      </c>
      <c r="G3" s="2" t="s">
        <v>6</v>
      </c>
      <c r="I3" s="1">
        <v>-5</v>
      </c>
      <c r="J3" s="3">
        <v>2.0059107117947601E-11</v>
      </c>
      <c r="K3" s="1">
        <v>2.06111985217746E-2</v>
      </c>
      <c r="L3" s="1">
        <v>18.2218543570735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-5</v>
      </c>
      <c r="C4" s="1">
        <v>10.292176012225701</v>
      </c>
      <c r="D4" s="1">
        <v>5.7348019022091004</v>
      </c>
      <c r="E4" s="1">
        <v>2.7749999999999999</v>
      </c>
      <c r="F4" s="1">
        <v>89.579905006923397</v>
      </c>
      <c r="G4" s="1" t="s">
        <v>7</v>
      </c>
      <c r="I4" s="1">
        <v>-5</v>
      </c>
      <c r="J4" s="1">
        <v>10.401990024895699</v>
      </c>
      <c r="K4" s="1">
        <v>8.66855729018957</v>
      </c>
      <c r="L4" s="1">
        <v>78.903158051375797</v>
      </c>
      <c r="M4" s="1" t="s">
        <v>7</v>
      </c>
      <c r="P4" s="1">
        <v>-5</v>
      </c>
      <c r="Q4" s="1">
        <v>-1.0851210789000599E-2</v>
      </c>
      <c r="R4" s="1">
        <v>-12.773510510825499</v>
      </c>
      <c r="S4" s="1">
        <v>-4.4235238064802802</v>
      </c>
      <c r="T4" s="1">
        <v>-5.1922862114355803</v>
      </c>
    </row>
    <row r="5" spans="2:25" ht="14.25" customHeight="1" x14ac:dyDescent="0.3">
      <c r="B5" s="1">
        <v>-5</v>
      </c>
      <c r="C5" s="1">
        <v>4.9883130271495597</v>
      </c>
      <c r="D5" s="1">
        <v>4.7153286152804004</v>
      </c>
      <c r="E5" s="1">
        <v>5.7460000000000004</v>
      </c>
      <c r="F5" s="1">
        <v>90.765186098353894</v>
      </c>
      <c r="G5" s="1" t="s">
        <v>8</v>
      </c>
      <c r="I5" s="1">
        <v>-5</v>
      </c>
      <c r="J5" s="1">
        <v>5.1106804436274</v>
      </c>
      <c r="K5" s="1">
        <v>11.062843421452399</v>
      </c>
      <c r="L5" s="1">
        <v>69.675337894291005</v>
      </c>
      <c r="M5" s="1" t="s">
        <v>8</v>
      </c>
      <c r="P5" s="1">
        <v>5</v>
      </c>
      <c r="Q5" s="1">
        <v>-1.0851210789000599E-2</v>
      </c>
      <c r="R5" s="1">
        <v>10.791834894996001</v>
      </c>
      <c r="S5" s="1">
        <v>2.5176060061186201</v>
      </c>
      <c r="T5" s="1">
        <v>3.9378845208378301</v>
      </c>
      <c r="V5" s="1">
        <f t="shared" ref="V5:Y5" si="0">Q6-Q5</f>
        <v>1.4798925973558141E-14</v>
      </c>
      <c r="W5" s="1">
        <f t="shared" si="0"/>
        <v>8.6380655883799982</v>
      </c>
      <c r="X5" s="1">
        <f t="shared" si="0"/>
        <v>1.585779110152</v>
      </c>
      <c r="Y5" s="1">
        <f t="shared" si="0"/>
        <v>2.9452600958283295</v>
      </c>
    </row>
    <row r="6" spans="2:25" ht="14.25" customHeight="1" x14ac:dyDescent="0.3">
      <c r="B6" s="1">
        <v>-5</v>
      </c>
      <c r="C6" s="1">
        <v>3.5503761540326702</v>
      </c>
      <c r="D6" s="1">
        <v>4.8210424328541697</v>
      </c>
      <c r="E6" s="1">
        <v>4.46</v>
      </c>
      <c r="F6" s="1">
        <v>91.575780315310098</v>
      </c>
      <c r="G6" s="1" t="s">
        <v>9</v>
      </c>
      <c r="I6" s="1">
        <v>-5</v>
      </c>
      <c r="J6" s="1">
        <v>3.6139022292676999</v>
      </c>
      <c r="K6" s="1">
        <v>9.6216238675822403</v>
      </c>
      <c r="L6" s="1">
        <v>74.418684450355997</v>
      </c>
      <c r="M6" s="1" t="s">
        <v>9</v>
      </c>
      <c r="P6" s="1">
        <v>10</v>
      </c>
      <c r="Q6" s="1">
        <v>-1.08512107889858E-2</v>
      </c>
      <c r="R6" s="1">
        <v>19.429900483375999</v>
      </c>
      <c r="S6" s="1">
        <v>4.1033851162706201</v>
      </c>
      <c r="T6" s="1">
        <v>6.8831446166661596</v>
      </c>
      <c r="V6" s="1">
        <f t="shared" ref="V6:Y6" si="1">Q7-Q6</f>
        <v>0</v>
      </c>
      <c r="W6" s="1">
        <f t="shared" si="1"/>
        <v>6.8936011929292</v>
      </c>
      <c r="X6" s="1">
        <f t="shared" si="1"/>
        <v>1.0824619446426</v>
      </c>
      <c r="Y6" s="1">
        <f t="shared" si="1"/>
        <v>2.2480841107186311</v>
      </c>
    </row>
    <row r="7" spans="2:25" ht="14.25" customHeight="1" x14ac:dyDescent="0.3">
      <c r="B7" s="1">
        <v>5</v>
      </c>
      <c r="C7" s="3">
        <v>-6.6791017161449098E-15</v>
      </c>
      <c r="D7" s="1">
        <v>1.53136795970461E-2</v>
      </c>
      <c r="E7" s="1">
        <v>0.47799999999999998</v>
      </c>
      <c r="F7" s="1">
        <v>1.1265278811155901</v>
      </c>
      <c r="G7" s="2" t="s">
        <v>6</v>
      </c>
      <c r="I7" s="1">
        <v>5</v>
      </c>
      <c r="J7" s="3">
        <v>-6.6791017161449398E-15</v>
      </c>
      <c r="K7" s="1">
        <v>1.54944606873456E-2</v>
      </c>
      <c r="L7" s="1">
        <v>1.1265278811155801</v>
      </c>
      <c r="M7" s="2" t="s">
        <v>6</v>
      </c>
      <c r="P7" s="1">
        <v>15</v>
      </c>
      <c r="Q7" s="1">
        <v>-1.08512107889858E-2</v>
      </c>
      <c r="R7" s="1">
        <v>26.323501676305199</v>
      </c>
      <c r="S7" s="1">
        <v>5.1858470609132201</v>
      </c>
      <c r="T7" s="1">
        <v>9.1312287273847907</v>
      </c>
      <c r="V7" s="1">
        <f t="shared" ref="V7:Y7" si="2">Q8-Q7</f>
        <v>-1.4798925973558141E-14</v>
      </c>
      <c r="W7" s="1">
        <f t="shared" si="2"/>
        <v>5.5669027315604005</v>
      </c>
      <c r="X7" s="1">
        <f t="shared" si="2"/>
        <v>0.78290468887210984</v>
      </c>
      <c r="Y7" s="1">
        <f t="shared" si="2"/>
        <v>1.7589071385754096</v>
      </c>
    </row>
    <row r="8" spans="2:25" ht="14.25" customHeight="1" x14ac:dyDescent="0.3">
      <c r="B8" s="1">
        <v>5</v>
      </c>
      <c r="C8" s="1">
        <v>8.70041791829704</v>
      </c>
      <c r="D8" s="1">
        <v>5.1010356958765</v>
      </c>
      <c r="E8" s="1">
        <v>3.8279999999999998</v>
      </c>
      <c r="F8" s="1">
        <v>88.941506579477903</v>
      </c>
      <c r="G8" s="1" t="s">
        <v>7</v>
      </c>
      <c r="I8" s="1">
        <v>5</v>
      </c>
      <c r="J8" s="1">
        <v>8.8229631364151402</v>
      </c>
      <c r="K8" s="1">
        <v>9.1447040957061496</v>
      </c>
      <c r="L8" s="1">
        <v>74.4368310436748</v>
      </c>
      <c r="M8" s="1" t="s">
        <v>7</v>
      </c>
      <c r="P8" s="1">
        <v>20</v>
      </c>
      <c r="Q8" s="1">
        <v>-1.0851210789000599E-2</v>
      </c>
      <c r="R8" s="1">
        <v>31.890404407865599</v>
      </c>
      <c r="S8" s="1">
        <v>5.96875174978533</v>
      </c>
      <c r="T8" s="1">
        <v>10.8901358659602</v>
      </c>
      <c r="V8" s="1">
        <f t="shared" ref="V8:Y8" si="3">Q9-Q8</f>
        <v>1.4798925973558141E-14</v>
      </c>
      <c r="W8" s="1">
        <f t="shared" si="3"/>
        <v>4.5635904052743008</v>
      </c>
      <c r="X8" s="1">
        <f t="shared" si="3"/>
        <v>0.59136601433243996</v>
      </c>
      <c r="Y8" s="1">
        <f t="shared" si="3"/>
        <v>1.4083011829469001</v>
      </c>
    </row>
    <row r="9" spans="2:25" ht="14.25" customHeight="1" x14ac:dyDescent="0.3">
      <c r="B9" s="1">
        <v>5</v>
      </c>
      <c r="C9" s="1">
        <v>2.8239444074832099</v>
      </c>
      <c r="D9" s="1">
        <v>3.0925097908331298</v>
      </c>
      <c r="E9" s="1">
        <v>8.0180000000000007</v>
      </c>
      <c r="F9" s="1">
        <v>88.566938225843302</v>
      </c>
      <c r="G9" s="1" t="s">
        <v>8</v>
      </c>
      <c r="I9" s="1">
        <v>5</v>
      </c>
      <c r="J9" s="1">
        <v>2.91290003356545</v>
      </c>
      <c r="K9" s="1">
        <v>11.709285245589101</v>
      </c>
      <c r="L9" s="1">
        <v>65.972743128454695</v>
      </c>
      <c r="M9" s="1" t="s">
        <v>8</v>
      </c>
      <c r="P9" s="1">
        <v>25</v>
      </c>
      <c r="Q9" s="1">
        <v>-1.08512107889858E-2</v>
      </c>
      <c r="R9" s="1">
        <v>36.4539948131399</v>
      </c>
      <c r="S9" s="1">
        <v>6.5601177641177699</v>
      </c>
      <c r="T9" s="1">
        <v>12.2984370489071</v>
      </c>
      <c r="V9" s="1">
        <f t="shared" ref="V9:Y9" si="4">Q10-Q9</f>
        <v>0</v>
      </c>
      <c r="W9" s="1">
        <f t="shared" si="4"/>
        <v>3.7969282289222974</v>
      </c>
      <c r="X9" s="1">
        <f t="shared" si="4"/>
        <v>0.46190792080976006</v>
      </c>
      <c r="Y9" s="1">
        <f t="shared" si="4"/>
        <v>1.1505371369035</v>
      </c>
    </row>
    <row r="10" spans="2:25" ht="14.25" customHeight="1" x14ac:dyDescent="0.3">
      <c r="B10" s="1">
        <v>5</v>
      </c>
      <c r="C10" s="1">
        <v>2.6905768734028501</v>
      </c>
      <c r="D10" s="1">
        <v>4.1238593863924002</v>
      </c>
      <c r="E10" s="1">
        <v>5.6609999999999996</v>
      </c>
      <c r="F10" s="1">
        <v>91.164931649843993</v>
      </c>
      <c r="G10" s="1" t="s">
        <v>9</v>
      </c>
      <c r="I10" s="1">
        <v>5</v>
      </c>
      <c r="J10" s="1">
        <v>2.7496629451187502</v>
      </c>
      <c r="K10" s="1">
        <v>10.264675664925599</v>
      </c>
      <c r="L10" s="1">
        <v>69.062142151502997</v>
      </c>
      <c r="M10" s="1" t="s">
        <v>9</v>
      </c>
      <c r="P10" s="1">
        <v>30</v>
      </c>
      <c r="Q10" s="1">
        <v>-1.08512107889858E-2</v>
      </c>
      <c r="R10" s="1">
        <v>40.250923042062198</v>
      </c>
      <c r="S10" s="1">
        <v>7.02202568492753</v>
      </c>
      <c r="T10" s="1">
        <v>13.4489741858106</v>
      </c>
    </row>
    <row r="11" spans="2:25" ht="14.25" customHeight="1" x14ac:dyDescent="0.3">
      <c r="B11" s="1">
        <v>10</v>
      </c>
      <c r="C11" s="3">
        <v>2.7760739443652899E-15</v>
      </c>
      <c r="D11" s="1">
        <v>1.49693853686914E-2</v>
      </c>
      <c r="E11" s="1">
        <v>0.36799999999999999</v>
      </c>
      <c r="F11" s="1">
        <v>0.61601798681768505</v>
      </c>
      <c r="G11" s="2" t="s">
        <v>6</v>
      </c>
      <c r="I11" s="1">
        <v>10</v>
      </c>
      <c r="J11" s="3">
        <v>2.7760739443650402E-15</v>
      </c>
      <c r="K11" s="1">
        <v>1.5175995505331E-2</v>
      </c>
      <c r="L11" s="1">
        <v>0.61601798681768505</v>
      </c>
      <c r="M11" s="2" t="s">
        <v>6</v>
      </c>
    </row>
    <row r="12" spans="2:25" ht="14.25" customHeight="1" x14ac:dyDescent="0.3">
      <c r="B12" s="1">
        <v>10</v>
      </c>
      <c r="C12" s="1">
        <v>7.8309412840483397</v>
      </c>
      <c r="D12" s="1">
        <v>5.6269100730466901</v>
      </c>
      <c r="E12" s="1">
        <v>4.7039999999999997</v>
      </c>
      <c r="F12" s="1">
        <v>88.735665275416594</v>
      </c>
      <c r="G12" s="1" t="s">
        <v>7</v>
      </c>
      <c r="I12" s="1">
        <v>10</v>
      </c>
      <c r="J12" s="1">
        <v>7.9617287254857398</v>
      </c>
      <c r="K12" s="1">
        <v>10.616045537500099</v>
      </c>
      <c r="L12" s="1">
        <v>73.831575028136399</v>
      </c>
      <c r="M12" s="1" t="s">
        <v>7</v>
      </c>
      <c r="V12" s="1">
        <v>385</v>
      </c>
      <c r="W12" s="1">
        <v>400</v>
      </c>
      <c r="X12" s="1">
        <v>560</v>
      </c>
      <c r="Y12" s="1">
        <v>340</v>
      </c>
    </row>
    <row r="13" spans="2:25" ht="14.25" customHeight="1" x14ac:dyDescent="0.3">
      <c r="B13" s="1">
        <v>10</v>
      </c>
      <c r="C13" s="1">
        <v>2.3088479086032598</v>
      </c>
      <c r="D13" s="1">
        <v>4.4697746363280704</v>
      </c>
      <c r="E13" s="1">
        <v>8.6999999999999993</v>
      </c>
      <c r="F13" s="1">
        <v>91.045481915221302</v>
      </c>
      <c r="G13" s="1" t="s">
        <v>8</v>
      </c>
      <c r="I13" s="1">
        <v>10</v>
      </c>
      <c r="J13" s="1">
        <v>2.3943349458141299</v>
      </c>
      <c r="K13" s="1">
        <v>14.320849784472699</v>
      </c>
      <c r="L13" s="1">
        <v>64.919574797079804</v>
      </c>
      <c r="M13" s="1" t="s">
        <v>8</v>
      </c>
    </row>
    <row r="14" spans="2:25" ht="14.25" customHeight="1" x14ac:dyDescent="0.3">
      <c r="B14" s="1">
        <v>10</v>
      </c>
      <c r="C14" s="1">
        <v>2.3534106123906802</v>
      </c>
      <c r="D14" s="1">
        <v>4.7068655121790499</v>
      </c>
      <c r="E14" s="1">
        <v>6.7850000000000001</v>
      </c>
      <c r="F14" s="1">
        <v>90.918808062264105</v>
      </c>
      <c r="G14" s="1" t="s">
        <v>9</v>
      </c>
      <c r="I14" s="1">
        <v>10</v>
      </c>
      <c r="J14" s="1">
        <v>2.4152002799015801</v>
      </c>
      <c r="K14" s="1">
        <v>12.206715206702899</v>
      </c>
      <c r="L14" s="1">
        <v>67.640691749206894</v>
      </c>
      <c r="M14" s="1" t="s">
        <v>9</v>
      </c>
      <c r="V14" s="1">
        <f t="shared" ref="V14:Y14" si="5">AVERAGE(V5:V9)</f>
        <v>2.9597851947116283E-15</v>
      </c>
      <c r="W14" s="1">
        <f t="shared" si="5"/>
        <v>5.8918176294132394</v>
      </c>
      <c r="X14" s="1">
        <f t="shared" si="5"/>
        <v>0.90088393576178194</v>
      </c>
      <c r="Y14" s="1">
        <f t="shared" si="5"/>
        <v>1.9022179329945541</v>
      </c>
    </row>
    <row r="15" spans="2:25" ht="14.25" customHeight="1" x14ac:dyDescent="0.3">
      <c r="B15" s="1">
        <v>15</v>
      </c>
      <c r="C15" s="3">
        <v>1.8294433656352001E-15</v>
      </c>
      <c r="D15" s="1">
        <v>1.4728922970938699E-2</v>
      </c>
      <c r="E15" s="1">
        <v>0.23100000000000001</v>
      </c>
      <c r="F15" s="1">
        <v>0.66876688574276599</v>
      </c>
      <c r="G15" s="2" t="s">
        <v>6</v>
      </c>
      <c r="I15" s="1">
        <v>15</v>
      </c>
      <c r="J15" s="3">
        <v>1.8294433656352001E-15</v>
      </c>
      <c r="K15" s="1">
        <v>1.47696567051915E-2</v>
      </c>
      <c r="L15" s="1">
        <v>0.66876688574276599</v>
      </c>
      <c r="M15" s="2" t="s">
        <v>6</v>
      </c>
      <c r="V15" s="1">
        <f t="shared" ref="V15:Y15" si="6">AVERAGE(V5:V9)*V12%</f>
        <v>1.1395172999639769E-14</v>
      </c>
      <c r="W15" s="1">
        <f t="shared" si="6"/>
        <v>23.567270517652958</v>
      </c>
      <c r="X15" s="1">
        <f t="shared" si="6"/>
        <v>5.0449500402659782</v>
      </c>
      <c r="Y15" s="1">
        <f t="shared" si="6"/>
        <v>6.4675409721814834</v>
      </c>
    </row>
    <row r="16" spans="2:25" ht="14.25" customHeight="1" x14ac:dyDescent="0.3">
      <c r="B16" s="1">
        <v>15</v>
      </c>
      <c r="C16" s="1">
        <v>7.0724483438324697</v>
      </c>
      <c r="D16" s="1">
        <v>5.8209642844377596</v>
      </c>
      <c r="E16" s="1">
        <v>4.5819999999999999</v>
      </c>
      <c r="F16" s="1">
        <v>88.572248929502706</v>
      </c>
      <c r="G16" s="1" t="s">
        <v>7</v>
      </c>
      <c r="I16" s="1">
        <v>15</v>
      </c>
      <c r="J16" s="1">
        <v>7.18596693280998</v>
      </c>
      <c r="K16" s="1">
        <v>10.661223176276</v>
      </c>
      <c r="L16" s="1">
        <v>74.728061672541401</v>
      </c>
      <c r="M16" s="1" t="s">
        <v>7</v>
      </c>
      <c r="V16" s="1">
        <f t="shared" ref="V16:Y16" si="7">_xlfn.STDEV.P(V5:V9)</f>
        <v>1.1074502137056912E-14</v>
      </c>
      <c r="W16" s="1">
        <f t="shared" si="7"/>
        <v>1.7206839925064494</v>
      </c>
      <c r="X16" s="1">
        <f t="shared" si="7"/>
        <v>0.40111653201978137</v>
      </c>
      <c r="Y16" s="1">
        <f t="shared" si="7"/>
        <v>0.63829086243329303</v>
      </c>
    </row>
    <row r="17" spans="2:13" ht="14.25" customHeight="1" x14ac:dyDescent="0.3">
      <c r="B17" s="1">
        <v>15</v>
      </c>
      <c r="C17" s="1">
        <v>1.9484338259179299</v>
      </c>
      <c r="D17" s="1">
        <v>5.1720616501775503</v>
      </c>
      <c r="E17" s="1">
        <v>8.7940000000000005</v>
      </c>
      <c r="F17" s="1">
        <v>90.480311701837394</v>
      </c>
      <c r="G17" s="1" t="s">
        <v>8</v>
      </c>
      <c r="I17" s="1">
        <v>15</v>
      </c>
      <c r="J17" s="1">
        <v>2.0256373617980898</v>
      </c>
      <c r="K17" s="1">
        <v>15.3142824085292</v>
      </c>
      <c r="L17" s="1">
        <v>65.293306679656297</v>
      </c>
      <c r="M17" s="1" t="s">
        <v>8</v>
      </c>
    </row>
    <row r="18" spans="2:13" ht="14.25" customHeight="1" x14ac:dyDescent="0.3">
      <c r="B18" s="1">
        <v>15</v>
      </c>
      <c r="C18" s="1">
        <v>2.0783805178992698</v>
      </c>
      <c r="D18" s="1">
        <v>4.37774787667355</v>
      </c>
      <c r="E18" s="1">
        <v>7.47</v>
      </c>
      <c r="F18" s="1">
        <v>91.599398097279504</v>
      </c>
      <c r="G18" s="1" t="s">
        <v>9</v>
      </c>
      <c r="I18" s="1">
        <v>15</v>
      </c>
      <c r="J18" s="1">
        <v>2.1379601679492399</v>
      </c>
      <c r="K18" s="1">
        <v>12.5894723805838</v>
      </c>
      <c r="L18" s="1">
        <v>67.820973544968396</v>
      </c>
      <c r="M18" s="1" t="s">
        <v>9</v>
      </c>
    </row>
    <row r="19" spans="2:13" ht="14.25" customHeight="1" x14ac:dyDescent="0.3">
      <c r="B19" s="1">
        <v>20</v>
      </c>
      <c r="C19" s="3">
        <v>1.5789838572446901E-15</v>
      </c>
      <c r="D19" s="1">
        <v>1.46705027600372E-2</v>
      </c>
      <c r="E19" s="1">
        <v>0.42699999999999999</v>
      </c>
      <c r="F19" s="1">
        <v>0.78070082210947001</v>
      </c>
      <c r="G19" s="2" t="s">
        <v>6</v>
      </c>
      <c r="I19" s="1">
        <v>20</v>
      </c>
      <c r="J19" s="3">
        <v>1.57898385724467E-15</v>
      </c>
      <c r="K19" s="1">
        <v>1.46705027600372E-2</v>
      </c>
      <c r="L19" s="1">
        <v>0.78070082210947001</v>
      </c>
      <c r="M19" s="2" t="s">
        <v>6</v>
      </c>
    </row>
    <row r="20" spans="2:13" ht="14.25" customHeight="1" x14ac:dyDescent="0.3">
      <c r="B20" s="1">
        <v>20</v>
      </c>
      <c r="C20" s="1">
        <v>6.4297008034773704</v>
      </c>
      <c r="D20" s="1">
        <v>6.2028386124839798</v>
      </c>
      <c r="E20" s="1">
        <v>5.782</v>
      </c>
      <c r="F20" s="1">
        <v>89.109858383735002</v>
      </c>
      <c r="G20" s="1" t="s">
        <v>7</v>
      </c>
      <c r="I20" s="1">
        <v>20</v>
      </c>
      <c r="J20" s="1">
        <v>6.5676863216478596</v>
      </c>
      <c r="K20" s="1">
        <v>12.5027707937223</v>
      </c>
      <c r="L20" s="1">
        <v>72.027335425968204</v>
      </c>
      <c r="M20" s="1" t="s">
        <v>7</v>
      </c>
    </row>
    <row r="21" spans="2:13" ht="14.25" customHeight="1" x14ac:dyDescent="0.3">
      <c r="B21" s="1">
        <v>20</v>
      </c>
      <c r="C21" s="1">
        <v>1.68013912192326</v>
      </c>
      <c r="D21" s="1">
        <v>5.0077010293820701</v>
      </c>
      <c r="E21" s="1">
        <v>11.39</v>
      </c>
      <c r="F21" s="1">
        <v>90.818990392005901</v>
      </c>
      <c r="G21" s="1" t="s">
        <v>8</v>
      </c>
      <c r="I21" s="1">
        <v>20</v>
      </c>
      <c r="J21" s="1">
        <v>1.77514935236848</v>
      </c>
      <c r="K21" s="1">
        <v>18.594145365256701</v>
      </c>
      <c r="L21" s="1">
        <v>63.6495974105786</v>
      </c>
      <c r="M21" s="1" t="s">
        <v>8</v>
      </c>
    </row>
    <row r="22" spans="2:13" ht="14.25" customHeight="1" x14ac:dyDescent="0.3">
      <c r="B22" s="1">
        <v>20</v>
      </c>
      <c r="C22" s="1">
        <v>1.8615803043894401</v>
      </c>
      <c r="D22" s="1">
        <v>4.9838441196780403</v>
      </c>
      <c r="E22" s="1">
        <v>8.7279999999999998</v>
      </c>
      <c r="F22" s="1">
        <v>92.043966840471697</v>
      </c>
      <c r="G22" s="1" t="s">
        <v>9</v>
      </c>
      <c r="I22" s="1">
        <v>20</v>
      </c>
      <c r="J22" s="1">
        <v>1.92989649149339</v>
      </c>
      <c r="K22" s="1">
        <v>14.989727412225999</v>
      </c>
      <c r="L22" s="1">
        <v>65.414563334577693</v>
      </c>
      <c r="M22" s="1" t="s">
        <v>9</v>
      </c>
    </row>
    <row r="23" spans="2:13" ht="14.25" customHeight="1" x14ac:dyDescent="0.3">
      <c r="B23" s="1">
        <v>25</v>
      </c>
      <c r="C23" s="3">
        <v>1.1116046355002499E-15</v>
      </c>
      <c r="D23" s="1">
        <v>1.4522326509325899E-2</v>
      </c>
      <c r="E23" s="1">
        <v>0.50700000000000001</v>
      </c>
      <c r="F23" s="1">
        <v>0.71200411310835499</v>
      </c>
      <c r="G23" s="2" t="s">
        <v>6</v>
      </c>
      <c r="I23" s="1">
        <v>25</v>
      </c>
      <c r="J23" s="3">
        <v>1.1116046355002499E-15</v>
      </c>
      <c r="K23" s="1">
        <v>1.46982610044475E-2</v>
      </c>
      <c r="L23" s="1">
        <v>0.71200411310834399</v>
      </c>
      <c r="M23" s="2" t="s">
        <v>6</v>
      </c>
    </row>
    <row r="24" spans="2:13" ht="14.25" customHeight="1" x14ac:dyDescent="0.3">
      <c r="B24" s="1">
        <v>25</v>
      </c>
      <c r="C24" s="1">
        <v>5.8787533772967802</v>
      </c>
      <c r="D24" s="1">
        <v>6.2097535723301798</v>
      </c>
      <c r="E24" s="1">
        <v>5.7309999999999999</v>
      </c>
      <c r="F24" s="1">
        <v>89.078114888860895</v>
      </c>
      <c r="G24" s="1" t="s">
        <v>7</v>
      </c>
      <c r="I24" s="1">
        <v>25</v>
      </c>
      <c r="J24" s="1">
        <v>6.0032949988847903</v>
      </c>
      <c r="K24" s="1">
        <v>12.4357492021157</v>
      </c>
      <c r="L24" s="1">
        <v>72.426569386770595</v>
      </c>
      <c r="M24" s="1" t="s">
        <v>7</v>
      </c>
    </row>
    <row r="25" spans="2:13" ht="14.25" customHeight="1" x14ac:dyDescent="0.3">
      <c r="B25" s="1">
        <v>25</v>
      </c>
      <c r="C25" s="1">
        <v>1.4770908225958099</v>
      </c>
      <c r="D25" s="1">
        <v>5.0316275359774396</v>
      </c>
      <c r="E25" s="1">
        <v>12.097</v>
      </c>
      <c r="F25" s="1">
        <v>89.996481433550997</v>
      </c>
      <c r="G25" s="1" t="s">
        <v>8</v>
      </c>
      <c r="I25" s="1">
        <v>25</v>
      </c>
      <c r="J25" s="1">
        <v>1.5696261972746699</v>
      </c>
      <c r="K25" s="1">
        <v>19.5789901717473</v>
      </c>
      <c r="L25" s="1">
        <v>63.777158491470999</v>
      </c>
      <c r="M25" s="1" t="s">
        <v>8</v>
      </c>
    </row>
    <row r="26" spans="2:13" ht="14.25" customHeight="1" x14ac:dyDescent="0.3">
      <c r="B26" s="1">
        <v>25</v>
      </c>
      <c r="C26" s="1">
        <v>1.6824627132596599</v>
      </c>
      <c r="D26" s="1">
        <v>5.1522652334148198</v>
      </c>
      <c r="E26" s="1">
        <v>8.7940000000000005</v>
      </c>
      <c r="F26" s="1">
        <v>91.891553728617495</v>
      </c>
      <c r="G26" s="1" t="s">
        <v>9</v>
      </c>
      <c r="I26" s="1">
        <v>25</v>
      </c>
      <c r="J26" s="1">
        <v>1.7459873892117701</v>
      </c>
      <c r="K26" s="1">
        <v>15.2927054971434</v>
      </c>
      <c r="L26" s="1">
        <v>65.402117861594604</v>
      </c>
      <c r="M26" s="1" t="s">
        <v>9</v>
      </c>
    </row>
    <row r="27" spans="2:13" ht="14.25" customHeight="1" x14ac:dyDescent="0.3">
      <c r="B27" s="1">
        <v>30</v>
      </c>
      <c r="C27" s="3">
        <v>8.8560398949809603E-16</v>
      </c>
      <c r="D27" s="1">
        <v>1.4420847084471101E-2</v>
      </c>
      <c r="E27" s="1">
        <v>0.48499999999999999</v>
      </c>
      <c r="F27" s="1">
        <v>0.64355906628580395</v>
      </c>
      <c r="G27" s="2" t="s">
        <v>6</v>
      </c>
      <c r="I27" s="1">
        <v>30</v>
      </c>
      <c r="J27" s="3">
        <v>8.8560398949809603E-16</v>
      </c>
      <c r="K27" s="1">
        <v>1.4420847084471101E-2</v>
      </c>
      <c r="L27" s="1">
        <v>0.64355906628580395</v>
      </c>
      <c r="M27" s="2" t="s">
        <v>6</v>
      </c>
    </row>
    <row r="28" spans="2:13" ht="14.25" customHeight="1" x14ac:dyDescent="0.3">
      <c r="B28" s="1">
        <v>30</v>
      </c>
      <c r="C28" s="1">
        <v>5.4066573269566698</v>
      </c>
      <c r="D28" s="1">
        <v>6.1702690039897901</v>
      </c>
      <c r="E28" s="1">
        <v>5.6719999999999997</v>
      </c>
      <c r="F28" s="1">
        <v>89.026086515550404</v>
      </c>
      <c r="G28" s="1" t="s">
        <v>7</v>
      </c>
      <c r="I28" s="1">
        <v>30</v>
      </c>
      <c r="J28" s="1">
        <v>5.5144787142697496</v>
      </c>
      <c r="K28" s="1">
        <v>12.2775998070809</v>
      </c>
      <c r="L28" s="1">
        <v>72.834707791541703</v>
      </c>
      <c r="M28" s="1" t="s">
        <v>7</v>
      </c>
    </row>
    <row r="29" spans="2:13" ht="14.25" customHeight="1" x14ac:dyDescent="0.3">
      <c r="B29" s="1">
        <v>30</v>
      </c>
      <c r="C29" s="1">
        <v>1.3188453683785399</v>
      </c>
      <c r="D29" s="1">
        <v>5.4882281106499198</v>
      </c>
      <c r="E29" s="1">
        <v>12.228999999999999</v>
      </c>
      <c r="F29" s="1">
        <v>90.065958863608699</v>
      </c>
      <c r="G29" s="1" t="s">
        <v>8</v>
      </c>
      <c r="I29" s="1">
        <v>30</v>
      </c>
      <c r="J29" s="1">
        <v>1.4026189576741599</v>
      </c>
      <c r="K29" s="1">
        <v>20.3253966314977</v>
      </c>
      <c r="L29" s="1">
        <v>63.891619229103298</v>
      </c>
      <c r="M29" s="1" t="s">
        <v>8</v>
      </c>
    </row>
    <row r="30" spans="2:13" ht="14.25" customHeight="1" x14ac:dyDescent="0.3">
      <c r="B30" s="1">
        <v>30</v>
      </c>
      <c r="C30" s="1">
        <v>1.53339517526909</v>
      </c>
      <c r="D30" s="1">
        <v>5.2851190545276703</v>
      </c>
      <c r="E30" s="1">
        <v>8.8439999999999994</v>
      </c>
      <c r="F30" s="1">
        <v>91.730774370854604</v>
      </c>
      <c r="G30" s="1" t="s">
        <v>9</v>
      </c>
      <c r="I30" s="1">
        <v>30</v>
      </c>
      <c r="J30" s="1">
        <v>1.58985307758959</v>
      </c>
      <c r="K30" s="1">
        <v>15.4604603172608</v>
      </c>
      <c r="L30" s="1">
        <v>65.444652356113295</v>
      </c>
      <c r="M30" s="1" t="s">
        <v>9</v>
      </c>
    </row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6EE"/>
  </sheetPr>
  <dimension ref="B1:Y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-5</v>
      </c>
      <c r="C3" s="6">
        <v>-2.0786072795616701</v>
      </c>
      <c r="D3" s="1">
        <v>3.59635647394256</v>
      </c>
      <c r="E3" s="1">
        <v>9.3089999999999993</v>
      </c>
      <c r="F3" s="1">
        <v>90.281561271996694</v>
      </c>
      <c r="G3" s="2" t="s">
        <v>6</v>
      </c>
      <c r="I3" s="1">
        <v>-5</v>
      </c>
      <c r="J3" s="7">
        <v>-2.1650283173432299</v>
      </c>
      <c r="K3" s="1">
        <v>14.0889147046255</v>
      </c>
      <c r="L3" s="1">
        <v>64.023646070680499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-5</v>
      </c>
      <c r="C4" s="6">
        <v>-3.0373668556784001</v>
      </c>
      <c r="D4" s="1">
        <v>3.6770729771146402</v>
      </c>
      <c r="E4" s="1">
        <v>11.699</v>
      </c>
      <c r="F4" s="1">
        <v>93.896848648109696</v>
      </c>
      <c r="G4" s="1" t="s">
        <v>7</v>
      </c>
      <c r="I4" s="1">
        <v>-5</v>
      </c>
      <c r="J4" s="7">
        <v>-3.2487378805497</v>
      </c>
      <c r="K4" s="1">
        <v>18.2378619468832</v>
      </c>
      <c r="L4" s="1">
        <v>60.214226313889597</v>
      </c>
      <c r="M4" s="1" t="s">
        <v>7</v>
      </c>
      <c r="P4" s="1">
        <v>-5</v>
      </c>
      <c r="Q4" s="1">
        <v>2.67847773767194</v>
      </c>
      <c r="R4" s="1">
        <v>3.7802270874972099</v>
      </c>
      <c r="S4" s="1">
        <v>8.6029779984611494</v>
      </c>
      <c r="T4" s="1">
        <v>2.2335924715222402</v>
      </c>
    </row>
    <row r="5" spans="2:25" ht="14.25" customHeight="1" x14ac:dyDescent="0.3">
      <c r="B5" s="1">
        <v>-5</v>
      </c>
      <c r="C5" s="6">
        <v>-9.7052272423525991</v>
      </c>
      <c r="D5" s="1">
        <v>5.9666274965571997</v>
      </c>
      <c r="E5" s="1">
        <v>5.2439999999999998</v>
      </c>
      <c r="F5" s="1">
        <v>87.577676660778593</v>
      </c>
      <c r="G5" s="1" t="s">
        <v>8</v>
      </c>
      <c r="I5" s="1">
        <v>-5</v>
      </c>
      <c r="J5" s="7">
        <v>-9.9116683297168002</v>
      </c>
      <c r="K5" s="1">
        <v>11.5782143084522</v>
      </c>
      <c r="L5" s="1">
        <v>74.635776806550396</v>
      </c>
      <c r="M5" s="1" t="s">
        <v>8</v>
      </c>
      <c r="P5" s="1">
        <v>5</v>
      </c>
      <c r="Q5" s="1">
        <v>-1.5758347691029699</v>
      </c>
      <c r="R5" s="1">
        <v>-2.5654246765708599</v>
      </c>
      <c r="S5" s="1">
        <v>-6.5617269188669702</v>
      </c>
      <c r="T5" s="1">
        <v>-1.50755666537571</v>
      </c>
      <c r="V5" s="1">
        <f t="shared" ref="V5:Y5" si="0">Q6-Q5</f>
        <v>-1.0177831288792503</v>
      </c>
      <c r="W5" s="1">
        <f t="shared" si="0"/>
        <v>-1.8268301136512104</v>
      </c>
      <c r="X5" s="1">
        <f t="shared" si="0"/>
        <v>-5.0490522543524303</v>
      </c>
      <c r="Y5" s="1">
        <f t="shared" si="0"/>
        <v>-1.0770278857161</v>
      </c>
    </row>
    <row r="6" spans="2:25" ht="14.25" customHeight="1" x14ac:dyDescent="0.3">
      <c r="B6" s="1">
        <v>-5</v>
      </c>
      <c r="C6" s="6">
        <v>-1.5208122728961999</v>
      </c>
      <c r="D6" s="1">
        <v>3.4760013065288802</v>
      </c>
      <c r="E6" s="1">
        <v>11.269</v>
      </c>
      <c r="F6" s="1">
        <v>92.186399734729903</v>
      </c>
      <c r="G6" s="1" t="s">
        <v>9</v>
      </c>
      <c r="I6" s="1">
        <v>-5</v>
      </c>
      <c r="J6" s="7">
        <v>-1.61400726611197</v>
      </c>
      <c r="K6" s="1">
        <v>16.983055589631199</v>
      </c>
      <c r="L6" s="1">
        <v>61.8739341663453</v>
      </c>
      <c r="M6" s="1" t="s">
        <v>9</v>
      </c>
      <c r="P6" s="1">
        <v>10</v>
      </c>
      <c r="Q6" s="1">
        <v>-2.5936178979822202</v>
      </c>
      <c r="R6" s="1">
        <v>-4.3922547902220703</v>
      </c>
      <c r="S6" s="1">
        <v>-11.610779173219401</v>
      </c>
      <c r="T6" s="1">
        <v>-2.58458455109181</v>
      </c>
      <c r="V6" s="1">
        <f t="shared" ref="V6:Y6" si="1">Q7-Q6</f>
        <v>-0.71293542986654002</v>
      </c>
      <c r="W6" s="1">
        <f t="shared" si="1"/>
        <v>-1.36287365991552</v>
      </c>
      <c r="X6" s="1">
        <f t="shared" si="1"/>
        <v>-3.9628753878929999</v>
      </c>
      <c r="Y6" s="1">
        <f t="shared" si="1"/>
        <v>-0.80349723023959996</v>
      </c>
    </row>
    <row r="7" spans="2:25" ht="14.25" customHeight="1" x14ac:dyDescent="0.3">
      <c r="B7" s="1">
        <v>5</v>
      </c>
      <c r="C7" s="6">
        <v>-1.20960237864426</v>
      </c>
      <c r="D7" s="1">
        <v>3.2774433547704298</v>
      </c>
      <c r="E7" s="1">
        <v>9.2449999999999992</v>
      </c>
      <c r="F7" s="1">
        <v>89.125583412890606</v>
      </c>
      <c r="G7" s="2" t="s">
        <v>6</v>
      </c>
      <c r="I7" s="1">
        <v>5</v>
      </c>
      <c r="J7" s="7">
        <v>-1.25720963324141</v>
      </c>
      <c r="K7" s="1">
        <v>13.477725661954899</v>
      </c>
      <c r="L7" s="1">
        <v>64.177316212162197</v>
      </c>
      <c r="M7" s="2" t="s">
        <v>6</v>
      </c>
      <c r="P7" s="1">
        <v>15</v>
      </c>
      <c r="Q7" s="1">
        <v>-3.3065533278487602</v>
      </c>
      <c r="R7" s="1">
        <v>-5.7551284501375903</v>
      </c>
      <c r="S7" s="1">
        <v>-15.5736545611124</v>
      </c>
      <c r="T7" s="1">
        <v>-3.3880817813314099</v>
      </c>
      <c r="V7" s="1">
        <f t="shared" ref="V7:Y7" si="2">Q8-Q7</f>
        <v>-0.52646361226719973</v>
      </c>
      <c r="W7" s="1">
        <f t="shared" si="2"/>
        <v>-1.0533533576062393</v>
      </c>
      <c r="X7" s="1">
        <f t="shared" si="2"/>
        <v>-3.1773022515652993</v>
      </c>
      <c r="Y7" s="1">
        <f t="shared" si="2"/>
        <v>-0.62101611484126007</v>
      </c>
    </row>
    <row r="8" spans="2:25" ht="14.25" customHeight="1" x14ac:dyDescent="0.3">
      <c r="B8" s="1">
        <v>5</v>
      </c>
      <c r="C8" s="6">
        <v>-2.0574930381753198</v>
      </c>
      <c r="D8" s="1">
        <v>3.3183489995000102</v>
      </c>
      <c r="E8" s="1">
        <v>11.65</v>
      </c>
      <c r="F8" s="1">
        <v>92.517774825835701</v>
      </c>
      <c r="G8" s="1" t="s">
        <v>7</v>
      </c>
      <c r="I8" s="1">
        <v>5</v>
      </c>
      <c r="J8" s="7">
        <v>-2.1908576186615298</v>
      </c>
      <c r="K8" s="1">
        <v>17.467318830992099</v>
      </c>
      <c r="L8" s="1">
        <v>59.173444706051001</v>
      </c>
      <c r="M8" s="1" t="s">
        <v>7</v>
      </c>
      <c r="P8" s="1">
        <v>20</v>
      </c>
      <c r="Q8" s="1">
        <v>-3.8330169401159599</v>
      </c>
      <c r="R8" s="1">
        <v>-6.8084818077438296</v>
      </c>
      <c r="S8" s="1">
        <v>-18.7509568126777</v>
      </c>
      <c r="T8" s="1">
        <v>-4.00909789617267</v>
      </c>
      <c r="V8" s="1">
        <f t="shared" ref="V8:Y8" si="3">Q9-Q8</f>
        <v>-0.40436045620359007</v>
      </c>
      <c r="W8" s="1">
        <f t="shared" si="3"/>
        <v>-0.83747400422635021</v>
      </c>
      <c r="X8" s="1">
        <f t="shared" si="3"/>
        <v>-2.5972036742413991</v>
      </c>
      <c r="Y8" s="1">
        <f t="shared" si="3"/>
        <v>-0.49374205591093023</v>
      </c>
    </row>
    <row r="9" spans="2:25" ht="14.25" customHeight="1" x14ac:dyDescent="0.3">
      <c r="B9" s="1">
        <v>5</v>
      </c>
      <c r="C9" s="6">
        <v>-7.4172277662105</v>
      </c>
      <c r="D9" s="1">
        <v>5.8247934804219597</v>
      </c>
      <c r="E9" s="1">
        <v>3.8239999999999998</v>
      </c>
      <c r="F9" s="1">
        <v>87.900078423570605</v>
      </c>
      <c r="G9" s="1" t="s">
        <v>8</v>
      </c>
      <c r="I9" s="1">
        <v>5</v>
      </c>
      <c r="J9" s="7">
        <v>-7.5246083569409601</v>
      </c>
      <c r="K9" s="1">
        <v>9.8809518253659707</v>
      </c>
      <c r="L9" s="1">
        <v>75.154272507903102</v>
      </c>
      <c r="M9" s="1" t="s">
        <v>8</v>
      </c>
      <c r="P9" s="1">
        <v>25</v>
      </c>
      <c r="Q9" s="1">
        <v>-4.23737739631955</v>
      </c>
      <c r="R9" s="1">
        <v>-7.6459558119701798</v>
      </c>
      <c r="S9" s="1">
        <v>-21.348160486919099</v>
      </c>
      <c r="T9" s="1">
        <v>-4.5028399520836002</v>
      </c>
      <c r="V9" s="1">
        <f t="shared" ref="V9:Y9" si="4">Q10-Q9</f>
        <v>-0.32016191645104985</v>
      </c>
      <c r="W9" s="1">
        <f t="shared" si="4"/>
        <v>-0.68128254500290009</v>
      </c>
      <c r="X9" s="1">
        <f t="shared" si="4"/>
        <v>-2.1592189401996009</v>
      </c>
      <c r="Y9" s="1">
        <f t="shared" si="4"/>
        <v>-0.40165765471933934</v>
      </c>
    </row>
    <row r="10" spans="2:25" ht="14.25" customHeight="1" x14ac:dyDescent="0.3">
      <c r="B10" s="1">
        <v>5</v>
      </c>
      <c r="C10" s="6">
        <v>-1.02978683005488</v>
      </c>
      <c r="D10" s="1">
        <v>3.1144734634726499</v>
      </c>
      <c r="E10" s="1">
        <v>11.129</v>
      </c>
      <c r="F10" s="1">
        <v>90.726398617350597</v>
      </c>
      <c r="G10" s="1" t="s">
        <v>9</v>
      </c>
      <c r="I10" s="1">
        <v>5</v>
      </c>
      <c r="J10" s="7">
        <v>-1.08750118470142</v>
      </c>
      <c r="K10" s="1">
        <v>16.075802508076698</v>
      </c>
      <c r="L10" s="1">
        <v>61.308465653998802</v>
      </c>
      <c r="M10" s="1" t="s">
        <v>9</v>
      </c>
      <c r="P10" s="1">
        <v>30</v>
      </c>
      <c r="Q10" s="1">
        <v>-4.5575393127705999</v>
      </c>
      <c r="R10" s="1">
        <v>-8.3272383569730799</v>
      </c>
      <c r="S10" s="1">
        <v>-23.5073794271187</v>
      </c>
      <c r="T10" s="1">
        <v>-4.9044976068029396</v>
      </c>
    </row>
    <row r="11" spans="2:25" ht="14.25" customHeight="1" x14ac:dyDescent="0.3">
      <c r="B11" s="1">
        <v>10</v>
      </c>
      <c r="C11" s="6">
        <v>-0.99908734275650002</v>
      </c>
      <c r="D11" s="1">
        <v>4.0687731839177799</v>
      </c>
      <c r="E11" s="1">
        <v>11.163</v>
      </c>
      <c r="F11" s="1">
        <v>89.1889344342231</v>
      </c>
      <c r="G11" s="2" t="s">
        <v>6</v>
      </c>
      <c r="I11" s="1">
        <v>10</v>
      </c>
      <c r="J11" s="7">
        <v>-1.0519736682434899</v>
      </c>
      <c r="K11" s="1">
        <v>16.945583798674999</v>
      </c>
      <c r="L11" s="1">
        <v>63.489032485527098</v>
      </c>
      <c r="M11" s="2" t="s">
        <v>6</v>
      </c>
    </row>
    <row r="12" spans="2:25" ht="14.25" customHeight="1" x14ac:dyDescent="0.3">
      <c r="B12" s="1">
        <v>10</v>
      </c>
      <c r="C12" s="6">
        <v>-1.7607391791888301</v>
      </c>
      <c r="D12" s="1">
        <v>3.14391914652871</v>
      </c>
      <c r="E12" s="1">
        <v>15.193</v>
      </c>
      <c r="F12" s="1">
        <v>91.051422705673602</v>
      </c>
      <c r="G12" s="1" t="s">
        <v>7</v>
      </c>
      <c r="I12" s="1">
        <v>10</v>
      </c>
      <c r="J12" s="7">
        <v>-1.9275560685300299</v>
      </c>
      <c r="K12" s="1">
        <v>22.4586736005907</v>
      </c>
      <c r="L12" s="1">
        <v>58.191978241264401</v>
      </c>
      <c r="M12" s="1" t="s">
        <v>7</v>
      </c>
      <c r="V12" s="1">
        <v>385</v>
      </c>
      <c r="W12" s="1">
        <v>400</v>
      </c>
      <c r="X12" s="1">
        <v>560</v>
      </c>
      <c r="Y12" s="1">
        <v>340</v>
      </c>
    </row>
    <row r="13" spans="2:25" ht="14.25" customHeight="1" x14ac:dyDescent="0.3">
      <c r="B13" s="1">
        <v>10</v>
      </c>
      <c r="C13" s="6">
        <v>-6.5617307200038404</v>
      </c>
      <c r="D13" s="1">
        <v>6.50477839164774</v>
      </c>
      <c r="E13" s="1">
        <v>4.5940000000000003</v>
      </c>
      <c r="F13" s="1">
        <v>87.923899117776998</v>
      </c>
      <c r="G13" s="1" t="s">
        <v>8</v>
      </c>
      <c r="I13" s="1">
        <v>10</v>
      </c>
      <c r="J13" s="7">
        <v>-6.6753281343071196</v>
      </c>
      <c r="K13" s="1">
        <v>11.4164447525127</v>
      </c>
      <c r="L13" s="1">
        <v>75.201689628878</v>
      </c>
      <c r="M13" s="1" t="s">
        <v>8</v>
      </c>
    </row>
    <row r="14" spans="2:25" ht="14.25" customHeight="1" x14ac:dyDescent="0.3">
      <c r="B14" s="1">
        <v>10</v>
      </c>
      <c r="C14" s="6">
        <v>-0.88379806016089302</v>
      </c>
      <c r="D14" s="1">
        <v>4.0137287484342004</v>
      </c>
      <c r="E14" s="1">
        <v>13.239000000000001</v>
      </c>
      <c r="F14" s="1">
        <v>90.540265422787797</v>
      </c>
      <c r="G14" s="1" t="s">
        <v>9</v>
      </c>
      <c r="I14" s="1">
        <v>10</v>
      </c>
      <c r="J14" s="7">
        <v>-0.951374468438002</v>
      </c>
      <c r="K14" s="1">
        <v>20.387470135500401</v>
      </c>
      <c r="L14" s="1">
        <v>60.513735496114599</v>
      </c>
      <c r="M14" s="1" t="s">
        <v>9</v>
      </c>
      <c r="V14" s="1">
        <f t="shared" ref="V14:Y14" si="5">AVERAGE(V5:V9)</f>
        <v>-0.59634090873352597</v>
      </c>
      <c r="W14" s="1">
        <f t="shared" si="5"/>
        <v>-1.152362736080444</v>
      </c>
      <c r="X14" s="1">
        <f t="shared" si="5"/>
        <v>-3.3891305016503459</v>
      </c>
      <c r="Y14" s="1">
        <f t="shared" si="5"/>
        <v>-0.67938818828544589</v>
      </c>
    </row>
    <row r="15" spans="2:25" ht="14.25" customHeight="1" x14ac:dyDescent="0.3">
      <c r="B15" s="1">
        <v>15</v>
      </c>
      <c r="C15" s="6">
        <v>-0.85029891884450304</v>
      </c>
      <c r="D15" s="1">
        <v>4.7709539815763202</v>
      </c>
      <c r="E15" s="1">
        <v>12.054</v>
      </c>
      <c r="F15" s="1">
        <v>88.708692338305298</v>
      </c>
      <c r="G15" s="2" t="s">
        <v>6</v>
      </c>
      <c r="I15" s="1">
        <v>15</v>
      </c>
      <c r="J15" s="7">
        <v>-0.89911295805861002</v>
      </c>
      <c r="K15" s="1">
        <v>18.8667928563966</v>
      </c>
      <c r="L15" s="1">
        <v>64.230464541517904</v>
      </c>
      <c r="M15" s="2" t="s">
        <v>6</v>
      </c>
      <c r="V15" s="1">
        <f t="shared" ref="V15:Y15" si="6">AVERAGE(V5:V9)*V12%</f>
        <v>-2.2959124986240749</v>
      </c>
      <c r="W15" s="1">
        <f t="shared" si="6"/>
        <v>-4.6094509443217762</v>
      </c>
      <c r="X15" s="1">
        <f t="shared" si="6"/>
        <v>-18.979130809241937</v>
      </c>
      <c r="Y15" s="1">
        <f t="shared" si="6"/>
        <v>-2.3099198401705161</v>
      </c>
    </row>
    <row r="16" spans="2:25" ht="14.25" customHeight="1" x14ac:dyDescent="0.3">
      <c r="B16" s="1">
        <v>15</v>
      </c>
      <c r="C16" s="6">
        <v>-1.5400410633036801</v>
      </c>
      <c r="D16" s="1">
        <v>4.0844483460498404</v>
      </c>
      <c r="E16" s="1">
        <v>16.292000000000002</v>
      </c>
      <c r="F16" s="1">
        <v>91.783351477327997</v>
      </c>
      <c r="G16" s="1" t="s">
        <v>7</v>
      </c>
      <c r="I16" s="1">
        <v>15</v>
      </c>
      <c r="J16" s="7">
        <v>-1.7062567798033901</v>
      </c>
      <c r="K16" s="1">
        <v>25.679777757528999</v>
      </c>
      <c r="L16" s="1">
        <v>58.731402776499998</v>
      </c>
      <c r="M16" s="1" t="s">
        <v>7</v>
      </c>
      <c r="V16" s="1">
        <f t="shared" ref="V16:Y16" si="7">_xlfn.STDEV.P(V5:V9)</f>
        <v>0.24868534085176797</v>
      </c>
      <c r="W16" s="1">
        <f t="shared" si="7"/>
        <v>0.40745439238306563</v>
      </c>
      <c r="X16" s="1">
        <f t="shared" si="7"/>
        <v>1.0265695471888365</v>
      </c>
      <c r="Y16" s="1">
        <f t="shared" si="7"/>
        <v>0.24021924068076828</v>
      </c>
    </row>
    <row r="17" spans="2:13" ht="14.25" customHeight="1" x14ac:dyDescent="0.3">
      <c r="B17" s="1">
        <v>15</v>
      </c>
      <c r="C17" s="6">
        <v>-5.8727288780937101</v>
      </c>
      <c r="D17" s="1">
        <v>7.4682914037713104</v>
      </c>
      <c r="E17" s="1">
        <v>3.903</v>
      </c>
      <c r="F17" s="1">
        <v>87.935798760710398</v>
      </c>
      <c r="G17" s="1" t="s">
        <v>8</v>
      </c>
      <c r="I17" s="1">
        <v>15</v>
      </c>
      <c r="J17" s="7">
        <v>-5.95536541997601</v>
      </c>
      <c r="K17" s="1">
        <v>11.6622646234624</v>
      </c>
      <c r="L17" s="1">
        <v>76.895281420757698</v>
      </c>
      <c r="M17" s="1" t="s">
        <v>8</v>
      </c>
    </row>
    <row r="18" spans="2:13" ht="14.25" customHeight="1" x14ac:dyDescent="0.3">
      <c r="B18" s="1">
        <v>15</v>
      </c>
      <c r="C18" s="6">
        <v>-0.77285921936332902</v>
      </c>
      <c r="D18" s="1">
        <v>4.8797246613549099</v>
      </c>
      <c r="E18" s="1">
        <v>14.217000000000001</v>
      </c>
      <c r="F18" s="1">
        <v>90.563143333387401</v>
      </c>
      <c r="G18" s="1" t="s">
        <v>9</v>
      </c>
      <c r="I18" s="1">
        <v>15</v>
      </c>
      <c r="J18" s="7">
        <v>-0.83836027444883598</v>
      </c>
      <c r="K18" s="1">
        <v>22.9539104623112</v>
      </c>
      <c r="L18" s="1">
        <v>61.219060752375697</v>
      </c>
      <c r="M18" s="1" t="s">
        <v>9</v>
      </c>
    </row>
    <row r="19" spans="2:13" ht="14.25" customHeight="1" x14ac:dyDescent="0.3">
      <c r="B19" s="1">
        <v>20</v>
      </c>
      <c r="C19" s="6">
        <v>-0.740615700809235</v>
      </c>
      <c r="D19" s="1">
        <v>5.1656499414716297</v>
      </c>
      <c r="E19" s="1">
        <v>14.19</v>
      </c>
      <c r="F19" s="1">
        <v>88.970407796858296</v>
      </c>
      <c r="G19" s="2" t="s">
        <v>6</v>
      </c>
      <c r="I19" s="1">
        <v>20</v>
      </c>
      <c r="J19" s="7">
        <v>-0.79917073703324104</v>
      </c>
      <c r="K19" s="1">
        <v>22.811937942239499</v>
      </c>
      <c r="L19" s="1">
        <v>62.200815865024403</v>
      </c>
      <c r="M19" s="2" t="s">
        <v>6</v>
      </c>
    </row>
    <row r="20" spans="2:13" ht="14.25" customHeight="1" x14ac:dyDescent="0.3">
      <c r="B20" s="1">
        <v>20</v>
      </c>
      <c r="C20" s="6">
        <v>-1.3670614724725201</v>
      </c>
      <c r="D20" s="1">
        <v>3.7456865410640399</v>
      </c>
      <c r="E20" s="1">
        <v>19.248000000000001</v>
      </c>
      <c r="F20" s="1">
        <v>90.850004067111001</v>
      </c>
      <c r="G20" s="1" t="s">
        <v>7</v>
      </c>
      <c r="I20" s="1">
        <v>20</v>
      </c>
      <c r="J20" s="7">
        <v>-1.56797199369319</v>
      </c>
      <c r="K20" s="1">
        <v>30.920356721042701</v>
      </c>
      <c r="L20" s="1">
        <v>56.8202433030444</v>
      </c>
      <c r="M20" s="1" t="s">
        <v>7</v>
      </c>
    </row>
    <row r="21" spans="2:13" ht="14.25" customHeight="1" x14ac:dyDescent="0.3">
      <c r="B21" s="1">
        <v>20</v>
      </c>
      <c r="C21" s="6">
        <v>-5.2902816662319898</v>
      </c>
      <c r="D21" s="1">
        <v>6.7087876640718997</v>
      </c>
      <c r="E21" s="1">
        <v>6.2859999999999996</v>
      </c>
      <c r="F21" s="1">
        <v>88.442259079785401</v>
      </c>
      <c r="G21" s="1" t="s">
        <v>8</v>
      </c>
      <c r="I21" s="1">
        <v>20</v>
      </c>
      <c r="J21" s="7">
        <v>-5.4129338963792497</v>
      </c>
      <c r="K21" s="1">
        <v>13.5102256036147</v>
      </c>
      <c r="L21" s="1">
        <v>73.896899672159194</v>
      </c>
      <c r="M21" s="1" t="s">
        <v>8</v>
      </c>
    </row>
    <row r="22" spans="2:13" ht="14.25" customHeight="1" x14ac:dyDescent="0.3">
      <c r="B22" s="1">
        <v>20</v>
      </c>
      <c r="C22" s="6">
        <v>-0.68583682165115201</v>
      </c>
      <c r="D22" s="1">
        <v>4.5831099633457297</v>
      </c>
      <c r="E22" s="1">
        <v>17.088999999999999</v>
      </c>
      <c r="F22" s="1">
        <v>89.549449114861801</v>
      </c>
      <c r="G22" s="1" t="s">
        <v>9</v>
      </c>
      <c r="I22" s="1">
        <v>20</v>
      </c>
      <c r="J22" s="7">
        <v>-0.76558046652622302</v>
      </c>
      <c r="K22" s="1">
        <v>27.5323701445353</v>
      </c>
      <c r="L22" s="1">
        <v>59.281292899205603</v>
      </c>
      <c r="M22" s="1" t="s">
        <v>9</v>
      </c>
    </row>
    <row r="23" spans="2:13" ht="14.25" customHeight="1" x14ac:dyDescent="0.3">
      <c r="B23" s="1">
        <v>25</v>
      </c>
      <c r="C23" s="6">
        <v>-0.65534309128480805</v>
      </c>
      <c r="D23" s="1">
        <v>5.28827158092112</v>
      </c>
      <c r="E23" s="1">
        <v>15.141999999999999</v>
      </c>
      <c r="F23" s="1">
        <v>88.1662767059819</v>
      </c>
      <c r="G23" s="2" t="s">
        <v>6</v>
      </c>
      <c r="I23" s="1">
        <v>25</v>
      </c>
      <c r="J23" s="7">
        <v>-0.71323609687520795</v>
      </c>
      <c r="K23" s="1">
        <v>24.4416988298142</v>
      </c>
      <c r="L23" s="1">
        <v>61.980388034233002</v>
      </c>
      <c r="M23" s="2" t="s">
        <v>6</v>
      </c>
    </row>
    <row r="24" spans="2:13" ht="14.25" customHeight="1" x14ac:dyDescent="0.3">
      <c r="B24" s="1">
        <v>25</v>
      </c>
      <c r="C24" s="6">
        <v>-1.22799038125801</v>
      </c>
      <c r="D24" s="1">
        <v>3.7627155899243601</v>
      </c>
      <c r="E24" s="1">
        <v>20.311</v>
      </c>
      <c r="F24" s="1">
        <v>91.174389566265205</v>
      </c>
      <c r="G24" s="1" t="s">
        <v>7</v>
      </c>
      <c r="I24" s="1">
        <v>25</v>
      </c>
      <c r="J24" s="7">
        <v>-1.43215376723698</v>
      </c>
      <c r="K24" s="1">
        <v>33.413763438077901</v>
      </c>
      <c r="L24" s="1">
        <v>56.504742161561602</v>
      </c>
      <c r="M24" s="1" t="s">
        <v>7</v>
      </c>
    </row>
    <row r="25" spans="2:13" ht="14.25" customHeight="1" x14ac:dyDescent="0.3">
      <c r="B25" s="1">
        <v>25</v>
      </c>
      <c r="C25" s="6">
        <v>-4.8249453424441002</v>
      </c>
      <c r="D25" s="1">
        <v>7.38799824618002</v>
      </c>
      <c r="E25" s="1">
        <v>5.625</v>
      </c>
      <c r="F25" s="1">
        <v>88.690005435323798</v>
      </c>
      <c r="G25" s="1" t="s">
        <v>8</v>
      </c>
      <c r="I25" s="1">
        <v>25</v>
      </c>
      <c r="J25" s="7">
        <v>-4.9262201110138299</v>
      </c>
      <c r="K25" s="1">
        <v>13.5380985709825</v>
      </c>
      <c r="L25" s="1">
        <v>74.5529213078634</v>
      </c>
      <c r="M25" s="1" t="s">
        <v>8</v>
      </c>
    </row>
    <row r="26" spans="2:13" ht="14.25" customHeight="1" x14ac:dyDescent="0.3">
      <c r="B26" s="1">
        <v>25</v>
      </c>
      <c r="C26" s="6">
        <v>-0.61621897065453701</v>
      </c>
      <c r="D26" s="1">
        <v>4.6363220764659303</v>
      </c>
      <c r="E26" s="1">
        <v>18.09</v>
      </c>
      <c r="F26" s="1">
        <v>89.275598520004095</v>
      </c>
      <c r="G26" s="1" t="s">
        <v>9</v>
      </c>
      <c r="I26" s="1">
        <v>25</v>
      </c>
      <c r="J26" s="7">
        <v>-0.69631361235768596</v>
      </c>
      <c r="K26" s="1">
        <v>29.5267679124171</v>
      </c>
      <c r="L26" s="1">
        <v>59.027040826771596</v>
      </c>
      <c r="M26" s="1" t="s">
        <v>9</v>
      </c>
    </row>
    <row r="27" spans="2:13" ht="14.25" customHeight="1" x14ac:dyDescent="0.3">
      <c r="B27" s="1">
        <v>30</v>
      </c>
      <c r="C27" s="6">
        <v>-0.58731555344554898</v>
      </c>
      <c r="D27" s="1">
        <v>5.2638801226879499</v>
      </c>
      <c r="E27" s="1">
        <v>16.026</v>
      </c>
      <c r="F27" s="1">
        <v>87.643865119346998</v>
      </c>
      <c r="G27" s="2" t="s">
        <v>6</v>
      </c>
      <c r="I27" s="1">
        <v>30</v>
      </c>
      <c r="J27" s="7">
        <v>-0.642147099302386</v>
      </c>
      <c r="K27" s="1">
        <v>25.6280656604699</v>
      </c>
      <c r="L27" s="1">
        <v>61.849155030279697</v>
      </c>
      <c r="M27" s="2" t="s">
        <v>6</v>
      </c>
    </row>
    <row r="28" spans="2:13" ht="14.25" customHeight="1" x14ac:dyDescent="0.3">
      <c r="B28" s="1">
        <v>30</v>
      </c>
      <c r="C28" s="6">
        <v>-1.1142742169026101</v>
      </c>
      <c r="D28" s="1">
        <v>3.7257577800400399</v>
      </c>
      <c r="E28" s="1">
        <v>21.257000000000001</v>
      </c>
      <c r="F28" s="1">
        <v>91.026163635169695</v>
      </c>
      <c r="G28" s="1" t="s">
        <v>7</v>
      </c>
      <c r="I28" s="1">
        <v>30</v>
      </c>
      <c r="J28" s="7">
        <v>-1.30996168382353</v>
      </c>
      <c r="K28" s="1">
        <v>35.139036845422801</v>
      </c>
      <c r="L28" s="1">
        <v>56.3265869726715</v>
      </c>
      <c r="M28" s="1" t="s">
        <v>7</v>
      </c>
    </row>
    <row r="29" spans="2:13" ht="14.25" customHeight="1" x14ac:dyDescent="0.3">
      <c r="B29" s="1">
        <v>30</v>
      </c>
      <c r="C29" s="6">
        <v>-4.4250197545238201</v>
      </c>
      <c r="D29" s="1">
        <v>7.3733150554946896</v>
      </c>
      <c r="E29" s="1">
        <v>5.569</v>
      </c>
      <c r="F29" s="1">
        <v>88.637592788312404</v>
      </c>
      <c r="G29" s="1" t="s">
        <v>8</v>
      </c>
      <c r="I29" s="1">
        <v>30</v>
      </c>
      <c r="J29" s="7">
        <v>-4.5129022401298098</v>
      </c>
      <c r="K29" s="1">
        <v>13.413504208298599</v>
      </c>
      <c r="L29" s="1">
        <v>74.979079969563799</v>
      </c>
      <c r="M29" s="1" t="s">
        <v>8</v>
      </c>
    </row>
    <row r="30" spans="2:13" ht="14.25" customHeight="1" x14ac:dyDescent="0.3">
      <c r="B30" s="1">
        <v>30</v>
      </c>
      <c r="C30" s="6">
        <v>-0.55912026042123997</v>
      </c>
      <c r="D30" s="1">
        <v>4.5804582212941796</v>
      </c>
      <c r="E30" s="1">
        <v>19.015000000000001</v>
      </c>
      <c r="F30" s="1">
        <v>88.737709191805195</v>
      </c>
      <c r="G30" s="1" t="s">
        <v>9</v>
      </c>
      <c r="I30" s="1">
        <v>30</v>
      </c>
      <c r="J30" s="7">
        <v>-0.63541983043931605</v>
      </c>
      <c r="K30" s="1">
        <v>30.901552756837098</v>
      </c>
      <c r="L30" s="1">
        <v>58.908844066846697</v>
      </c>
      <c r="M30" s="1" t="s">
        <v>9</v>
      </c>
    </row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6EE"/>
  </sheetPr>
  <dimension ref="B1:Y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26" width="8.6640625" customWidth="1"/>
  </cols>
  <sheetData>
    <row r="1" spans="2:25" ht="14.25" customHeight="1" x14ac:dyDescent="0.3">
      <c r="B1" s="14" t="s">
        <v>0</v>
      </c>
      <c r="C1" s="15"/>
      <c r="D1" s="15"/>
      <c r="E1" s="15"/>
      <c r="F1" s="15"/>
      <c r="G1" s="15"/>
      <c r="I1" s="14" t="s">
        <v>1</v>
      </c>
      <c r="J1" s="15"/>
      <c r="K1" s="15"/>
      <c r="L1" s="15"/>
      <c r="M1" s="15"/>
    </row>
    <row r="2" spans="2:25" ht="14.25" customHeight="1" x14ac:dyDescent="0.3">
      <c r="C2" s="1" t="s">
        <v>2</v>
      </c>
      <c r="D2" s="1" t="s">
        <v>3</v>
      </c>
      <c r="E2" s="1" t="s">
        <v>4</v>
      </c>
      <c r="F2" s="1" t="s">
        <v>5</v>
      </c>
      <c r="J2" s="1" t="s">
        <v>2</v>
      </c>
      <c r="K2" s="1" t="s">
        <v>3</v>
      </c>
      <c r="L2" s="1" t="s">
        <v>5</v>
      </c>
    </row>
    <row r="3" spans="2:25" ht="14.25" customHeight="1" x14ac:dyDescent="0.3">
      <c r="B3" s="1">
        <v>-5</v>
      </c>
      <c r="C3" s="6">
        <v>3.99405181293005E-11</v>
      </c>
      <c r="D3" s="1">
        <v>2.08867812763677E-2</v>
      </c>
      <c r="E3" s="1">
        <v>0.17599999999999999</v>
      </c>
      <c r="F3" s="1">
        <v>13.6519377052752</v>
      </c>
      <c r="G3" s="2" t="s">
        <v>6</v>
      </c>
      <c r="I3" s="1">
        <v>-5</v>
      </c>
      <c r="J3" s="7">
        <v>3.9940518126767699E-11</v>
      </c>
      <c r="K3" s="1">
        <v>2.69962773101102E-2</v>
      </c>
      <c r="L3" s="1">
        <v>13.6519377052752</v>
      </c>
      <c r="M3" s="2" t="s">
        <v>6</v>
      </c>
      <c r="Q3" s="1" t="s">
        <v>6</v>
      </c>
      <c r="R3" s="1" t="s">
        <v>7</v>
      </c>
      <c r="S3" s="1" t="s">
        <v>8</v>
      </c>
      <c r="T3" s="1" t="s">
        <v>9</v>
      </c>
    </row>
    <row r="4" spans="2:25" ht="14.25" customHeight="1" x14ac:dyDescent="0.3">
      <c r="B4" s="1">
        <v>-5</v>
      </c>
      <c r="C4" s="6">
        <v>-0.44816795369322598</v>
      </c>
      <c r="D4" s="1">
        <v>1.9978788485600001</v>
      </c>
      <c r="E4" s="1">
        <v>8.2579999999999991</v>
      </c>
      <c r="F4" s="1">
        <v>88.323130574647905</v>
      </c>
      <c r="G4" s="1" t="s">
        <v>7</v>
      </c>
      <c r="I4" s="1">
        <v>-5</v>
      </c>
      <c r="J4" s="7">
        <v>-0.46170327225744101</v>
      </c>
      <c r="K4" s="1">
        <v>10.717528473822799</v>
      </c>
      <c r="L4" s="1">
        <v>63.376784392929899</v>
      </c>
      <c r="M4" s="1" t="s">
        <v>7</v>
      </c>
      <c r="P4" s="1">
        <v>-5</v>
      </c>
      <c r="Q4" s="1">
        <v>-1.08512107889858E-2</v>
      </c>
      <c r="R4" s="1">
        <v>0.553777361945194</v>
      </c>
      <c r="S4" s="1">
        <v>3.6282196019296201E-3</v>
      </c>
      <c r="T4" s="1">
        <v>3.1030830531720501</v>
      </c>
    </row>
    <row r="5" spans="2:25" ht="14.25" customHeight="1" x14ac:dyDescent="0.3">
      <c r="B5" s="1">
        <v>-5</v>
      </c>
      <c r="C5" s="6">
        <v>2.5580405029262402E-10</v>
      </c>
      <c r="D5" s="1">
        <v>6.6490447815759701</v>
      </c>
      <c r="E5" s="1">
        <v>2.9780000000000002</v>
      </c>
      <c r="F5" s="1">
        <v>86.075746083250095</v>
      </c>
      <c r="G5" s="1" t="s">
        <v>8</v>
      </c>
      <c r="I5" s="1">
        <v>-5</v>
      </c>
      <c r="J5" s="7">
        <v>2.5897198868323099E-10</v>
      </c>
      <c r="K5" s="1">
        <v>9.8665123282366096</v>
      </c>
      <c r="L5" s="1">
        <v>75.723611559755994</v>
      </c>
      <c r="M5" s="1" t="s">
        <v>8</v>
      </c>
      <c r="P5" s="1">
        <v>5</v>
      </c>
      <c r="Q5" s="1">
        <v>-1.08512107889858E-2</v>
      </c>
      <c r="R5" s="1">
        <v>-0.408382393671189</v>
      </c>
      <c r="S5" s="1">
        <v>3.6282196019296201E-3</v>
      </c>
      <c r="T5" s="1">
        <v>-2.29889328029296</v>
      </c>
      <c r="V5" s="1">
        <f t="shared" ref="V5:Y5" si="0">Q6-Q5</f>
        <v>0</v>
      </c>
      <c r="W5" s="1">
        <f t="shared" si="0"/>
        <v>-0.30414006847347297</v>
      </c>
      <c r="X5" s="1">
        <f t="shared" si="0"/>
        <v>-2.0300167796749591E-14</v>
      </c>
      <c r="Y5" s="1">
        <f t="shared" si="0"/>
        <v>-1.7728592042381903</v>
      </c>
    </row>
    <row r="6" spans="2:25" ht="14.25" customHeight="1" x14ac:dyDescent="0.3">
      <c r="B6" s="1">
        <v>-5</v>
      </c>
      <c r="C6" s="6">
        <v>-2.1170091018072799</v>
      </c>
      <c r="D6" s="1">
        <v>3.3995855421773302</v>
      </c>
      <c r="E6" s="1">
        <v>1.7070000000000001</v>
      </c>
      <c r="F6" s="1">
        <v>90.936475719928595</v>
      </c>
      <c r="G6" s="1" t="s">
        <v>9</v>
      </c>
      <c r="I6" s="1">
        <v>-5</v>
      </c>
      <c r="J6" s="7">
        <v>-2.1285714625369998</v>
      </c>
      <c r="K6" s="1">
        <v>5.1499617158281801</v>
      </c>
      <c r="L6" s="1">
        <v>79.8301474493272</v>
      </c>
      <c r="M6" s="1" t="s">
        <v>9</v>
      </c>
      <c r="P6" s="1">
        <v>10</v>
      </c>
      <c r="Q6" s="1">
        <v>-1.08512107889858E-2</v>
      </c>
      <c r="R6" s="1">
        <v>-0.71252246214466197</v>
      </c>
      <c r="S6" s="1">
        <v>3.6282196019093199E-3</v>
      </c>
      <c r="T6" s="1">
        <v>-4.0717524845311504</v>
      </c>
      <c r="V6" s="1">
        <f t="shared" ref="V6:Y6" si="1">Q7-Q6</f>
        <v>0</v>
      </c>
      <c r="W6" s="1">
        <f t="shared" si="1"/>
        <v>-0.23759245178250399</v>
      </c>
      <c r="X6" s="1">
        <f t="shared" si="1"/>
        <v>0</v>
      </c>
      <c r="Y6" s="1">
        <f t="shared" si="1"/>
        <v>-1.4072207866567599</v>
      </c>
    </row>
    <row r="7" spans="2:25" ht="14.25" customHeight="1" x14ac:dyDescent="0.3">
      <c r="B7" s="1">
        <v>5</v>
      </c>
      <c r="C7" s="6">
        <v>-3.0607994771204302E-15</v>
      </c>
      <c r="D7" s="1">
        <v>1.49610562601253E-2</v>
      </c>
      <c r="E7" s="1">
        <v>0.48799999999999999</v>
      </c>
      <c r="F7" s="1">
        <v>0.27767075063567198</v>
      </c>
      <c r="G7" s="2" t="s">
        <v>6</v>
      </c>
      <c r="I7" s="1">
        <v>5</v>
      </c>
      <c r="J7" s="7">
        <v>-3.0607994771204302E-15</v>
      </c>
      <c r="K7" s="1">
        <v>1.49610562601253E-2</v>
      </c>
      <c r="L7" s="1">
        <v>0.27767075063567198</v>
      </c>
      <c r="M7" s="2" t="s">
        <v>6</v>
      </c>
      <c r="P7" s="1">
        <v>15</v>
      </c>
      <c r="Q7" s="1">
        <v>-1.08512107889858E-2</v>
      </c>
      <c r="R7" s="1">
        <v>-0.95011491392716596</v>
      </c>
      <c r="S7" s="1">
        <v>3.6282196019093199E-3</v>
      </c>
      <c r="T7" s="1">
        <v>-5.4789732711879102</v>
      </c>
      <c r="V7" s="1">
        <f t="shared" ref="V7:Y7" si="2">Q8-Q7</f>
        <v>0</v>
      </c>
      <c r="W7" s="1">
        <f t="shared" si="2"/>
        <v>-0.19069620922245412</v>
      </c>
      <c r="X7" s="1">
        <f t="shared" si="2"/>
        <v>0</v>
      </c>
      <c r="Y7" s="1">
        <f t="shared" si="2"/>
        <v>-1.1437446045119</v>
      </c>
    </row>
    <row r="8" spans="2:25" ht="14.25" customHeight="1" x14ac:dyDescent="0.3">
      <c r="B8" s="1">
        <v>5</v>
      </c>
      <c r="C8" s="6">
        <v>-0.323167170244474</v>
      </c>
      <c r="D8" s="1">
        <v>2.0561524282585202</v>
      </c>
      <c r="E8" s="1">
        <v>8.3070000000000004</v>
      </c>
      <c r="F8" s="1">
        <v>88.672023443532893</v>
      </c>
      <c r="G8" s="1" t="s">
        <v>7</v>
      </c>
      <c r="I8" s="1">
        <v>5</v>
      </c>
      <c r="J8" s="7">
        <v>-0.333064562025154</v>
      </c>
      <c r="K8" s="1">
        <v>10.862842953135701</v>
      </c>
      <c r="L8" s="1">
        <v>63.033426025209501</v>
      </c>
      <c r="M8" s="1" t="s">
        <v>7</v>
      </c>
      <c r="P8" s="1">
        <v>20</v>
      </c>
      <c r="Q8" s="1">
        <v>-1.08512107889858E-2</v>
      </c>
      <c r="R8" s="1">
        <v>-1.1408111231496201</v>
      </c>
      <c r="S8" s="1">
        <v>3.6282196019093199E-3</v>
      </c>
      <c r="T8" s="1">
        <v>-6.6227178756998102</v>
      </c>
      <c r="V8" s="1">
        <f t="shared" ref="V8:Y8" si="3">Q9-Q8</f>
        <v>-1.4798925973558141E-14</v>
      </c>
      <c r="W8" s="1">
        <f t="shared" si="3"/>
        <v>-0.15641816621342985</v>
      </c>
      <c r="X8" s="1">
        <f t="shared" si="3"/>
        <v>2.0300167796749591E-14</v>
      </c>
      <c r="Y8" s="1">
        <f t="shared" si="3"/>
        <v>-0.94773049293721989</v>
      </c>
    </row>
    <row r="9" spans="2:25" ht="14.25" customHeight="1" x14ac:dyDescent="0.3">
      <c r="B9" s="1">
        <v>5</v>
      </c>
      <c r="C9" s="6">
        <v>1.9822320423256099E-14</v>
      </c>
      <c r="D9" s="1">
        <v>1.5843152616260198E-2</v>
      </c>
      <c r="E9" s="1">
        <v>0.47199999999999998</v>
      </c>
      <c r="F9" s="1">
        <v>3.3956039695432301</v>
      </c>
      <c r="G9" s="1" t="s">
        <v>8</v>
      </c>
      <c r="I9" s="1">
        <v>5</v>
      </c>
      <c r="J9" s="7">
        <v>1.9822320423256099E-14</v>
      </c>
      <c r="K9" s="1">
        <v>1.59579331490497E-2</v>
      </c>
      <c r="L9" s="1">
        <v>3.3956039695432301</v>
      </c>
      <c r="M9" s="1" t="s">
        <v>8</v>
      </c>
      <c r="P9" s="1">
        <v>25</v>
      </c>
      <c r="Q9" s="1">
        <v>-1.0851210789000599E-2</v>
      </c>
      <c r="R9" s="1">
        <v>-1.2972292893630499</v>
      </c>
      <c r="S9" s="1">
        <v>3.6282196019296201E-3</v>
      </c>
      <c r="T9" s="1">
        <v>-7.5704483686370301</v>
      </c>
      <c r="V9" s="1">
        <f t="shared" ref="V9:Y9" si="4">Q10-Q9</f>
        <v>1.4798925973558141E-14</v>
      </c>
      <c r="W9" s="1">
        <f t="shared" si="4"/>
        <v>-0.13060942054205005</v>
      </c>
      <c r="X9" s="1">
        <f t="shared" si="4"/>
        <v>-2.0300167796749591E-14</v>
      </c>
      <c r="Y9" s="1">
        <f t="shared" si="4"/>
        <v>-0.79801578137541984</v>
      </c>
    </row>
    <row r="10" spans="2:25" ht="14.25" customHeight="1" x14ac:dyDescent="0.3">
      <c r="B10" s="1">
        <v>5</v>
      </c>
      <c r="C10" s="6">
        <v>-1.5689025825135501</v>
      </c>
      <c r="D10" s="1">
        <v>2.8695842041090498</v>
      </c>
      <c r="E10" s="1">
        <v>1.58</v>
      </c>
      <c r="F10" s="1">
        <v>92.287262436130803</v>
      </c>
      <c r="G10" s="1" t="s">
        <v>9</v>
      </c>
      <c r="I10" s="1">
        <v>5</v>
      </c>
      <c r="J10" s="7">
        <v>-1.57672539695796</v>
      </c>
      <c r="K10" s="1">
        <v>4.49070944824597</v>
      </c>
      <c r="L10" s="1">
        <v>80.304585126685794</v>
      </c>
      <c r="M10" s="1" t="s">
        <v>9</v>
      </c>
      <c r="P10" s="1">
        <v>30</v>
      </c>
      <c r="Q10" s="1">
        <v>-1.08512107889858E-2</v>
      </c>
      <c r="R10" s="1">
        <v>-1.4278387099051</v>
      </c>
      <c r="S10" s="1">
        <v>3.6282196019093199E-3</v>
      </c>
      <c r="T10" s="1">
        <v>-8.3684641500124499</v>
      </c>
    </row>
    <row r="11" spans="2:25" ht="14.25" customHeight="1" x14ac:dyDescent="0.3">
      <c r="B11" s="1">
        <v>10</v>
      </c>
      <c r="C11" s="6">
        <v>-2.13162820728028E-15</v>
      </c>
      <c r="D11" s="1">
        <v>1.4800829547969E-2</v>
      </c>
      <c r="E11" s="1">
        <v>0.47799999999999998</v>
      </c>
      <c r="F11" s="1">
        <v>0.47381156261459001</v>
      </c>
      <c r="G11" s="2" t="s">
        <v>6</v>
      </c>
      <c r="I11" s="1">
        <v>10</v>
      </c>
      <c r="J11" s="7">
        <v>-2.1316282072803001E-15</v>
      </c>
      <c r="K11" s="1">
        <v>1.4800829547969E-2</v>
      </c>
      <c r="L11" s="1">
        <v>0.47381156261459001</v>
      </c>
      <c r="M11" s="2" t="s">
        <v>6</v>
      </c>
    </row>
    <row r="12" spans="2:25" ht="14.25" customHeight="1" x14ac:dyDescent="0.3">
      <c r="B12" s="1">
        <v>10</v>
      </c>
      <c r="C12" s="6">
        <v>-0.28308852724743999</v>
      </c>
      <c r="D12" s="1">
        <v>1.44126550206809</v>
      </c>
      <c r="E12" s="1">
        <v>11.12</v>
      </c>
      <c r="F12" s="1">
        <v>84.360429084956394</v>
      </c>
      <c r="G12" s="1" t="s">
        <v>7</v>
      </c>
      <c r="I12" s="1">
        <v>10</v>
      </c>
      <c r="J12" s="7">
        <v>-0.29539833668589299</v>
      </c>
      <c r="K12" s="1">
        <v>13.2995633284715</v>
      </c>
      <c r="L12" s="1">
        <v>60.953304321266003</v>
      </c>
      <c r="M12" s="1" t="s">
        <v>7</v>
      </c>
      <c r="V12" s="1">
        <v>385</v>
      </c>
      <c r="W12" s="1">
        <v>400</v>
      </c>
      <c r="X12" s="1">
        <v>560</v>
      </c>
      <c r="Y12" s="1">
        <v>340</v>
      </c>
    </row>
    <row r="13" spans="2:25" ht="14.25" customHeight="1" x14ac:dyDescent="0.3">
      <c r="B13" s="1">
        <v>10</v>
      </c>
      <c r="C13" s="6">
        <v>-4.2632564145606002E-15</v>
      </c>
      <c r="D13" s="1">
        <v>1.5103142127845101E-2</v>
      </c>
      <c r="E13" s="1">
        <v>0.39500000000000002</v>
      </c>
      <c r="F13" s="1">
        <v>0.44319910838042098</v>
      </c>
      <c r="G13" s="1" t="s">
        <v>8</v>
      </c>
      <c r="I13" s="1">
        <v>10</v>
      </c>
      <c r="J13" s="7">
        <v>-4.2632564145606002E-15</v>
      </c>
      <c r="K13" s="1">
        <v>1.5103142127845101E-2</v>
      </c>
      <c r="L13" s="1">
        <v>0.44319910838042098</v>
      </c>
      <c r="M13" s="1" t="s">
        <v>8</v>
      </c>
    </row>
    <row r="14" spans="2:25" ht="14.25" customHeight="1" x14ac:dyDescent="0.3">
      <c r="B14" s="1">
        <v>10</v>
      </c>
      <c r="C14" s="6">
        <v>-1.3896168482465601</v>
      </c>
      <c r="D14" s="1">
        <v>3.3501831237825201</v>
      </c>
      <c r="E14" s="1">
        <v>1.6859999999999999</v>
      </c>
      <c r="F14" s="1">
        <v>92.227937552737799</v>
      </c>
      <c r="G14" s="1" t="s">
        <v>9</v>
      </c>
      <c r="I14" s="1">
        <v>10</v>
      </c>
      <c r="J14" s="7">
        <v>-1.39704692464959</v>
      </c>
      <c r="K14" s="1">
        <v>5.0878979656303702</v>
      </c>
      <c r="L14" s="1">
        <v>80.527019981951597</v>
      </c>
      <c r="M14" s="1" t="s">
        <v>9</v>
      </c>
      <c r="V14" s="1">
        <f t="shared" ref="V14:Y14" si="5">AVERAGE(V5:V9)</f>
        <v>0</v>
      </c>
      <c r="W14" s="1">
        <f t="shared" si="5"/>
        <v>-0.2038912632467822</v>
      </c>
      <c r="X14" s="1">
        <f t="shared" si="5"/>
        <v>-4.0600335593499178E-15</v>
      </c>
      <c r="Y14" s="1">
        <f t="shared" si="5"/>
        <v>-1.2139141739438979</v>
      </c>
    </row>
    <row r="15" spans="2:25" ht="14.25" customHeight="1" x14ac:dyDescent="0.3">
      <c r="B15" s="1">
        <v>15</v>
      </c>
      <c r="C15" s="6">
        <v>-1.1729594368103199E-15</v>
      </c>
      <c r="D15" s="1">
        <v>1.4543657940814299E-2</v>
      </c>
      <c r="E15" s="1">
        <v>0.47299999999999998</v>
      </c>
      <c r="F15" s="1">
        <v>0.33310102309508399</v>
      </c>
      <c r="G15" s="2" t="s">
        <v>6</v>
      </c>
      <c r="I15" s="1">
        <v>15</v>
      </c>
      <c r="J15" s="7">
        <v>-1.1729594368103199E-15</v>
      </c>
      <c r="K15" s="1">
        <v>1.4543657940814299E-2</v>
      </c>
      <c r="L15" s="1">
        <v>0.33310102309508399</v>
      </c>
      <c r="M15" s="2" t="s">
        <v>6</v>
      </c>
      <c r="V15" s="1">
        <f t="shared" ref="V15:Y15" si="6">AVERAGE(V5:V9)*V12%</f>
        <v>0</v>
      </c>
      <c r="W15" s="1">
        <f t="shared" si="6"/>
        <v>-0.81556505298712878</v>
      </c>
      <c r="X15" s="1">
        <f t="shared" si="6"/>
        <v>-2.2736187932359539E-14</v>
      </c>
      <c r="Y15" s="1">
        <f t="shared" si="6"/>
        <v>-4.1273081914092531</v>
      </c>
    </row>
    <row r="16" spans="2:25" ht="14.25" customHeight="1" x14ac:dyDescent="0.3">
      <c r="B16" s="1">
        <v>15</v>
      </c>
      <c r="C16" s="6">
        <v>-0.25210953380940099</v>
      </c>
      <c r="D16" s="1">
        <v>0.88036550535242897</v>
      </c>
      <c r="E16" s="1">
        <v>15.221</v>
      </c>
      <c r="F16" s="1">
        <v>78.533003078746205</v>
      </c>
      <c r="G16" s="1" t="s">
        <v>7</v>
      </c>
      <c r="I16" s="1">
        <v>15</v>
      </c>
      <c r="J16" s="7">
        <v>-0.26821100012516502</v>
      </c>
      <c r="K16" s="1">
        <v>17.310707050654901</v>
      </c>
      <c r="L16" s="1">
        <v>58.680134127043203</v>
      </c>
      <c r="M16" s="1" t="s">
        <v>7</v>
      </c>
      <c r="V16" s="1">
        <f t="shared" ref="V16:Y16" si="7">_xlfn.STDEV.P(V5:V9)</f>
        <v>9.3596626001336991E-15</v>
      </c>
      <c r="W16" s="1">
        <f t="shared" si="7"/>
        <v>6.1617572040682286E-2</v>
      </c>
      <c r="X16" s="1">
        <f t="shared" si="7"/>
        <v>1.519125455789172E-14</v>
      </c>
      <c r="Y16" s="1">
        <f t="shared" si="7"/>
        <v>0.34598727920511446</v>
      </c>
    </row>
    <row r="17" spans="2:13" ht="14.25" customHeight="1" x14ac:dyDescent="0.3">
      <c r="B17" s="1">
        <v>15</v>
      </c>
      <c r="C17" s="6">
        <v>-2.0752359266644201E-15</v>
      </c>
      <c r="D17" s="1">
        <v>1.47793760914101E-2</v>
      </c>
      <c r="E17" s="1">
        <v>0.32700000000000001</v>
      </c>
      <c r="F17" s="1">
        <v>0.17104503500831</v>
      </c>
      <c r="G17" s="1" t="s">
        <v>8</v>
      </c>
      <c r="I17" s="1">
        <v>15</v>
      </c>
      <c r="J17" s="7">
        <v>-2.0752359266644698E-15</v>
      </c>
      <c r="K17" s="1">
        <v>1.51113896660953E-2</v>
      </c>
      <c r="L17" s="1">
        <v>0.17104503500831</v>
      </c>
      <c r="M17" s="1" t="s">
        <v>8</v>
      </c>
    </row>
    <row r="18" spans="2:13" ht="14.25" customHeight="1" x14ac:dyDescent="0.3">
      <c r="B18" s="1">
        <v>15</v>
      </c>
      <c r="C18" s="6">
        <v>-1.24755547510725</v>
      </c>
      <c r="D18" s="1">
        <v>3.9108275842539499</v>
      </c>
      <c r="E18" s="1">
        <v>2.6629999999999998</v>
      </c>
      <c r="F18" s="1">
        <v>89.662297278452797</v>
      </c>
      <c r="G18" s="1" t="s">
        <v>9</v>
      </c>
      <c r="I18" s="1">
        <v>15</v>
      </c>
      <c r="J18" s="7">
        <v>-1.2575251226009401</v>
      </c>
      <c r="K18" s="1">
        <v>6.63086639009809</v>
      </c>
      <c r="L18" s="1">
        <v>77.054917446127106</v>
      </c>
      <c r="M18" s="1" t="s">
        <v>9</v>
      </c>
    </row>
    <row r="19" spans="2:13" ht="14.25" customHeight="1" x14ac:dyDescent="0.3">
      <c r="B19" s="1">
        <v>20</v>
      </c>
      <c r="C19" s="6">
        <v>-9.3624454594272209E-16</v>
      </c>
      <c r="D19" s="1">
        <v>1.4456247031112901E-2</v>
      </c>
      <c r="E19" s="1">
        <v>0.32</v>
      </c>
      <c r="F19" s="1">
        <v>0.36639403865028602</v>
      </c>
      <c r="G19" s="2" t="s">
        <v>6</v>
      </c>
      <c r="I19" s="1">
        <v>20</v>
      </c>
      <c r="J19" s="7">
        <v>-9.3624454594271992E-16</v>
      </c>
      <c r="K19" s="1">
        <v>1.44489231438036E-2</v>
      </c>
      <c r="L19" s="1">
        <v>0.36639403865028602</v>
      </c>
      <c r="M19" s="2" t="s">
        <v>6</v>
      </c>
    </row>
    <row r="20" spans="2:13" ht="14.25" customHeight="1" x14ac:dyDescent="0.3">
      <c r="B20" s="1">
        <v>20</v>
      </c>
      <c r="C20" s="6">
        <v>-0.22729626811401399</v>
      </c>
      <c r="D20" s="1">
        <v>1.1776913285245301</v>
      </c>
      <c r="E20" s="1">
        <v>15.249000000000001</v>
      </c>
      <c r="F20" s="1">
        <v>83.103045559188701</v>
      </c>
      <c r="G20" s="1" t="s">
        <v>7</v>
      </c>
      <c r="I20" s="1">
        <v>20</v>
      </c>
      <c r="J20" s="7">
        <v>-0.24288986613246499</v>
      </c>
      <c r="K20" s="1">
        <v>18.2547169902628</v>
      </c>
      <c r="L20" s="1">
        <v>58.115414117043898</v>
      </c>
      <c r="M20" s="1" t="s">
        <v>7</v>
      </c>
    </row>
    <row r="21" spans="2:13" ht="14.25" customHeight="1" x14ac:dyDescent="0.3">
      <c r="B21" s="1">
        <v>20</v>
      </c>
      <c r="C21" s="6">
        <v>-8.0249532509376004E-16</v>
      </c>
      <c r="D21" s="1">
        <v>1.43848299916135E-2</v>
      </c>
      <c r="E21" s="1">
        <v>0.48899999999999999</v>
      </c>
      <c r="F21" s="1">
        <v>0.13583886732422301</v>
      </c>
      <c r="G21" s="1" t="s">
        <v>8</v>
      </c>
      <c r="I21" s="1">
        <v>20</v>
      </c>
      <c r="J21" s="7">
        <v>-8.0249532509376201E-16</v>
      </c>
      <c r="K21" s="1">
        <v>1.4395390241074999E-2</v>
      </c>
      <c r="L21" s="1">
        <v>0.13583886732422301</v>
      </c>
      <c r="M21" s="1" t="s">
        <v>8</v>
      </c>
    </row>
    <row r="22" spans="2:13" ht="14.25" customHeight="1" x14ac:dyDescent="0.3">
      <c r="B22" s="1">
        <v>20</v>
      </c>
      <c r="C22" s="6">
        <v>-1.13058716645111</v>
      </c>
      <c r="D22" s="1">
        <v>3.9115518710371799</v>
      </c>
      <c r="E22" s="1">
        <v>2.5550000000000002</v>
      </c>
      <c r="F22" s="1">
        <v>89.959353291652604</v>
      </c>
      <c r="G22" s="1" t="s">
        <v>9</v>
      </c>
      <c r="I22" s="1">
        <v>20</v>
      </c>
      <c r="J22" s="7">
        <v>-1.13911788409065</v>
      </c>
      <c r="K22" s="1">
        <v>6.5098201397068101</v>
      </c>
      <c r="L22" s="1">
        <v>78.093369553737901</v>
      </c>
      <c r="M22" s="1" t="s">
        <v>9</v>
      </c>
    </row>
    <row r="23" spans="2:13" ht="14.25" customHeight="1" x14ac:dyDescent="0.3">
      <c r="B23" s="1">
        <v>25</v>
      </c>
      <c r="C23" s="6">
        <v>-8.7248038251472405E-16</v>
      </c>
      <c r="D23" s="1">
        <v>1.4413135739754401E-2</v>
      </c>
      <c r="E23" s="1">
        <v>0.218</v>
      </c>
      <c r="F23" s="1">
        <v>0.47097143400832697</v>
      </c>
      <c r="G23" s="2" t="s">
        <v>6</v>
      </c>
      <c r="I23" s="1">
        <v>25</v>
      </c>
      <c r="J23" s="7">
        <v>-8.7248038251472898E-16</v>
      </c>
      <c r="K23" s="1">
        <v>1.44464939553712E-2</v>
      </c>
      <c r="L23" s="1">
        <v>0.47097143400832697</v>
      </c>
      <c r="M23" s="2" t="s">
        <v>6</v>
      </c>
    </row>
    <row r="24" spans="2:13" ht="14.25" customHeight="1" x14ac:dyDescent="0.3">
      <c r="B24" s="1">
        <v>25</v>
      </c>
      <c r="C24" s="6">
        <v>-0.20695192352708799</v>
      </c>
      <c r="D24" s="1">
        <v>1.43855177235506</v>
      </c>
      <c r="E24" s="1">
        <v>15.295</v>
      </c>
      <c r="F24" s="1">
        <v>85.975580374633196</v>
      </c>
      <c r="G24" s="1" t="s">
        <v>7</v>
      </c>
      <c r="I24" s="1">
        <v>25</v>
      </c>
      <c r="J24" s="7">
        <v>-0.221815573514411</v>
      </c>
      <c r="K24" s="1">
        <v>18.984646678482299</v>
      </c>
      <c r="L24" s="1">
        <v>57.726396999507799</v>
      </c>
      <c r="M24" s="1" t="s">
        <v>7</v>
      </c>
    </row>
    <row r="25" spans="2:13" ht="14.25" customHeight="1" x14ac:dyDescent="0.3">
      <c r="B25" s="1">
        <v>25</v>
      </c>
      <c r="C25" s="6">
        <v>-1.79783836396972E-15</v>
      </c>
      <c r="D25" s="1">
        <v>1.47289957481923E-2</v>
      </c>
      <c r="E25" s="1">
        <v>0.49</v>
      </c>
      <c r="F25" s="1">
        <v>0.41522272975892399</v>
      </c>
      <c r="G25" s="1" t="s">
        <v>8</v>
      </c>
      <c r="I25" s="1">
        <v>25</v>
      </c>
      <c r="J25" s="7">
        <v>-1.7978383639697401E-15</v>
      </c>
      <c r="K25" s="1">
        <v>1.48391744229545E-2</v>
      </c>
      <c r="L25" s="1">
        <v>0.41522272975892399</v>
      </c>
      <c r="M25" s="1" t="s">
        <v>8</v>
      </c>
    </row>
    <row r="26" spans="2:13" ht="14.25" customHeight="1" x14ac:dyDescent="0.3">
      <c r="B26" s="1">
        <v>25</v>
      </c>
      <c r="C26" s="6">
        <v>-1.0348964619208301</v>
      </c>
      <c r="D26" s="1">
        <v>4.3504860523494404</v>
      </c>
      <c r="E26" s="1">
        <v>1.9470000000000001</v>
      </c>
      <c r="F26" s="1">
        <v>89.246932498893599</v>
      </c>
      <c r="G26" s="1" t="s">
        <v>9</v>
      </c>
      <c r="I26" s="1">
        <v>25</v>
      </c>
      <c r="J26" s="7">
        <v>-1.04087987005386</v>
      </c>
      <c r="K26" s="1">
        <v>6.3529348208576</v>
      </c>
      <c r="L26" s="1">
        <v>78.994694299021702</v>
      </c>
      <c r="M26" s="1" t="s">
        <v>9</v>
      </c>
    </row>
    <row r="27" spans="2:13" ht="14.25" customHeight="1" x14ac:dyDescent="0.3">
      <c r="B27" s="1">
        <v>30</v>
      </c>
      <c r="C27" s="6">
        <v>-5.1675835328007599E-16</v>
      </c>
      <c r="D27" s="1">
        <v>1.42049666356682E-2</v>
      </c>
      <c r="E27" s="1">
        <v>4.5999999999999999E-2</v>
      </c>
      <c r="F27" s="1">
        <v>0.26385270257397497</v>
      </c>
      <c r="G27" s="2" t="s">
        <v>6</v>
      </c>
      <c r="I27" s="1">
        <v>30</v>
      </c>
      <c r="J27" s="7">
        <v>-5.1675835328007303E-16</v>
      </c>
      <c r="K27" s="1">
        <v>1.42049666356682E-2</v>
      </c>
      <c r="L27" s="1">
        <v>0.26385270257397497</v>
      </c>
      <c r="M27" s="2" t="s">
        <v>6</v>
      </c>
    </row>
    <row r="28" spans="2:13" ht="14.25" customHeight="1" x14ac:dyDescent="0.3">
      <c r="B28" s="1">
        <v>30</v>
      </c>
      <c r="C28" s="6">
        <v>-0.19000604974465299</v>
      </c>
      <c r="D28" s="1">
        <v>1.91138120339743</v>
      </c>
      <c r="E28" s="1">
        <v>17.015000000000001</v>
      </c>
      <c r="F28" s="1">
        <v>88.927946420290198</v>
      </c>
      <c r="G28" s="1" t="s">
        <v>7</v>
      </c>
      <c r="I28" s="1">
        <v>30</v>
      </c>
      <c r="J28" s="7">
        <v>-0.20860396822795299</v>
      </c>
      <c r="K28" s="1">
        <v>23.0569614196571</v>
      </c>
      <c r="L28" s="1">
        <v>56.301981255161998</v>
      </c>
      <c r="M28" s="1" t="s">
        <v>7</v>
      </c>
    </row>
    <row r="29" spans="2:13" ht="14.25" customHeight="1" x14ac:dyDescent="0.3">
      <c r="B29" s="1">
        <v>30</v>
      </c>
      <c r="C29" s="6">
        <v>-1.0335167065601699E-15</v>
      </c>
      <c r="D29" s="1">
        <v>1.44813830355399E-2</v>
      </c>
      <c r="E29" s="1">
        <v>0.49099999999999999</v>
      </c>
      <c r="F29" s="1">
        <v>0.18382368484483</v>
      </c>
      <c r="G29" s="1" t="s">
        <v>8</v>
      </c>
      <c r="I29" s="1">
        <v>30</v>
      </c>
      <c r="J29" s="7">
        <v>-1.03351670656015E-15</v>
      </c>
      <c r="K29" s="1">
        <v>1.44813830355399E-2</v>
      </c>
      <c r="L29" s="1">
        <v>0.18382368484483</v>
      </c>
      <c r="M29" s="1" t="s">
        <v>8</v>
      </c>
    </row>
    <row r="30" spans="2:13" ht="14.25" customHeight="1" x14ac:dyDescent="0.3">
      <c r="B30" s="1">
        <v>30</v>
      </c>
      <c r="C30" s="6">
        <v>-0.95181986289207399</v>
      </c>
      <c r="D30" s="1">
        <v>3.8131571012740499</v>
      </c>
      <c r="E30" s="1">
        <v>4.3470000000000004</v>
      </c>
      <c r="F30" s="1">
        <v>88.332723077619306</v>
      </c>
      <c r="G30" s="1" t="s">
        <v>9</v>
      </c>
      <c r="I30" s="1">
        <v>30</v>
      </c>
      <c r="J30" s="7">
        <v>-0.96374901288130299</v>
      </c>
      <c r="K30" s="1">
        <v>8.2078025405766208</v>
      </c>
      <c r="L30" s="1">
        <v>74.295567935292794</v>
      </c>
      <c r="M30" s="1" t="s">
        <v>9</v>
      </c>
    </row>
    <row r="31" spans="2:13" ht="14.25" customHeight="1" x14ac:dyDescent="0.3"/>
    <row r="32" spans="2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spans="4:23" ht="14.25" customHeight="1" x14ac:dyDescent="0.3"/>
    <row r="82" spans="4:23" ht="14.25" customHeight="1" x14ac:dyDescent="0.3"/>
    <row r="83" spans="4:23" ht="14.25" customHeight="1" x14ac:dyDescent="0.3"/>
    <row r="84" spans="4:23" ht="14.25" customHeight="1" x14ac:dyDescent="0.3"/>
    <row r="85" spans="4:23" ht="14.25" customHeight="1" x14ac:dyDescent="0.3"/>
    <row r="86" spans="4:23" ht="14.25" customHeight="1" x14ac:dyDescent="0.3"/>
    <row r="87" spans="4:23" ht="14.25" customHeight="1" x14ac:dyDescent="0.3">
      <c r="D87" s="1">
        <v>-90</v>
      </c>
      <c r="E87" s="1">
        <v>-80</v>
      </c>
      <c r="F87" s="1">
        <v>-70</v>
      </c>
      <c r="G87" s="1">
        <v>-60</v>
      </c>
      <c r="H87" s="1">
        <v>-50</v>
      </c>
      <c r="I87" s="1">
        <v>-40</v>
      </c>
      <c r="N87" s="1">
        <v>20</v>
      </c>
      <c r="O87" s="1">
        <v>30</v>
      </c>
      <c r="P87" s="1">
        <v>40</v>
      </c>
      <c r="Q87" s="1">
        <v>50</v>
      </c>
      <c r="R87" s="1">
        <v>60</v>
      </c>
      <c r="S87" s="1">
        <v>70</v>
      </c>
      <c r="T87" s="1">
        <v>80</v>
      </c>
      <c r="U87" s="1">
        <v>90</v>
      </c>
    </row>
    <row r="88" spans="4:23" ht="14.25" customHeight="1" x14ac:dyDescent="0.3">
      <c r="D88" s="1">
        <v>-100</v>
      </c>
      <c r="E88" s="1">
        <v>-90</v>
      </c>
      <c r="F88" s="1">
        <v>-80</v>
      </c>
      <c r="G88" s="1">
        <v>-70</v>
      </c>
      <c r="H88" s="1">
        <v>-60</v>
      </c>
      <c r="I88" s="1">
        <v>-50</v>
      </c>
      <c r="J88" s="1">
        <v>-40</v>
      </c>
      <c r="K88" s="1">
        <v>-30</v>
      </c>
      <c r="L88" s="1">
        <v>-20</v>
      </c>
      <c r="M88" s="1">
        <v>-10</v>
      </c>
      <c r="N88" s="1">
        <v>10</v>
      </c>
      <c r="O88" s="1">
        <v>20</v>
      </c>
      <c r="P88" s="1">
        <v>30</v>
      </c>
      <c r="Q88" s="1">
        <v>40</v>
      </c>
      <c r="R88" s="1">
        <v>50</v>
      </c>
      <c r="S88" s="1">
        <v>60</v>
      </c>
      <c r="T88" s="1">
        <v>70</v>
      </c>
      <c r="U88" s="1">
        <v>80</v>
      </c>
      <c r="V88" s="1">
        <v>90</v>
      </c>
      <c r="W88" s="1">
        <v>100</v>
      </c>
    </row>
    <row r="89" spans="4:23" ht="14.25" customHeight="1" x14ac:dyDescent="0.3"/>
    <row r="90" spans="4:23" ht="14.25" customHeight="1" x14ac:dyDescent="0.3"/>
    <row r="91" spans="4:23" ht="14.25" customHeight="1" x14ac:dyDescent="0.3"/>
    <row r="92" spans="4:23" ht="14.25" customHeight="1" x14ac:dyDescent="0.3"/>
    <row r="93" spans="4:23" ht="14.25" customHeight="1" x14ac:dyDescent="0.3"/>
    <row r="94" spans="4:23" ht="14.25" customHeight="1" x14ac:dyDescent="0.3"/>
    <row r="95" spans="4:23" ht="14.25" customHeight="1" x14ac:dyDescent="0.3"/>
    <row r="96" spans="4:23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1:G1"/>
    <mergeCell ref="I1:M1"/>
  </mergeCells>
  <conditionalFormatting sqref="F3:F82">
    <cfRule type="colorScale" priority="1">
      <colorScale>
        <cfvo type="min"/>
        <cfvo type="max"/>
        <color rgb="FFFCFCFF"/>
        <color rgb="FF88CE9A"/>
      </colorScale>
    </cfRule>
  </conditionalFormatting>
  <conditionalFormatting sqref="L3:L82">
    <cfRule type="colorScale" priority="2">
      <colorScale>
        <cfvo type="min"/>
        <cfvo type="max"/>
        <color rgb="FFFCFCFF"/>
        <color rgb="FF88CE9A"/>
      </colorScale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E598"/>
  </sheetPr>
  <dimension ref="A1:T1000"/>
  <sheetViews>
    <sheetView tabSelected="1" topLeftCell="A28" workbookViewId="0">
      <selection activeCell="D39" sqref="D39"/>
    </sheetView>
  </sheetViews>
  <sheetFormatPr defaultColWidth="14.44140625" defaultRowHeight="15" customHeight="1" x14ac:dyDescent="0.3"/>
  <cols>
    <col min="1" max="2" width="8.6640625" customWidth="1"/>
    <col min="3" max="3" width="12" customWidth="1"/>
    <col min="4" max="4" width="14" customWidth="1"/>
    <col min="5" max="5" width="12.6640625" customWidth="1"/>
    <col min="6" max="6" width="8.6640625" customWidth="1"/>
    <col min="7" max="8" width="13.33203125" customWidth="1"/>
    <col min="9" max="10" width="14" customWidth="1"/>
    <col min="11" max="26" width="8.6640625" customWidth="1"/>
  </cols>
  <sheetData>
    <row r="1" spans="2:13" ht="14.25" customHeight="1" x14ac:dyDescent="0.3"/>
    <row r="2" spans="2:13" ht="14.25" customHeight="1" x14ac:dyDescent="0.3">
      <c r="C2" s="1" t="s">
        <v>10</v>
      </c>
      <c r="D2" s="1" t="s">
        <v>11</v>
      </c>
      <c r="E2" s="1" t="s">
        <v>12</v>
      </c>
      <c r="F2" s="1" t="s">
        <v>13</v>
      </c>
    </row>
    <row r="3" spans="2:13" ht="14.25" customHeight="1" x14ac:dyDescent="0.3">
      <c r="B3" s="1" t="s">
        <v>14</v>
      </c>
      <c r="C3" s="8" t="s">
        <v>15</v>
      </c>
      <c r="D3" s="8" t="s">
        <v>15</v>
      </c>
      <c r="E3" s="8" t="s">
        <v>15</v>
      </c>
      <c r="F3" s="8" t="s">
        <v>15</v>
      </c>
    </row>
    <row r="4" spans="2:13" ht="14.25" customHeight="1" x14ac:dyDescent="0.3">
      <c r="B4" s="1" t="s">
        <v>16</v>
      </c>
      <c r="C4" s="8" t="s">
        <v>17</v>
      </c>
      <c r="D4" s="8" t="s">
        <v>15</v>
      </c>
      <c r="E4" s="8" t="s">
        <v>15</v>
      </c>
      <c r="F4" s="8" t="s">
        <v>15</v>
      </c>
    </row>
    <row r="5" spans="2:13" ht="14.25" customHeight="1" x14ac:dyDescent="0.3">
      <c r="B5" s="1" t="s">
        <v>18</v>
      </c>
      <c r="C5" s="8" t="s">
        <v>15</v>
      </c>
      <c r="D5" s="8" t="s">
        <v>15</v>
      </c>
      <c r="E5" s="8" t="s">
        <v>15</v>
      </c>
      <c r="F5" s="8" t="s">
        <v>15</v>
      </c>
    </row>
    <row r="6" spans="2:13" ht="14.25" customHeight="1" x14ac:dyDescent="0.3">
      <c r="B6" s="1" t="s">
        <v>19</v>
      </c>
      <c r="C6" s="8" t="s">
        <v>17</v>
      </c>
      <c r="D6" s="8" t="s">
        <v>15</v>
      </c>
      <c r="E6" s="8" t="s">
        <v>17</v>
      </c>
      <c r="F6" s="8" t="s">
        <v>15</v>
      </c>
    </row>
    <row r="7" spans="2:13" ht="14.25" customHeight="1" x14ac:dyDescent="0.3">
      <c r="B7" s="1" t="s">
        <v>20</v>
      </c>
      <c r="C7" s="8" t="s">
        <v>15</v>
      </c>
      <c r="D7" s="8" t="s">
        <v>15</v>
      </c>
      <c r="E7" s="8" t="s">
        <v>15</v>
      </c>
      <c r="F7" s="8" t="s">
        <v>15</v>
      </c>
    </row>
    <row r="8" spans="2:13" ht="14.25" customHeight="1" x14ac:dyDescent="0.3">
      <c r="B8" s="1" t="s">
        <v>21</v>
      </c>
      <c r="C8" s="8" t="s">
        <v>17</v>
      </c>
      <c r="D8" s="8" t="s">
        <v>15</v>
      </c>
      <c r="E8" s="8" t="s">
        <v>15</v>
      </c>
      <c r="F8" s="8" t="s">
        <v>15</v>
      </c>
    </row>
    <row r="9" spans="2:13" ht="14.25" customHeight="1" x14ac:dyDescent="0.3">
      <c r="B9" s="1" t="s">
        <v>22</v>
      </c>
      <c r="C9" s="8" t="s">
        <v>15</v>
      </c>
      <c r="D9" s="8" t="s">
        <v>15</v>
      </c>
      <c r="E9" s="8" t="s">
        <v>15</v>
      </c>
      <c r="F9" s="8" t="s">
        <v>15</v>
      </c>
    </row>
    <row r="10" spans="2:13" ht="14.25" customHeight="1" x14ac:dyDescent="0.3">
      <c r="B10" s="1" t="s">
        <v>23</v>
      </c>
      <c r="C10" s="8" t="s">
        <v>17</v>
      </c>
      <c r="D10" s="8" t="s">
        <v>15</v>
      </c>
      <c r="E10" s="8" t="s">
        <v>17</v>
      </c>
      <c r="F10" s="8" t="s">
        <v>15</v>
      </c>
    </row>
    <row r="11" spans="2:13" ht="14.25" customHeight="1" x14ac:dyDescent="0.3">
      <c r="J11" s="1">
        <v>385</v>
      </c>
      <c r="K11" s="1">
        <v>400</v>
      </c>
      <c r="L11" s="1">
        <v>560</v>
      </c>
      <c r="M11" s="1">
        <v>340</v>
      </c>
    </row>
    <row r="12" spans="2:13" ht="14.25" customHeight="1" x14ac:dyDescent="0.3"/>
    <row r="13" spans="2:13" ht="14.25" customHeight="1" x14ac:dyDescent="0.3">
      <c r="B13" s="8" t="s">
        <v>5</v>
      </c>
      <c r="C13" s="1" t="s">
        <v>10</v>
      </c>
      <c r="D13" s="1" t="s">
        <v>11</v>
      </c>
      <c r="E13" s="1" t="s">
        <v>12</v>
      </c>
      <c r="F13" s="1" t="s">
        <v>13</v>
      </c>
      <c r="I13" s="8" t="s">
        <v>24</v>
      </c>
      <c r="J13" s="1" t="s">
        <v>10</v>
      </c>
      <c r="K13" s="1" t="s">
        <v>11</v>
      </c>
      <c r="L13" s="1" t="s">
        <v>12</v>
      </c>
      <c r="M13" s="1" t="s">
        <v>13</v>
      </c>
    </row>
    <row r="14" spans="2:13" ht="14.25" customHeight="1" x14ac:dyDescent="0.3">
      <c r="B14" s="1" t="s">
        <v>14</v>
      </c>
      <c r="C14" s="8">
        <v>0.68959596459790995</v>
      </c>
      <c r="D14" s="8">
        <v>0.2762277112511492</v>
      </c>
      <c r="E14" s="8">
        <v>0.34685383587235008</v>
      </c>
      <c r="F14" s="8">
        <v>0.16285310035229728</v>
      </c>
      <c r="I14" s="1" t="s">
        <v>14</v>
      </c>
      <c r="J14" s="8">
        <f t="shared" ref="J14:J21" si="0">C14*$J$11%</f>
        <v>2.6549444637019533</v>
      </c>
      <c r="K14" s="8">
        <f t="shared" ref="K14:K21" si="1">D14*$K$11%</f>
        <v>1.1049108450045968</v>
      </c>
      <c r="L14" s="8">
        <f t="shared" ref="L14:L21" si="2">E14*$L$11%</f>
        <v>1.9423814808851603</v>
      </c>
      <c r="M14" s="8">
        <f t="shared" ref="M14:M21" si="3">F14*$M$11%</f>
        <v>0.55370054119781076</v>
      </c>
    </row>
    <row r="15" spans="2:13" ht="14.25" customHeight="1" x14ac:dyDescent="0.3">
      <c r="B15" s="1" t="s">
        <v>16</v>
      </c>
      <c r="C15" s="9">
        <v>0</v>
      </c>
      <c r="D15" s="8">
        <v>0.44527171544842781</v>
      </c>
      <c r="E15" s="8">
        <v>0.84125897381566828</v>
      </c>
      <c r="F15" s="8">
        <v>0.26251486149422509</v>
      </c>
      <c r="I15" s="1" t="s">
        <v>16</v>
      </c>
      <c r="J15" s="8">
        <f t="shared" si="0"/>
        <v>0</v>
      </c>
      <c r="K15" s="8">
        <f t="shared" si="1"/>
        <v>1.7810868617937112</v>
      </c>
      <c r="L15" s="8">
        <f t="shared" si="2"/>
        <v>4.7110502533677421</v>
      </c>
      <c r="M15" s="8">
        <f t="shared" si="3"/>
        <v>0.89255052908036525</v>
      </c>
    </row>
    <row r="16" spans="2:13" ht="14.25" customHeight="1" x14ac:dyDescent="0.3">
      <c r="B16" s="1" t="s">
        <v>18</v>
      </c>
      <c r="C16" s="8">
        <v>1.9078066328046879</v>
      </c>
      <c r="D16" s="8">
        <v>0.47591830013318509</v>
      </c>
      <c r="E16" s="8">
        <v>0.59760147602626623</v>
      </c>
      <c r="F16" s="8">
        <v>0.28058289423618132</v>
      </c>
      <c r="I16" s="1" t="s">
        <v>18</v>
      </c>
      <c r="J16" s="8">
        <f t="shared" si="0"/>
        <v>7.3450555362980481</v>
      </c>
      <c r="K16" s="8">
        <f t="shared" si="1"/>
        <v>1.9036732005327404</v>
      </c>
      <c r="L16" s="8">
        <f t="shared" si="2"/>
        <v>3.3465682657470905</v>
      </c>
      <c r="M16" s="8">
        <f t="shared" si="3"/>
        <v>0.95398184040301648</v>
      </c>
    </row>
    <row r="17" spans="2:13" ht="14.25" customHeight="1" x14ac:dyDescent="0.3">
      <c r="B17" s="1" t="s">
        <v>19</v>
      </c>
      <c r="C17" s="9">
        <v>8.7052505726812594E-16</v>
      </c>
      <c r="D17" s="8">
        <v>1.1055149700083751</v>
      </c>
      <c r="E17" s="9">
        <v>-1.1941275174558583E-15</v>
      </c>
      <c r="F17" s="8">
        <v>2.2352256145055325</v>
      </c>
      <c r="I17" s="1" t="s">
        <v>19</v>
      </c>
      <c r="J17" s="8">
        <f t="shared" si="0"/>
        <v>3.3515214704822849E-15</v>
      </c>
      <c r="K17" s="8">
        <f t="shared" si="1"/>
        <v>4.4220598800335003</v>
      </c>
      <c r="L17" s="8">
        <f t="shared" si="2"/>
        <v>-6.6871140977528058E-15</v>
      </c>
      <c r="M17" s="8">
        <f t="shared" si="3"/>
        <v>7.5997670893188101</v>
      </c>
    </row>
    <row r="18" spans="2:13" ht="14.25" customHeight="1" x14ac:dyDescent="0.3">
      <c r="B18" s="1" t="s">
        <v>20</v>
      </c>
      <c r="C18" s="8">
        <v>5.1968865833659192</v>
      </c>
      <c r="D18" s="8">
        <v>0.45248502647551192</v>
      </c>
      <c r="E18" s="8">
        <v>0.56817676400734407</v>
      </c>
      <c r="F18" s="8">
        <v>0.26676754873999681</v>
      </c>
      <c r="I18" s="1" t="s">
        <v>20</v>
      </c>
      <c r="J18" s="8">
        <f t="shared" si="0"/>
        <v>20.008013345958791</v>
      </c>
      <c r="K18" s="8">
        <f t="shared" si="1"/>
        <v>1.8099401059020477</v>
      </c>
      <c r="L18" s="8">
        <f t="shared" si="2"/>
        <v>3.1817898784411267</v>
      </c>
      <c r="M18" s="8">
        <f t="shared" si="3"/>
        <v>0.90700966571598907</v>
      </c>
    </row>
    <row r="19" spans="2:13" ht="14.25" customHeight="1" x14ac:dyDescent="0.3">
      <c r="B19" s="1" t="s">
        <v>21</v>
      </c>
      <c r="C19" s="9">
        <v>2.9597851947116283E-15</v>
      </c>
      <c r="D19" s="8">
        <v>5.8918176294132394</v>
      </c>
      <c r="E19" s="8">
        <v>0.90088393576178194</v>
      </c>
      <c r="F19" s="8">
        <v>1.9022179329945541</v>
      </c>
      <c r="I19" s="1" t="s">
        <v>21</v>
      </c>
      <c r="J19" s="8">
        <f t="shared" si="0"/>
        <v>1.1395172999639769E-14</v>
      </c>
      <c r="K19" s="8">
        <f t="shared" si="1"/>
        <v>23.567270517652958</v>
      </c>
      <c r="L19" s="8">
        <f t="shared" si="2"/>
        <v>5.0449500402659782</v>
      </c>
      <c r="M19" s="8">
        <f t="shared" si="3"/>
        <v>6.4675409721814834</v>
      </c>
    </row>
    <row r="20" spans="2:13" ht="14.25" customHeight="1" x14ac:dyDescent="0.3">
      <c r="B20" s="1" t="s">
        <v>22</v>
      </c>
      <c r="C20" s="8">
        <v>-0.59634090873352597</v>
      </c>
      <c r="D20" s="8">
        <v>-1.152362736080444</v>
      </c>
      <c r="E20" s="8">
        <v>-3.3891305016503459</v>
      </c>
      <c r="F20" s="8">
        <v>-0.67938818828544589</v>
      </c>
      <c r="I20" s="1" t="s">
        <v>22</v>
      </c>
      <c r="J20" s="8">
        <f t="shared" si="0"/>
        <v>-2.2959124986240749</v>
      </c>
      <c r="K20" s="8">
        <f t="shared" si="1"/>
        <v>-4.6094509443217762</v>
      </c>
      <c r="L20" s="8">
        <f t="shared" si="2"/>
        <v>-18.979130809241937</v>
      </c>
      <c r="M20" s="8">
        <f t="shared" si="3"/>
        <v>-2.3099198401705161</v>
      </c>
    </row>
    <row r="21" spans="2:13" ht="14.25" customHeight="1" x14ac:dyDescent="0.3">
      <c r="B21" s="1" t="s">
        <v>23</v>
      </c>
      <c r="C21" s="9">
        <v>0</v>
      </c>
      <c r="D21" s="8">
        <v>-0.2038912632467822</v>
      </c>
      <c r="E21" s="9">
        <v>-4.0600335593499178E-15</v>
      </c>
      <c r="F21" s="8">
        <v>-1.2139141739438979</v>
      </c>
      <c r="I21" s="1" t="s">
        <v>23</v>
      </c>
      <c r="J21" s="8">
        <f t="shared" si="0"/>
        <v>0</v>
      </c>
      <c r="K21" s="8">
        <f t="shared" si="1"/>
        <v>-0.81556505298712878</v>
      </c>
      <c r="L21" s="8">
        <f t="shared" si="2"/>
        <v>-2.2736187932359539E-14</v>
      </c>
      <c r="M21" s="8">
        <f t="shared" si="3"/>
        <v>-4.1273081914092531</v>
      </c>
    </row>
    <row r="22" spans="2:13" ht="14.25" customHeight="1" x14ac:dyDescent="0.3"/>
    <row r="23" spans="2:13" ht="14.25" customHeight="1" x14ac:dyDescent="0.3">
      <c r="B23" s="10"/>
      <c r="C23" s="10"/>
      <c r="D23" s="10"/>
      <c r="E23" s="10"/>
      <c r="F23" s="10"/>
      <c r="G23" s="10"/>
      <c r="H23" s="10"/>
      <c r="I23" s="10"/>
      <c r="J23" s="10"/>
    </row>
    <row r="24" spans="2:13" ht="14.25" customHeight="1" x14ac:dyDescent="0.3">
      <c r="B24" s="11" t="s">
        <v>5</v>
      </c>
      <c r="C24" s="10" t="s">
        <v>14</v>
      </c>
      <c r="D24" s="10" t="s">
        <v>16</v>
      </c>
      <c r="E24" s="10" t="s">
        <v>18</v>
      </c>
      <c r="F24" s="10" t="s">
        <v>19</v>
      </c>
      <c r="G24" s="10" t="s">
        <v>20</v>
      </c>
      <c r="H24" s="10" t="s">
        <v>21</v>
      </c>
      <c r="I24" s="10" t="s">
        <v>22</v>
      </c>
      <c r="J24" s="10" t="s">
        <v>23</v>
      </c>
    </row>
    <row r="25" spans="2:13" ht="14.25" customHeight="1" x14ac:dyDescent="0.3">
      <c r="B25" s="10" t="s">
        <v>10</v>
      </c>
      <c r="C25" s="11">
        <v>0.68959596459790995</v>
      </c>
      <c r="D25" s="11">
        <v>0</v>
      </c>
      <c r="E25" s="11">
        <v>1.9078066328046879</v>
      </c>
      <c r="F25" s="11">
        <v>8.7052505726812594E-16</v>
      </c>
      <c r="G25" s="11">
        <v>5.1968865833659192</v>
      </c>
      <c r="H25" s="11">
        <v>2.9597851947116283E-15</v>
      </c>
      <c r="I25" s="11">
        <v>-0.59634090873352597</v>
      </c>
      <c r="J25" s="11">
        <v>0</v>
      </c>
    </row>
    <row r="26" spans="2:13" ht="14.25" customHeight="1" x14ac:dyDescent="0.3">
      <c r="B26" s="10" t="s">
        <v>11</v>
      </c>
      <c r="C26" s="11">
        <v>0.2762277112511492</v>
      </c>
      <c r="D26" s="11">
        <v>0.44527171544842781</v>
      </c>
      <c r="E26" s="11">
        <v>0.47591830013318509</v>
      </c>
      <c r="F26" s="11">
        <v>1.1055149700083751</v>
      </c>
      <c r="G26" s="11">
        <v>0.45248502647551192</v>
      </c>
      <c r="H26" s="11">
        <v>5.8918176294132394</v>
      </c>
      <c r="I26" s="11">
        <v>-1.152362736080444</v>
      </c>
      <c r="J26" s="11">
        <v>-0.2038912632467822</v>
      </c>
    </row>
    <row r="27" spans="2:13" ht="14.25" customHeight="1" x14ac:dyDescent="0.3">
      <c r="B27" s="10" t="s">
        <v>12</v>
      </c>
      <c r="C27" s="11">
        <v>0.34685383587235008</v>
      </c>
      <c r="D27" s="11">
        <v>0.84125897381566828</v>
      </c>
      <c r="E27" s="11">
        <v>0.59760147602626623</v>
      </c>
      <c r="F27" s="11">
        <v>-1.1941275174558583E-15</v>
      </c>
      <c r="G27" s="11">
        <v>0.56817676400734407</v>
      </c>
      <c r="H27" s="11">
        <v>0.90088393576178194</v>
      </c>
      <c r="I27" s="11">
        <v>-3.3891305016503459</v>
      </c>
      <c r="J27" s="11">
        <v>-4.0600335593499178E-15</v>
      </c>
    </row>
    <row r="28" spans="2:13" ht="14.25" customHeight="1" x14ac:dyDescent="0.3">
      <c r="B28" s="10" t="s">
        <v>13</v>
      </c>
      <c r="C28" s="11">
        <v>0.16285310035229728</v>
      </c>
      <c r="D28" s="11">
        <v>0.26251486149422509</v>
      </c>
      <c r="E28" s="11">
        <v>0.28058289423618132</v>
      </c>
      <c r="F28" s="11">
        <v>2.2352256145055325</v>
      </c>
      <c r="G28" s="11">
        <v>0.26676754873999681</v>
      </c>
      <c r="H28" s="11">
        <v>1.9022179329945541</v>
      </c>
      <c r="I28" s="11">
        <v>-0.67938818828544589</v>
      </c>
      <c r="J28" s="11">
        <v>-1.2139141739438979</v>
      </c>
    </row>
    <row r="29" spans="2:13" ht="14.25" customHeight="1" x14ac:dyDescent="0.3">
      <c r="B29" s="12" t="s">
        <v>25</v>
      </c>
      <c r="C29" s="12"/>
      <c r="D29" s="12"/>
      <c r="E29" s="12"/>
      <c r="F29" s="12"/>
      <c r="G29" s="12"/>
      <c r="H29" s="12"/>
      <c r="I29" s="12"/>
      <c r="J29" s="12"/>
    </row>
    <row r="30" spans="2:13" ht="14.25" customHeight="1" x14ac:dyDescent="0.3">
      <c r="B30" s="13" t="s">
        <v>5</v>
      </c>
      <c r="C30" s="12" t="s">
        <v>14</v>
      </c>
      <c r="D30" s="12" t="s">
        <v>16</v>
      </c>
      <c r="E30" s="12" t="s">
        <v>18</v>
      </c>
      <c r="F30" s="12" t="s">
        <v>19</v>
      </c>
      <c r="G30" s="12" t="s">
        <v>20</v>
      </c>
      <c r="H30" s="12" t="s">
        <v>21</v>
      </c>
      <c r="I30" s="12" t="s">
        <v>22</v>
      </c>
      <c r="J30" s="12" t="s">
        <v>23</v>
      </c>
    </row>
    <row r="31" spans="2:13" ht="14.25" customHeight="1" x14ac:dyDescent="0.3">
      <c r="B31" s="12" t="s">
        <v>10</v>
      </c>
      <c r="C31" s="12">
        <v>6.8993499999999999E-2</v>
      </c>
      <c r="D31" s="12">
        <v>0</v>
      </c>
      <c r="E31" s="12">
        <v>3.81494E-2</v>
      </c>
      <c r="F31" s="12">
        <v>0</v>
      </c>
      <c r="G31" s="12">
        <v>0.76572799999999996</v>
      </c>
      <c r="H31" s="12">
        <v>0</v>
      </c>
      <c r="I31" s="12">
        <v>-0.112064</v>
      </c>
      <c r="J31" s="12">
        <v>0</v>
      </c>
    </row>
    <row r="32" spans="2:13" ht="14.25" customHeight="1" x14ac:dyDescent="0.3">
      <c r="B32" s="12" t="s">
        <v>11</v>
      </c>
      <c r="C32" s="12">
        <v>5.4512600000000001E-2</v>
      </c>
      <c r="D32" s="12">
        <v>1.7580800000000001E-2</v>
      </c>
      <c r="E32" s="12">
        <v>1.8789400000000001E-2</v>
      </c>
      <c r="F32" s="12">
        <v>4.3636399999999999E-2</v>
      </c>
      <c r="G32" s="12">
        <v>0.130047</v>
      </c>
      <c r="H32" s="12">
        <v>12.5101</v>
      </c>
      <c r="I32" s="12">
        <v>-0.248192</v>
      </c>
      <c r="J32" s="12">
        <v>-4.3636399999999999E-2</v>
      </c>
    </row>
    <row r="33" spans="1:20" ht="14.25" customHeight="1" x14ac:dyDescent="0.3">
      <c r="B33" s="12" t="s">
        <v>12</v>
      </c>
      <c r="C33" s="12">
        <v>3.4681200000000002E-2</v>
      </c>
      <c r="D33" s="12">
        <v>1.6824100000000002E-2</v>
      </c>
      <c r="E33" s="12">
        <v>1.1953999999999999E-2</v>
      </c>
      <c r="F33" s="12">
        <v>0</v>
      </c>
      <c r="G33" s="12">
        <v>8.2736599999999993E-2</v>
      </c>
      <c r="H33" s="12">
        <v>0.112516</v>
      </c>
      <c r="I33" s="12">
        <v>-0.28513300000000003</v>
      </c>
      <c r="J33" s="12">
        <v>0</v>
      </c>
    </row>
    <row r="34" spans="1:20" ht="14.25" customHeight="1" x14ac:dyDescent="0.3">
      <c r="B34" s="12" t="s">
        <v>13</v>
      </c>
      <c r="C34" s="12">
        <v>3.45945E-2</v>
      </c>
      <c r="D34" s="12">
        <v>1.1157E-2</v>
      </c>
      <c r="E34" s="12">
        <v>1.19241E-2</v>
      </c>
      <c r="F34" s="12">
        <v>9.5000000000000001E-2</v>
      </c>
      <c r="G34" s="12">
        <v>8.2529699999999998E-2</v>
      </c>
      <c r="H34" s="12">
        <v>0.38469300000000001</v>
      </c>
      <c r="I34" s="12">
        <v>-0.15750600000000001</v>
      </c>
      <c r="J34" s="12">
        <v>-0.22</v>
      </c>
    </row>
    <row r="35" spans="1:20" ht="14.25" customHeight="1" x14ac:dyDescent="0.3"/>
    <row r="36" spans="1:20" ht="14.25" customHeight="1" x14ac:dyDescent="0.3">
      <c r="C36" s="16" t="s">
        <v>32</v>
      </c>
      <c r="D36" s="16" t="s">
        <v>33</v>
      </c>
      <c r="E36" s="16" t="s">
        <v>34</v>
      </c>
      <c r="F36" s="16" t="s">
        <v>35</v>
      </c>
      <c r="G36" s="16" t="s">
        <v>36</v>
      </c>
      <c r="H36" s="16" t="s">
        <v>37</v>
      </c>
      <c r="I36" s="16" t="s">
        <v>38</v>
      </c>
      <c r="J36" s="16" t="s">
        <v>39</v>
      </c>
    </row>
    <row r="37" spans="1:20" ht="14.25" customHeight="1" x14ac:dyDescent="0.3">
      <c r="A37" s="16" t="s">
        <v>26</v>
      </c>
      <c r="C37" s="17">
        <v>6.8993499999999999E-2</v>
      </c>
      <c r="D37" s="17">
        <v>0.76572799999999996</v>
      </c>
      <c r="E37" s="17">
        <v>0</v>
      </c>
      <c r="F37" s="17">
        <v>0</v>
      </c>
      <c r="G37" s="17">
        <v>3.81494E-2</v>
      </c>
      <c r="H37" s="17">
        <v>-0.112064</v>
      </c>
      <c r="I37" s="17">
        <v>0</v>
      </c>
      <c r="J37" s="17">
        <v>0</v>
      </c>
      <c r="L37">
        <f>C42/C37</f>
        <v>10.020692699135658</v>
      </c>
      <c r="M37">
        <f>D42/D37</f>
        <v>27.245478964951658</v>
      </c>
      <c r="N37" t="e">
        <f>E42/E37</f>
        <v>#DIV/0!</v>
      </c>
      <c r="O37" t="e">
        <f>F42/F37</f>
        <v>#DIV/0!</v>
      </c>
      <c r="P37">
        <f>G42/G37</f>
        <v>50.731660791408515</v>
      </c>
      <c r="Q37">
        <f>H42/H37</f>
        <v>23.578066261852872</v>
      </c>
      <c r="R37" t="e">
        <f>I42/I37</f>
        <v>#DIV/0!</v>
      </c>
      <c r="S37" t="e">
        <f>J42/J37</f>
        <v>#DIV/0!</v>
      </c>
    </row>
    <row r="38" spans="1:20" ht="14.25" customHeight="1" x14ac:dyDescent="0.3">
      <c r="C38" s="17">
        <v>5.4512600000000001E-2</v>
      </c>
      <c r="D38" s="17">
        <v>0.130047</v>
      </c>
      <c r="E38" s="17">
        <v>1.7580800000000001E-2</v>
      </c>
      <c r="F38" s="17">
        <v>12.5101</v>
      </c>
      <c r="G38" s="17">
        <v>1.8789400000000001E-2</v>
      </c>
      <c r="H38" s="17">
        <v>-0.248192</v>
      </c>
      <c r="I38" s="17">
        <v>4.3636399999999999E-2</v>
      </c>
      <c r="J38" s="17">
        <v>-4.3636399999999999E-2</v>
      </c>
      <c r="L38">
        <f>C43/C38</f>
        <v>5.0932200997954054</v>
      </c>
      <c r="M38">
        <f>D43/D38</f>
        <v>20.15695936671834</v>
      </c>
      <c r="N38">
        <f>E43/E38</f>
        <v>25.389150386848495</v>
      </c>
      <c r="O38">
        <f>F43/F38</f>
        <v>1.4734121991183762</v>
      </c>
      <c r="P38">
        <f>G43/G38</f>
        <v>25.448248740917379</v>
      </c>
      <c r="Q38">
        <f>H43/H38</f>
        <v>17.418781494884364</v>
      </c>
      <c r="R38">
        <f>I43/I38</f>
        <v>25.627881822022669</v>
      </c>
      <c r="S38">
        <f>J43/J38</f>
        <v>15.802562493536657</v>
      </c>
    </row>
    <row r="39" spans="1:20" ht="14.25" customHeight="1" x14ac:dyDescent="0.3">
      <c r="C39" s="17">
        <v>3.4681200000000002E-2</v>
      </c>
      <c r="D39" s="17">
        <v>8.2736599999999993E-2</v>
      </c>
      <c r="E39" s="17">
        <v>1.6824100000000002E-2</v>
      </c>
      <c r="F39" s="17">
        <v>0.112516</v>
      </c>
      <c r="G39" s="17">
        <v>1.1953999999999999E-2</v>
      </c>
      <c r="H39" s="17">
        <v>-0.28513300000000003</v>
      </c>
      <c r="I39" s="17">
        <v>0</v>
      </c>
      <c r="J39" s="17">
        <v>0</v>
      </c>
      <c r="L39">
        <f>C44/C39</f>
        <v>10.053496115284794</v>
      </c>
      <c r="M39">
        <f>D44/D39</f>
        <v>39.791842694906968</v>
      </c>
      <c r="N39">
        <f>E44/E39</f>
        <v>50.483444006452231</v>
      </c>
      <c r="O39">
        <f>F44/F39</f>
        <v>37.513064994592057</v>
      </c>
      <c r="P39">
        <f>G44/G39</f>
        <v>50.168050363633597</v>
      </c>
      <c r="Q39">
        <f>H44/H39</f>
        <v>39.452732092245718</v>
      </c>
      <c r="R39" t="e">
        <f>I44/I39</f>
        <v>#DIV/0!</v>
      </c>
      <c r="S39" t="e">
        <f>J44/J39</f>
        <v>#DIV/0!</v>
      </c>
    </row>
    <row r="40" spans="1:20" ht="14.25" customHeight="1" x14ac:dyDescent="0.3">
      <c r="C40" s="17">
        <v>3.45945E-2</v>
      </c>
      <c r="D40" s="17">
        <v>8.2529699999999998E-2</v>
      </c>
      <c r="E40" s="17">
        <v>1.1157E-2</v>
      </c>
      <c r="F40" s="17">
        <v>0.38469300000000001</v>
      </c>
      <c r="G40" s="17">
        <v>1.19241E-2</v>
      </c>
      <c r="H40" s="17">
        <v>-0.15750600000000001</v>
      </c>
      <c r="I40" s="17">
        <v>9.5000000000000001E-2</v>
      </c>
      <c r="J40" s="17">
        <v>-0.22</v>
      </c>
      <c r="L40">
        <f>C45/C40</f>
        <v>4.7335195812964779</v>
      </c>
      <c r="M40">
        <f>D45/D40</f>
        <v>18.747904279851014</v>
      </c>
      <c r="N40">
        <f>E45/E40</f>
        <v>23.595917560832483</v>
      </c>
      <c r="O40">
        <f>F45/F40</f>
        <v>17.202610072814011</v>
      </c>
      <c r="P40">
        <f>G45/G40</f>
        <v>23.657464853238732</v>
      </c>
      <c r="Q40">
        <f>H45/H40</f>
        <v>16.188345379832448</v>
      </c>
      <c r="R40">
        <f>I45/I40</f>
        <v>23.581661259023051</v>
      </c>
      <c r="S40">
        <f>J45/J40</f>
        <v>18.029769860463453</v>
      </c>
    </row>
    <row r="41" spans="1:20" ht="14.25" customHeight="1" x14ac:dyDescent="0.3"/>
    <row r="42" spans="1:20" ht="14.25" customHeight="1" x14ac:dyDescent="0.3">
      <c r="A42" s="16" t="s">
        <v>27</v>
      </c>
      <c r="C42" s="19">
        <v>0.69136266173781602</v>
      </c>
      <c r="D42" s="19">
        <v>20.862626116874502</v>
      </c>
      <c r="E42" s="20">
        <v>0</v>
      </c>
      <c r="F42" s="20">
        <v>0</v>
      </c>
      <c r="G42" s="19">
        <v>1.9353824201957599</v>
      </c>
      <c r="H42" s="19">
        <v>-2.64225241756828</v>
      </c>
      <c r="I42" s="20">
        <v>0</v>
      </c>
      <c r="J42" s="20">
        <v>0</v>
      </c>
      <c r="K42" s="19"/>
      <c r="L42" s="19">
        <v>0.26617462476905901</v>
      </c>
      <c r="M42" s="19">
        <v>8.0321110549966601</v>
      </c>
      <c r="N42" s="20">
        <v>-7.5433542828333802E-13</v>
      </c>
      <c r="O42" s="20">
        <v>2.86580138943191E-12</v>
      </c>
      <c r="P42" s="19">
        <v>0.74512223177536896</v>
      </c>
      <c r="Q42" s="19">
        <v>-1.0172671807637901</v>
      </c>
      <c r="R42" s="20">
        <v>1.8541261623303201E-13</v>
      </c>
      <c r="S42" s="20">
        <v>5.7045467512710798E-12</v>
      </c>
      <c r="T42" s="16" t="s">
        <v>27</v>
      </c>
    </row>
    <row r="43" spans="1:20" ht="14.25" customHeight="1" x14ac:dyDescent="0.3">
      <c r="A43" s="16" t="s">
        <v>5</v>
      </c>
      <c r="C43" s="19">
        <v>0.27764467001210702</v>
      </c>
      <c r="D43" s="19">
        <v>2.62135209476362</v>
      </c>
      <c r="E43" s="19">
        <v>0.44636157512110602</v>
      </c>
      <c r="F43" s="19">
        <v>18.432533952190798</v>
      </c>
      <c r="G43" s="19">
        <v>0.47815732489259299</v>
      </c>
      <c r="H43" s="19">
        <v>-4.3232022167783404</v>
      </c>
      <c r="I43" s="19">
        <v>1.11830850233851</v>
      </c>
      <c r="J43" s="19">
        <v>-0.68956693799296298</v>
      </c>
      <c r="K43" s="19"/>
      <c r="L43" s="19">
        <v>0.11105786800484301</v>
      </c>
      <c r="M43" s="19">
        <v>1.0485408379054499</v>
      </c>
      <c r="N43" s="19">
        <v>0.17854463004844201</v>
      </c>
      <c r="O43" s="19">
        <v>7.3730135808763304</v>
      </c>
      <c r="P43" s="19">
        <v>0.191262929957037</v>
      </c>
      <c r="Q43" s="19">
        <v>-1.7292808867113401</v>
      </c>
      <c r="R43" s="19">
        <v>0.44732340093540202</v>
      </c>
      <c r="S43" s="19">
        <v>-0.27582677519718501</v>
      </c>
      <c r="T43" s="16" t="s">
        <v>30</v>
      </c>
    </row>
    <row r="44" spans="1:20" ht="14.25" customHeight="1" x14ac:dyDescent="0.3">
      <c r="C44" s="19">
        <v>0.34866730947341501</v>
      </c>
      <c r="D44" s="19">
        <v>3.2922417723114399</v>
      </c>
      <c r="E44" s="19">
        <v>0.84933851030895302</v>
      </c>
      <c r="F44" s="19">
        <v>4.2208200209315203</v>
      </c>
      <c r="G44" s="19">
        <v>0.59970887404687601</v>
      </c>
      <c r="H44" s="19">
        <v>-11.249275859658299</v>
      </c>
      <c r="I44" s="20">
        <v>0</v>
      </c>
      <c r="J44" s="20">
        <v>0</v>
      </c>
      <c r="K44" s="19"/>
      <c r="L44" s="19">
        <v>0.195253693305113</v>
      </c>
      <c r="M44" s="19">
        <v>1.8436553924944099</v>
      </c>
      <c r="N44" s="19">
        <v>0.47562956577301402</v>
      </c>
      <c r="O44" s="19">
        <v>2.3636592117216502</v>
      </c>
      <c r="P44" s="19">
        <v>0.33583696946625002</v>
      </c>
      <c r="Q44" s="19">
        <v>-6.2995944814086497</v>
      </c>
      <c r="R44" s="20">
        <v>1.0430171126594501E-12</v>
      </c>
      <c r="S44" s="20">
        <v>3.6544842895758701E-11</v>
      </c>
      <c r="T44" s="16" t="s">
        <v>31</v>
      </c>
    </row>
    <row r="45" spans="1:20" ht="14.25" customHeight="1" x14ac:dyDescent="0.3">
      <c r="C45" s="19">
        <v>0.163753743155161</v>
      </c>
      <c r="D45" s="19">
        <v>1.54725891584482</v>
      </c>
      <c r="E45" s="19">
        <v>0.26325965222620801</v>
      </c>
      <c r="F45" s="19">
        <v>6.6177236767410399</v>
      </c>
      <c r="G45" s="19">
        <v>0.28209397665650399</v>
      </c>
      <c r="H45" s="19">
        <v>-2.5497615273958898</v>
      </c>
      <c r="I45" s="19">
        <v>2.2402578196071898</v>
      </c>
      <c r="J45" s="19">
        <v>-3.9665493693019598</v>
      </c>
      <c r="K45" s="19"/>
      <c r="L45" s="19">
        <v>5.5676272672754802E-2</v>
      </c>
      <c r="M45" s="19">
        <v>0.52606803138724001</v>
      </c>
      <c r="N45" s="19">
        <v>8.9508281756910599E-2</v>
      </c>
      <c r="O45" s="19">
        <v>2.2500260500919498</v>
      </c>
      <c r="P45" s="19">
        <v>9.5911952063211306E-2</v>
      </c>
      <c r="Q45" s="19">
        <v>-0.86691891931460296</v>
      </c>
      <c r="R45" s="19">
        <v>0.76168765866644395</v>
      </c>
      <c r="S45" s="19">
        <v>-1.3486267855626699</v>
      </c>
    </row>
    <row r="46" spans="1:20" ht="14.25" customHeight="1" x14ac:dyDescent="0.3"/>
    <row r="47" spans="1:20" ht="14.25" customHeight="1" x14ac:dyDescent="0.3"/>
    <row r="48" spans="1:20" ht="14.25" customHeight="1" x14ac:dyDescent="0.3">
      <c r="A48" s="16" t="s">
        <v>28</v>
      </c>
      <c r="C48" s="18">
        <v>0.68959596459790995</v>
      </c>
      <c r="D48" s="18">
        <v>5.1968865833659192</v>
      </c>
      <c r="E48" s="18">
        <v>1</v>
      </c>
      <c r="F48" s="18">
        <v>1</v>
      </c>
      <c r="G48" s="18">
        <v>1.9078066328046879</v>
      </c>
      <c r="H48" s="18">
        <v>-0.59634090873352597</v>
      </c>
      <c r="I48" s="18">
        <v>1</v>
      </c>
      <c r="J48" s="18">
        <v>1</v>
      </c>
    </row>
    <row r="49" spans="1:10" ht="14.25" customHeight="1" x14ac:dyDescent="0.3">
      <c r="A49" s="16" t="s">
        <v>29</v>
      </c>
      <c r="C49" s="18">
        <v>0.2762277112511492</v>
      </c>
      <c r="D49" s="18">
        <v>0.45248502647551192</v>
      </c>
      <c r="E49" s="18">
        <v>0.44527171544842781</v>
      </c>
      <c r="F49" s="18">
        <v>5.8918176294132394</v>
      </c>
      <c r="G49" s="18">
        <v>0.47591830013318509</v>
      </c>
      <c r="H49" s="18">
        <v>-1.152362736080444</v>
      </c>
      <c r="I49" s="18">
        <v>1.1055149700083751</v>
      </c>
      <c r="J49" s="18">
        <v>-0.2038912632467822</v>
      </c>
    </row>
    <row r="50" spans="1:10" ht="14.25" customHeight="1" x14ac:dyDescent="0.3">
      <c r="C50" s="18">
        <v>0.34685383587235008</v>
      </c>
      <c r="D50" s="18">
        <v>0.56817676400734407</v>
      </c>
      <c r="E50" s="18">
        <v>0.84125897381566828</v>
      </c>
      <c r="F50" s="18">
        <v>0.90088393576178194</v>
      </c>
      <c r="G50" s="18">
        <v>0.59760147602626623</v>
      </c>
      <c r="H50" s="18">
        <v>-3.3891305016503459</v>
      </c>
      <c r="I50" s="18">
        <v>1</v>
      </c>
      <c r="J50" s="18">
        <v>1</v>
      </c>
    </row>
    <row r="51" spans="1:10" ht="14.25" customHeight="1" x14ac:dyDescent="0.3">
      <c r="C51" s="18">
        <v>0.16285310035229728</v>
      </c>
      <c r="D51" s="18">
        <v>0.26676754873999681</v>
      </c>
      <c r="E51" s="18">
        <v>0.26251486149422509</v>
      </c>
      <c r="F51" s="18">
        <v>1.9022179329945541</v>
      </c>
      <c r="G51" s="18">
        <v>0.28058289423618132</v>
      </c>
      <c r="H51" s="18">
        <v>-0.67938818828544589</v>
      </c>
      <c r="I51" s="18">
        <v>2.2352256145055325</v>
      </c>
      <c r="J51" s="18">
        <v>-1.2139141739438979</v>
      </c>
    </row>
    <row r="52" spans="1:10" ht="14.25" customHeight="1" x14ac:dyDescent="0.3"/>
    <row r="53" spans="1:10" ht="14.25" customHeight="1" x14ac:dyDescent="0.3">
      <c r="C53">
        <f>C42/C48</f>
        <v>1.002561930798038</v>
      </c>
      <c r="D53">
        <f t="shared" ref="D53:J53" si="4">D42/D48</f>
        <v>4.0144470698381483</v>
      </c>
      <c r="E53">
        <f t="shared" si="4"/>
        <v>0</v>
      </c>
      <c r="F53">
        <f t="shared" si="4"/>
        <v>0</v>
      </c>
      <c r="G53">
        <f t="shared" si="4"/>
        <v>1.0144541836247485</v>
      </c>
      <c r="H53">
        <f t="shared" si="4"/>
        <v>4.4307750464071658</v>
      </c>
      <c r="I53">
        <f t="shared" si="4"/>
        <v>0</v>
      </c>
      <c r="J53">
        <f t="shared" si="4"/>
        <v>0</v>
      </c>
    </row>
    <row r="54" spans="1:10" ht="14.25" customHeight="1" x14ac:dyDescent="0.3">
      <c r="C54">
        <f t="shared" ref="C54:J56" si="5">C43/C49</f>
        <v>1.0051296763620849</v>
      </c>
      <c r="D54">
        <f t="shared" si="5"/>
        <v>5.7932350053256076</v>
      </c>
      <c r="E54">
        <f t="shared" si="5"/>
        <v>1.0024476283466166</v>
      </c>
      <c r="F54">
        <f t="shared" si="5"/>
        <v>3.1284970295366179</v>
      </c>
      <c r="G54">
        <f t="shared" si="5"/>
        <v>1.0047046410251115</v>
      </c>
      <c r="H54">
        <f t="shared" si="5"/>
        <v>3.7515984172509258</v>
      </c>
      <c r="I54">
        <f t="shared" si="5"/>
        <v>1.0115724641250565</v>
      </c>
      <c r="J54">
        <f t="shared" si="5"/>
        <v>3.382032790479784</v>
      </c>
    </row>
    <row r="55" spans="1:10" ht="14.25" customHeight="1" x14ac:dyDescent="0.3">
      <c r="C55">
        <f t="shared" si="5"/>
        <v>1.0052283510041167</v>
      </c>
      <c r="D55">
        <f t="shared" si="5"/>
        <v>5.7943970624410914</v>
      </c>
      <c r="E55">
        <f t="shared" si="5"/>
        <v>1.0096041014060613</v>
      </c>
      <c r="F55">
        <f t="shared" si="5"/>
        <v>4.6851984516323082</v>
      </c>
      <c r="G55">
        <f t="shared" si="5"/>
        <v>1.0035264270674544</v>
      </c>
      <c r="H55">
        <f t="shared" si="5"/>
        <v>3.3192218045839295</v>
      </c>
      <c r="I55">
        <f t="shared" si="5"/>
        <v>0</v>
      </c>
      <c r="J55">
        <f t="shared" si="5"/>
        <v>0</v>
      </c>
    </row>
    <row r="56" spans="1:10" ht="14.25" customHeight="1" x14ac:dyDescent="0.3">
      <c r="C56">
        <f t="shared" si="5"/>
        <v>1.0055304001023952</v>
      </c>
      <c r="D56">
        <f t="shared" si="5"/>
        <v>5.8000267392074942</v>
      </c>
      <c r="E56">
        <f t="shared" si="5"/>
        <v>1.0028371374014544</v>
      </c>
      <c r="F56">
        <f t="shared" si="5"/>
        <v>3.478951366168193</v>
      </c>
      <c r="G56">
        <f t="shared" si="5"/>
        <v>1.005385511559556</v>
      </c>
      <c r="H56">
        <f t="shared" si="5"/>
        <v>3.7530259892075191</v>
      </c>
      <c r="I56">
        <f t="shared" si="5"/>
        <v>1.0022513186449729</v>
      </c>
      <c r="J56">
        <f t="shared" si="5"/>
        <v>3.2675698615619568</v>
      </c>
    </row>
    <row r="57" spans="1:10" ht="14.25" customHeight="1" x14ac:dyDescent="0.3"/>
    <row r="58" spans="1:10" ht="14.25" customHeight="1" x14ac:dyDescent="0.3"/>
    <row r="59" spans="1:10" ht="14.25" customHeight="1" x14ac:dyDescent="0.3"/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C3:F10">
    <cfRule type="cellIs" dxfId="2" priority="1" operator="equal">
      <formula>"X"</formula>
    </cfRule>
  </conditionalFormatting>
  <conditionalFormatting sqref="C14:F21 C25:J28">
    <cfRule type="cellIs" dxfId="1" priority="2" operator="equal">
      <formula>"X"</formula>
    </cfRule>
  </conditionalFormatting>
  <conditionalFormatting sqref="J14:M21">
    <cfRule type="cellIs" dxfId="0" priority="3" operator="equal">
      <formula>"X"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th1</vt:lpstr>
      <vt:lpstr>th2</vt:lpstr>
      <vt:lpstr>tc1</vt:lpstr>
      <vt:lpstr>tc2</vt:lpstr>
      <vt:lpstr>fh1</vt:lpstr>
      <vt:lpstr>fh2</vt:lpstr>
      <vt:lpstr>fc1</vt:lpstr>
      <vt:lpstr>fc2</vt:lpstr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dcterms:created xsi:type="dcterms:W3CDTF">2025-03-29T02:31:45Z</dcterms:created>
  <dcterms:modified xsi:type="dcterms:W3CDTF">2025-04-10T03:33:06Z</dcterms:modified>
</cp:coreProperties>
</file>