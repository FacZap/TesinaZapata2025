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Facultad\!PROYECTO\Tesina - Zapata 2025\Diseño\"/>
    </mc:Choice>
  </mc:AlternateContent>
  <xr:revisionPtr revIDLastSave="0" documentId="13_ncr:1_{450E1E0A-0BF8-400B-B236-4D6272DEBEC2}" xr6:coauthVersionLast="47" xr6:coauthVersionMax="47" xr10:uidLastSave="{00000000-0000-0000-0000-000000000000}"/>
  <bookViews>
    <workbookView xWindow="-108" yWindow="-108" windowWidth="23256" windowHeight="12576" firstSheet="15" activeTab="17" xr2:uid="{00000000-000D-0000-FFFF-FFFF00000000}"/>
  </bookViews>
  <sheets>
    <sheet name="Todo en 0" sheetId="1" state="hidden" r:id="rId1"/>
    <sheet name="Todo en 0 Ratio Max-Final th1" sheetId="2" state="hidden" r:id="rId2"/>
    <sheet name="Nominales el resto en 0" sheetId="3" state="hidden" r:id="rId3"/>
    <sheet name="Variar Nominales h112" sheetId="4" state="hidden" r:id="rId4"/>
    <sheet name="Variar Nominales h211" sheetId="5" state="hidden" r:id="rId5"/>
    <sheet name="Variar Nominales h222" sheetId="6" state="hidden" r:id="rId6"/>
    <sheet name="Variar Nominales c112" sheetId="7" state="hidden" r:id="rId7"/>
    <sheet name="Variar Nominales c211" sheetId="8" state="hidden" r:id="rId8"/>
    <sheet name="Variar Nominales c222" sheetId="9" state="hidden" r:id="rId9"/>
    <sheet name="Fits" sheetId="10" state="hidden" r:id="rId10"/>
    <sheet name="cualitativo" sheetId="11" r:id="rId11"/>
    <sheet name="Variar Nominales h112 Update" sheetId="12" r:id="rId12"/>
    <sheet name="Variar Nominales h211 Update" sheetId="13" r:id="rId13"/>
    <sheet name="Variar Nominales h222 Update" sheetId="14" r:id="rId14"/>
    <sheet name="Variar Nominales c112 Update" sheetId="15" r:id="rId15"/>
    <sheet name="Variar Nominales c211 Update" sheetId="16" r:id="rId16"/>
    <sheet name="Variar Nominales c222 Update" sheetId="17" r:id="rId17"/>
    <sheet name="Matriz Ganancia Estática Bypass" sheetId="18" r:id="rId18"/>
    <sheet name="Sheet2" sheetId="19" r:id="rId19"/>
    <sheet name="Sheet5" sheetId="20" r:id="rId20"/>
    <sheet name="Sheet6" sheetId="21" r:id="rId21"/>
    <sheet name="Sheet10" sheetId="22" r:id="rId22"/>
    <sheet name="Sheet11" sheetId="23" r:id="rId23"/>
  </sheets>
  <definedNames>
    <definedName name="_xlnm._FilterDatabase" localSheetId="2" hidden="1">'Nominales el resto en 0'!$G$2:$L$62</definedName>
    <definedName name="ExternalData_1" localSheetId="21">Sheet10!$A$1:$B$71</definedName>
    <definedName name="ExternalData_1" localSheetId="22">Sheet11!$A$1:$B$57</definedName>
    <definedName name="ExternalData_1" localSheetId="19">Sheet5!$A$1:$B$51</definedName>
    <definedName name="ExternalData_1" localSheetId="20">Sheet6!$A$1:$B$41</definedName>
  </definedNames>
  <calcPr calcId="181029"/>
</workbook>
</file>

<file path=xl/calcChain.xml><?xml version="1.0" encoding="utf-8"?>
<calcChain xmlns="http://schemas.openxmlformats.org/spreadsheetml/2006/main">
  <c r="C50" i="18" l="1"/>
  <c r="C49" i="18"/>
  <c r="C48" i="18"/>
  <c r="C40" i="18"/>
  <c r="C39" i="18"/>
  <c r="C38" i="18"/>
  <c r="C36" i="18"/>
  <c r="C35" i="18"/>
  <c r="C34" i="18"/>
  <c r="C32" i="18"/>
  <c r="C31" i="18"/>
  <c r="C30" i="18"/>
  <c r="N19" i="18" l="1"/>
  <c r="M20" i="18"/>
  <c r="M21" i="18"/>
  <c r="M19" i="18"/>
  <c r="N20" i="18"/>
  <c r="N21" i="18"/>
  <c r="P20" i="18"/>
  <c r="P21" i="18"/>
  <c r="P19" i="18"/>
  <c r="G13" i="18"/>
  <c r="L26" i="18" l="1"/>
  <c r="M26" i="18"/>
  <c r="N26" i="18"/>
  <c r="O26" i="18"/>
  <c r="P26" i="18"/>
  <c r="Q26" i="18"/>
  <c r="R26" i="18"/>
  <c r="L27" i="18"/>
  <c r="M27" i="18"/>
  <c r="N27" i="18"/>
  <c r="O27" i="18"/>
  <c r="P27" i="18"/>
  <c r="Q27" i="18"/>
  <c r="R27" i="18"/>
  <c r="L28" i="18"/>
  <c r="M28" i="18"/>
  <c r="N28" i="18"/>
  <c r="O28" i="18"/>
  <c r="P28" i="18"/>
  <c r="Q28" i="18"/>
  <c r="R28" i="18"/>
  <c r="M25" i="18"/>
  <c r="N25" i="18"/>
  <c r="O25" i="18"/>
  <c r="P25" i="18"/>
  <c r="Q25" i="18"/>
  <c r="R25" i="18"/>
  <c r="L25" i="18"/>
  <c r="O10" i="18"/>
  <c r="Q6" i="18"/>
  <c r="R13" i="18" s="1"/>
  <c r="P6" i="18"/>
  <c r="Q13" i="18" s="1"/>
  <c r="O6" i="18"/>
  <c r="P13" i="18" s="1"/>
  <c r="N6" i="18"/>
  <c r="O13" i="18" s="1"/>
  <c r="G79" i="17"/>
  <c r="F79" i="17"/>
  <c r="E79" i="17"/>
  <c r="D79" i="17"/>
  <c r="G78" i="17"/>
  <c r="F78" i="17"/>
  <c r="E78" i="17"/>
  <c r="D78" i="17"/>
  <c r="G77" i="17"/>
  <c r="F77" i="17"/>
  <c r="E77" i="17"/>
  <c r="D77" i="17"/>
  <c r="G76" i="17"/>
  <c r="F76" i="17"/>
  <c r="E76" i="17"/>
  <c r="D76" i="17"/>
  <c r="G75" i="17"/>
  <c r="F75" i="17"/>
  <c r="E75" i="17"/>
  <c r="D75" i="17"/>
  <c r="N63" i="17"/>
  <c r="M63" i="17"/>
  <c r="L63" i="17"/>
  <c r="N62" i="17"/>
  <c r="M62" i="17"/>
  <c r="L62" i="17"/>
  <c r="N61" i="17"/>
  <c r="M61" i="17"/>
  <c r="L61" i="17"/>
  <c r="N60" i="17"/>
  <c r="M60" i="17"/>
  <c r="L60" i="17"/>
  <c r="Z54" i="17"/>
  <c r="J9" i="18" s="1"/>
  <c r="X54" i="17"/>
  <c r="H9" i="18" s="1"/>
  <c r="Z53" i="17"/>
  <c r="H14" i="18" s="1"/>
  <c r="Y53" i="17"/>
  <c r="D9" i="18" s="1"/>
  <c r="X53" i="17"/>
  <c r="H12" i="18" s="1"/>
  <c r="AA48" i="17"/>
  <c r="Y48" i="17"/>
  <c r="AA47" i="17"/>
  <c r="Y47" i="17"/>
  <c r="AA46" i="17"/>
  <c r="Y46" i="17"/>
  <c r="AA45" i="17"/>
  <c r="Y45" i="17"/>
  <c r="AA44" i="17"/>
  <c r="Y44" i="17"/>
  <c r="AA43" i="17"/>
  <c r="Y43" i="17"/>
  <c r="AA42" i="17"/>
  <c r="Y42" i="17"/>
  <c r="AA41" i="17"/>
  <c r="Y41" i="17"/>
  <c r="AA40" i="17"/>
  <c r="AA54" i="17" s="1"/>
  <c r="K9" i="18" s="1"/>
  <c r="Y40" i="17"/>
  <c r="Y54" i="17" s="1"/>
  <c r="I9" i="18" s="1"/>
  <c r="AA39" i="17"/>
  <c r="Y39" i="17"/>
  <c r="AA38" i="17"/>
  <c r="Y38" i="17"/>
  <c r="AA37" i="17"/>
  <c r="Y37" i="17"/>
  <c r="AA36" i="17"/>
  <c r="AA53" i="17" s="1"/>
  <c r="Y36" i="17"/>
  <c r="AA31" i="17"/>
  <c r="Z31" i="17"/>
  <c r="Y31" i="17"/>
  <c r="X31" i="17"/>
  <c r="AA30" i="17"/>
  <c r="Z30" i="17"/>
  <c r="Y30" i="17"/>
  <c r="X30" i="17"/>
  <c r="AA29" i="17"/>
  <c r="Z29" i="17"/>
  <c r="Y29" i="17"/>
  <c r="X29" i="17"/>
  <c r="AA28" i="17"/>
  <c r="Z28" i="17"/>
  <c r="Y28" i="17"/>
  <c r="X28" i="17"/>
  <c r="AA27" i="17"/>
  <c r="Z27" i="17"/>
  <c r="Y27" i="17"/>
  <c r="X27" i="17"/>
  <c r="AA26" i="17"/>
  <c r="Z26" i="17"/>
  <c r="Y26" i="17"/>
  <c r="X26" i="17"/>
  <c r="AA25" i="17"/>
  <c r="Z25" i="17"/>
  <c r="Y25" i="17"/>
  <c r="X25" i="17"/>
  <c r="AA24" i="17"/>
  <c r="Z24" i="17"/>
  <c r="Y24" i="17"/>
  <c r="X24" i="17"/>
  <c r="AA23" i="17"/>
  <c r="Z23" i="17"/>
  <c r="Y23" i="17"/>
  <c r="X23" i="17"/>
  <c r="AA22" i="17"/>
  <c r="Z22" i="17"/>
  <c r="Y22" i="17"/>
  <c r="X22" i="17"/>
  <c r="AA21" i="17"/>
  <c r="Z21" i="17"/>
  <c r="Y21" i="17"/>
  <c r="X21" i="17"/>
  <c r="AA20" i="17"/>
  <c r="Z20" i="17"/>
  <c r="Y20" i="17"/>
  <c r="X20" i="17"/>
  <c r="AA19" i="17"/>
  <c r="Z19" i="17"/>
  <c r="Y19" i="17"/>
  <c r="X19" i="17"/>
  <c r="AA18" i="17"/>
  <c r="Z18" i="17"/>
  <c r="Y18" i="17"/>
  <c r="X18" i="17"/>
  <c r="AA17" i="17"/>
  <c r="Z17" i="17"/>
  <c r="Y17" i="17"/>
  <c r="X17" i="17"/>
  <c r="AA16" i="17"/>
  <c r="Z16" i="17"/>
  <c r="Y16" i="17"/>
  <c r="X16" i="17"/>
  <c r="AA15" i="17"/>
  <c r="Z15" i="17"/>
  <c r="Y15" i="17"/>
  <c r="X15" i="17"/>
  <c r="AA14" i="17"/>
  <c r="Z14" i="17"/>
  <c r="Y14" i="17"/>
  <c r="X14" i="17"/>
  <c r="AA13" i="17"/>
  <c r="Z13" i="17"/>
  <c r="Y13" i="17"/>
  <c r="X13" i="17"/>
  <c r="AA12" i="17"/>
  <c r="Z12" i="17"/>
  <c r="Y12" i="17"/>
  <c r="X12" i="17"/>
  <c r="AA11" i="17"/>
  <c r="Z11" i="17"/>
  <c r="Y11" i="17"/>
  <c r="X11" i="17"/>
  <c r="AA10" i="17"/>
  <c r="Z10" i="17"/>
  <c r="Y10" i="17"/>
  <c r="X10" i="17"/>
  <c r="AA9" i="17"/>
  <c r="Z9" i="17"/>
  <c r="Y9" i="17"/>
  <c r="X9" i="17"/>
  <c r="AA8" i="17"/>
  <c r="Z8" i="17"/>
  <c r="Y8" i="17"/>
  <c r="X8" i="17"/>
  <c r="AA7" i="17"/>
  <c r="Z7" i="17"/>
  <c r="Y7" i="17"/>
  <c r="X7" i="17"/>
  <c r="AA6" i="17"/>
  <c r="Z6" i="17"/>
  <c r="Y6" i="17"/>
  <c r="X6" i="17"/>
  <c r="AA5" i="17"/>
  <c r="Z5" i="17"/>
  <c r="Y5" i="17"/>
  <c r="X5" i="17"/>
  <c r="AA4" i="17"/>
  <c r="Z4" i="17"/>
  <c r="Y4" i="17"/>
  <c r="X4" i="17"/>
  <c r="AA3" i="17"/>
  <c r="Z3" i="17"/>
  <c r="Y3" i="17"/>
  <c r="X3" i="17"/>
  <c r="G79" i="16"/>
  <c r="F79" i="16"/>
  <c r="E79" i="16"/>
  <c r="D79" i="16"/>
  <c r="G78" i="16"/>
  <c r="F78" i="16"/>
  <c r="E78" i="16"/>
  <c r="D78" i="16"/>
  <c r="G77" i="16"/>
  <c r="F77" i="16"/>
  <c r="E77" i="16"/>
  <c r="D77" i="16"/>
  <c r="G76" i="16"/>
  <c r="F76" i="16"/>
  <c r="E76" i="16"/>
  <c r="D76" i="16"/>
  <c r="G75" i="16"/>
  <c r="F75" i="16"/>
  <c r="E75" i="16"/>
  <c r="D75" i="16"/>
  <c r="N63" i="16"/>
  <c r="M63" i="16"/>
  <c r="L63" i="16"/>
  <c r="N62" i="16"/>
  <c r="M62" i="16"/>
  <c r="L62" i="16"/>
  <c r="N61" i="16"/>
  <c r="M61" i="16"/>
  <c r="L61" i="16"/>
  <c r="N60" i="16"/>
  <c r="M60" i="16"/>
  <c r="L60" i="16"/>
  <c r="X54" i="16"/>
  <c r="H8" i="18" s="1"/>
  <c r="X53" i="16"/>
  <c r="F12" i="18" s="1"/>
  <c r="AA48" i="16"/>
  <c r="Z48" i="16"/>
  <c r="Y48" i="16"/>
  <c r="AA47" i="16"/>
  <c r="Z47" i="16"/>
  <c r="Y47" i="16"/>
  <c r="AA46" i="16"/>
  <c r="Z46" i="16"/>
  <c r="Y46" i="16"/>
  <c r="AA45" i="16"/>
  <c r="Z45" i="16"/>
  <c r="Y45" i="16"/>
  <c r="AA44" i="16"/>
  <c r="Z44" i="16"/>
  <c r="Y44" i="16"/>
  <c r="AA43" i="16"/>
  <c r="Z43" i="16"/>
  <c r="Y43" i="16"/>
  <c r="AA42" i="16"/>
  <c r="Z42" i="16"/>
  <c r="Y42" i="16"/>
  <c r="AA41" i="16"/>
  <c r="Z41" i="16"/>
  <c r="Y41" i="16"/>
  <c r="AA40" i="16"/>
  <c r="AA54" i="16" s="1"/>
  <c r="K8" i="18" s="1"/>
  <c r="Z40" i="16"/>
  <c r="Z54" i="16" s="1"/>
  <c r="J8" i="18" s="1"/>
  <c r="Y40" i="16"/>
  <c r="Y54" i="16" s="1"/>
  <c r="I8" i="18" s="1"/>
  <c r="AA39" i="16"/>
  <c r="Z39" i="16"/>
  <c r="Y39" i="16"/>
  <c r="AA38" i="16"/>
  <c r="Z38" i="16"/>
  <c r="Y38" i="16"/>
  <c r="AA37" i="16"/>
  <c r="Z37" i="16"/>
  <c r="Y37" i="16"/>
  <c r="AA36" i="16"/>
  <c r="AA53" i="16" s="1"/>
  <c r="Z36" i="16"/>
  <c r="Z53" i="16" s="1"/>
  <c r="Y36" i="16"/>
  <c r="Y53" i="16" s="1"/>
  <c r="AA31" i="16"/>
  <c r="Z31" i="16"/>
  <c r="Y31" i="16"/>
  <c r="X31" i="16"/>
  <c r="AA30" i="16"/>
  <c r="Z30" i="16"/>
  <c r="Y30" i="16"/>
  <c r="X30" i="16"/>
  <c r="AA29" i="16"/>
  <c r="Z29" i="16"/>
  <c r="Y29" i="16"/>
  <c r="X29" i="16"/>
  <c r="AA28" i="16"/>
  <c r="Z28" i="16"/>
  <c r="Y28" i="16"/>
  <c r="X28" i="16"/>
  <c r="AA27" i="16"/>
  <c r="Z27" i="16"/>
  <c r="Y27" i="16"/>
  <c r="X27" i="16"/>
  <c r="AA26" i="16"/>
  <c r="Z26" i="16"/>
  <c r="Y26" i="16"/>
  <c r="X26" i="16"/>
  <c r="AA25" i="16"/>
  <c r="Z25" i="16"/>
  <c r="Y25" i="16"/>
  <c r="X25" i="16"/>
  <c r="AA24" i="16"/>
  <c r="Z24" i="16"/>
  <c r="Y24" i="16"/>
  <c r="X24" i="16"/>
  <c r="AA23" i="16"/>
  <c r="Z23" i="16"/>
  <c r="Y23" i="16"/>
  <c r="X23" i="16"/>
  <c r="AA22" i="16"/>
  <c r="Z22" i="16"/>
  <c r="Y22" i="16"/>
  <c r="X22" i="16"/>
  <c r="AA21" i="16"/>
  <c r="Z21" i="16"/>
  <c r="Y21" i="16"/>
  <c r="X21" i="16"/>
  <c r="AA20" i="16"/>
  <c r="Z20" i="16"/>
  <c r="Y20" i="16"/>
  <c r="X20" i="16"/>
  <c r="AA19" i="16"/>
  <c r="Z19" i="16"/>
  <c r="Y19" i="16"/>
  <c r="X19" i="16"/>
  <c r="AA18" i="16"/>
  <c r="Z18" i="16"/>
  <c r="Y18" i="16"/>
  <c r="X18" i="16"/>
  <c r="AA17" i="16"/>
  <c r="Z17" i="16"/>
  <c r="Y17" i="16"/>
  <c r="X17" i="16"/>
  <c r="AA16" i="16"/>
  <c r="Z16" i="16"/>
  <c r="Y16" i="16"/>
  <c r="X16" i="16"/>
  <c r="AA15" i="16"/>
  <c r="Z15" i="16"/>
  <c r="Y15" i="16"/>
  <c r="X15" i="16"/>
  <c r="AA14" i="16"/>
  <c r="Z14" i="16"/>
  <c r="Y14" i="16"/>
  <c r="X14" i="16"/>
  <c r="AA13" i="16"/>
  <c r="Z13" i="16"/>
  <c r="Y13" i="16"/>
  <c r="X13" i="16"/>
  <c r="AA12" i="16"/>
  <c r="Z12" i="16"/>
  <c r="Y12" i="16"/>
  <c r="X12" i="16"/>
  <c r="AA11" i="16"/>
  <c r="Z11" i="16"/>
  <c r="Y11" i="16"/>
  <c r="X11" i="16"/>
  <c r="AA10" i="16"/>
  <c r="Z10" i="16"/>
  <c r="Y10" i="16"/>
  <c r="X10" i="16"/>
  <c r="AA9" i="16"/>
  <c r="Z9" i="16"/>
  <c r="Y9" i="16"/>
  <c r="X9" i="16"/>
  <c r="AA8" i="16"/>
  <c r="Z8" i="16"/>
  <c r="Y8" i="16"/>
  <c r="X8" i="16"/>
  <c r="AA7" i="16"/>
  <c r="Z7" i="16"/>
  <c r="Y7" i="16"/>
  <c r="X7" i="16"/>
  <c r="AA6" i="16"/>
  <c r="Z6" i="16"/>
  <c r="Y6" i="16"/>
  <c r="X6" i="16"/>
  <c r="AA5" i="16"/>
  <c r="Z5" i="16"/>
  <c r="Y5" i="16"/>
  <c r="X5" i="16"/>
  <c r="AA4" i="16"/>
  <c r="Z4" i="16"/>
  <c r="Y4" i="16"/>
  <c r="X4" i="16"/>
  <c r="AA3" i="16"/>
  <c r="Z3" i="16"/>
  <c r="Y3" i="16"/>
  <c r="X3" i="16"/>
  <c r="G79" i="15"/>
  <c r="F79" i="15"/>
  <c r="E79" i="15"/>
  <c r="D79" i="15"/>
  <c r="G78" i="15"/>
  <c r="F78" i="15"/>
  <c r="E78" i="15"/>
  <c r="D78" i="15"/>
  <c r="G77" i="15"/>
  <c r="F77" i="15"/>
  <c r="E77" i="15"/>
  <c r="D77" i="15"/>
  <c r="G76" i="15"/>
  <c r="F76" i="15"/>
  <c r="E76" i="15"/>
  <c r="D76" i="15"/>
  <c r="G75" i="15"/>
  <c r="F75" i="15"/>
  <c r="E75" i="15"/>
  <c r="D75" i="15"/>
  <c r="N64" i="15"/>
  <c r="M64" i="15"/>
  <c r="L64" i="15"/>
  <c r="N63" i="15"/>
  <c r="M63" i="15"/>
  <c r="L63" i="15"/>
  <c r="N62" i="15"/>
  <c r="M62" i="15"/>
  <c r="L62" i="15"/>
  <c r="N61" i="15"/>
  <c r="M61" i="15"/>
  <c r="L61" i="15"/>
  <c r="N60" i="15"/>
  <c r="M60" i="15"/>
  <c r="L60" i="15"/>
  <c r="AA48" i="15"/>
  <c r="Z48" i="15"/>
  <c r="Y48" i="15"/>
  <c r="X48" i="15"/>
  <c r="AA47" i="15"/>
  <c r="Z47" i="15"/>
  <c r="Y47" i="15"/>
  <c r="X47" i="15"/>
  <c r="AA46" i="15"/>
  <c r="Z46" i="15"/>
  <c r="Y46" i="15"/>
  <c r="X46" i="15"/>
  <c r="AA45" i="15"/>
  <c r="Z45" i="15"/>
  <c r="Y45" i="15"/>
  <c r="X45" i="15"/>
  <c r="AA44" i="15"/>
  <c r="Z44" i="15"/>
  <c r="Y44" i="15"/>
  <c r="X44" i="15"/>
  <c r="AA43" i="15"/>
  <c r="Z43" i="15"/>
  <c r="Y43" i="15"/>
  <c r="X43" i="15"/>
  <c r="AA42" i="15"/>
  <c r="Z42" i="15"/>
  <c r="Y42" i="15"/>
  <c r="X42" i="15"/>
  <c r="AA41" i="15"/>
  <c r="Z41" i="15"/>
  <c r="Y41" i="15"/>
  <c r="X41" i="15"/>
  <c r="AA40" i="15"/>
  <c r="AA54" i="15" s="1"/>
  <c r="K7" i="18" s="1"/>
  <c r="Z40" i="15"/>
  <c r="Z54" i="15" s="1"/>
  <c r="J7" i="18" s="1"/>
  <c r="Y40" i="15"/>
  <c r="Y54" i="15" s="1"/>
  <c r="I7" i="18" s="1"/>
  <c r="X40" i="15"/>
  <c r="X54" i="15" s="1"/>
  <c r="H7" i="18" s="1"/>
  <c r="AA39" i="15"/>
  <c r="Z39" i="15"/>
  <c r="Y39" i="15"/>
  <c r="X39" i="15"/>
  <c r="AA38" i="15"/>
  <c r="Z38" i="15"/>
  <c r="Y38" i="15"/>
  <c r="X38" i="15"/>
  <c r="AA37" i="15"/>
  <c r="Z37" i="15"/>
  <c r="Y37" i="15"/>
  <c r="X37" i="15"/>
  <c r="AA36" i="15"/>
  <c r="AA53" i="15" s="1"/>
  <c r="Z36" i="15"/>
  <c r="Z53" i="15" s="1"/>
  <c r="Y36" i="15"/>
  <c r="Y53" i="15" s="1"/>
  <c r="X36" i="15"/>
  <c r="X53" i="15" s="1"/>
  <c r="AA31" i="15"/>
  <c r="Z31" i="15"/>
  <c r="Y31" i="15"/>
  <c r="X31" i="15"/>
  <c r="AA30" i="15"/>
  <c r="Z30" i="15"/>
  <c r="Y30" i="15"/>
  <c r="X30" i="15"/>
  <c r="AA29" i="15"/>
  <c r="Z29" i="15"/>
  <c r="Y29" i="15"/>
  <c r="X29" i="15"/>
  <c r="AA28" i="15"/>
  <c r="Z28" i="15"/>
  <c r="Y28" i="15"/>
  <c r="X28" i="15"/>
  <c r="AA27" i="15"/>
  <c r="Z27" i="15"/>
  <c r="Y27" i="15"/>
  <c r="X27" i="15"/>
  <c r="AA26" i="15"/>
  <c r="Z26" i="15"/>
  <c r="Y26" i="15"/>
  <c r="X26" i="15"/>
  <c r="AA25" i="15"/>
  <c r="Z25" i="15"/>
  <c r="Y25" i="15"/>
  <c r="X25" i="15"/>
  <c r="AA24" i="15"/>
  <c r="Z24" i="15"/>
  <c r="Y24" i="15"/>
  <c r="X24" i="15"/>
  <c r="AA23" i="15"/>
  <c r="Z23" i="15"/>
  <c r="Y23" i="15"/>
  <c r="X23" i="15"/>
  <c r="AA22" i="15"/>
  <c r="Z22" i="15"/>
  <c r="Y22" i="15"/>
  <c r="X22" i="15"/>
  <c r="AA21" i="15"/>
  <c r="Z21" i="15"/>
  <c r="Y21" i="15"/>
  <c r="X21" i="15"/>
  <c r="AA20" i="15"/>
  <c r="Z20" i="15"/>
  <c r="Y20" i="15"/>
  <c r="X20" i="15"/>
  <c r="AA19" i="15"/>
  <c r="Z19" i="15"/>
  <c r="Y19" i="15"/>
  <c r="X19" i="15"/>
  <c r="AA18" i="15"/>
  <c r="Z18" i="15"/>
  <c r="Y18" i="15"/>
  <c r="X18" i="15"/>
  <c r="AA17" i="15"/>
  <c r="Z17" i="15"/>
  <c r="Y17" i="15"/>
  <c r="X17" i="15"/>
  <c r="AA16" i="15"/>
  <c r="Z16" i="15"/>
  <c r="Y16" i="15"/>
  <c r="X16" i="15"/>
  <c r="AA15" i="15"/>
  <c r="Z15" i="15"/>
  <c r="Y15" i="15"/>
  <c r="X15" i="15"/>
  <c r="AA14" i="15"/>
  <c r="Z14" i="15"/>
  <c r="Y14" i="15"/>
  <c r="X14" i="15"/>
  <c r="AA13" i="15"/>
  <c r="Z13" i="15"/>
  <c r="Y13" i="15"/>
  <c r="X13" i="15"/>
  <c r="AA12" i="15"/>
  <c r="Z12" i="15"/>
  <c r="Y12" i="15"/>
  <c r="X12" i="15"/>
  <c r="AA11" i="15"/>
  <c r="Z11" i="15"/>
  <c r="Y11" i="15"/>
  <c r="X11" i="15"/>
  <c r="AA10" i="15"/>
  <c r="Z10" i="15"/>
  <c r="Y10" i="15"/>
  <c r="X10" i="15"/>
  <c r="AA9" i="15"/>
  <c r="Z9" i="15"/>
  <c r="Y9" i="15"/>
  <c r="X9" i="15"/>
  <c r="AA8" i="15"/>
  <c r="Z8" i="15"/>
  <c r="Y8" i="15"/>
  <c r="X8" i="15"/>
  <c r="AA7" i="15"/>
  <c r="Z7" i="15"/>
  <c r="Y7" i="15"/>
  <c r="X7" i="15"/>
  <c r="AA6" i="15"/>
  <c r="Z6" i="15"/>
  <c r="Y6" i="15"/>
  <c r="X6" i="15"/>
  <c r="AA5" i="15"/>
  <c r="Z5" i="15"/>
  <c r="Y5" i="15"/>
  <c r="X5" i="15"/>
  <c r="AA4" i="15"/>
  <c r="Z4" i="15"/>
  <c r="Y4" i="15"/>
  <c r="X4" i="15"/>
  <c r="AA3" i="15"/>
  <c r="Z3" i="15"/>
  <c r="Y3" i="15"/>
  <c r="X3" i="15"/>
  <c r="G59" i="14"/>
  <c r="F59" i="14"/>
  <c r="E59" i="14"/>
  <c r="D59" i="14"/>
  <c r="G58" i="14"/>
  <c r="F58" i="14"/>
  <c r="E58" i="14"/>
  <c r="D58" i="14"/>
  <c r="G57" i="14"/>
  <c r="F57" i="14"/>
  <c r="E57" i="14"/>
  <c r="D57" i="14"/>
  <c r="G56" i="14"/>
  <c r="F56" i="14"/>
  <c r="E56" i="14"/>
  <c r="D56" i="14"/>
  <c r="G55" i="14"/>
  <c r="F55" i="14"/>
  <c r="E55" i="14"/>
  <c r="D55" i="14"/>
  <c r="N48" i="14"/>
  <c r="M48" i="14"/>
  <c r="L48" i="14"/>
  <c r="N47" i="14"/>
  <c r="M47" i="14"/>
  <c r="L47" i="14"/>
  <c r="N46" i="14"/>
  <c r="M46" i="14"/>
  <c r="L46" i="14"/>
  <c r="N45" i="14"/>
  <c r="M45" i="14"/>
  <c r="L45" i="14"/>
  <c r="X40" i="14"/>
  <c r="H5" i="18" s="1"/>
  <c r="X39" i="14"/>
  <c r="C5" i="18" s="1"/>
  <c r="AA34" i="14"/>
  <c r="Z34" i="14"/>
  <c r="Y34" i="14"/>
  <c r="AA33" i="14"/>
  <c r="Y33" i="14"/>
  <c r="AA32" i="14"/>
  <c r="Y32" i="14"/>
  <c r="AA31" i="14"/>
  <c r="Y31" i="14"/>
  <c r="AA30" i="14"/>
  <c r="Y30" i="14"/>
  <c r="Y40" i="14" s="1"/>
  <c r="I5" i="18" s="1"/>
  <c r="AA29" i="14"/>
  <c r="Z29" i="14"/>
  <c r="Y29" i="14"/>
  <c r="AA28" i="14"/>
  <c r="Z28" i="14"/>
  <c r="Y28" i="14"/>
  <c r="AA27" i="14"/>
  <c r="Z27" i="14"/>
  <c r="Y27" i="14"/>
  <c r="AA26" i="14"/>
  <c r="AA40" i="14" s="1"/>
  <c r="K5" i="18" s="1"/>
  <c r="Z26" i="14"/>
  <c r="Z39" i="14" s="1"/>
  <c r="Y26" i="14"/>
  <c r="Y39" i="14" s="1"/>
  <c r="AA22" i="14"/>
  <c r="AA39" i="14" s="1"/>
  <c r="Y22" i="14"/>
  <c r="AA21" i="14"/>
  <c r="Y21" i="14"/>
  <c r="AA20" i="14"/>
  <c r="Y20" i="14"/>
  <c r="AA19" i="14"/>
  <c r="Y19" i="14"/>
  <c r="AA18" i="14"/>
  <c r="Z18" i="14"/>
  <c r="Y18" i="14"/>
  <c r="AA17" i="14"/>
  <c r="Z17" i="14"/>
  <c r="Y17" i="14"/>
  <c r="AA16" i="14"/>
  <c r="Z16" i="14"/>
  <c r="Y16" i="14"/>
  <c r="AA15" i="14"/>
  <c r="Z15" i="14"/>
  <c r="Y15" i="14"/>
  <c r="AA14" i="14"/>
  <c r="Z14" i="14"/>
  <c r="Y14" i="14"/>
  <c r="AA13" i="14"/>
  <c r="Z13" i="14"/>
  <c r="Y13" i="14"/>
  <c r="AA12" i="14"/>
  <c r="Z12" i="14"/>
  <c r="Y12" i="14"/>
  <c r="AA11" i="14"/>
  <c r="Z11" i="14"/>
  <c r="Y11" i="14"/>
  <c r="AA10" i="14"/>
  <c r="Z10" i="14"/>
  <c r="Y10" i="14"/>
  <c r="AA9" i="14"/>
  <c r="Z9" i="14"/>
  <c r="Y9" i="14"/>
  <c r="AA8" i="14"/>
  <c r="Z8" i="14"/>
  <c r="Y8" i="14"/>
  <c r="AA7" i="14"/>
  <c r="Z7" i="14"/>
  <c r="Y7" i="14"/>
  <c r="AA6" i="14"/>
  <c r="Z6" i="14"/>
  <c r="Y6" i="14"/>
  <c r="AA5" i="14"/>
  <c r="Z5" i="14"/>
  <c r="Y5" i="14"/>
  <c r="AA4" i="14"/>
  <c r="Z4" i="14"/>
  <c r="Y4" i="14"/>
  <c r="AA3" i="14"/>
  <c r="Z3" i="14"/>
  <c r="Y3" i="14"/>
  <c r="G59" i="13"/>
  <c r="F59" i="13"/>
  <c r="E59" i="13"/>
  <c r="D59" i="13"/>
  <c r="G58" i="13"/>
  <c r="F58" i="13"/>
  <c r="E58" i="13"/>
  <c r="D58" i="13"/>
  <c r="G57" i="13"/>
  <c r="F57" i="13"/>
  <c r="E57" i="13"/>
  <c r="D57" i="13"/>
  <c r="G56" i="13"/>
  <c r="F56" i="13"/>
  <c r="E56" i="13"/>
  <c r="D56" i="13"/>
  <c r="G55" i="13"/>
  <c r="F55" i="13"/>
  <c r="E55" i="13"/>
  <c r="D55" i="13"/>
  <c r="N48" i="13"/>
  <c r="M48" i="13"/>
  <c r="L48" i="13"/>
  <c r="N47" i="13"/>
  <c r="M47" i="13"/>
  <c r="L47" i="13"/>
  <c r="N46" i="13"/>
  <c r="M46" i="13"/>
  <c r="L46" i="13"/>
  <c r="N45" i="13"/>
  <c r="M45" i="13"/>
  <c r="L45" i="13"/>
  <c r="X40" i="13"/>
  <c r="H4" i="18" s="1"/>
  <c r="X39" i="13"/>
  <c r="C4" i="18" s="1"/>
  <c r="AA34" i="13"/>
  <c r="Z34" i="13"/>
  <c r="Y34" i="13"/>
  <c r="AA33" i="13"/>
  <c r="Z33" i="13"/>
  <c r="Y33" i="13"/>
  <c r="AA32" i="13"/>
  <c r="Z32" i="13"/>
  <c r="Y32" i="13"/>
  <c r="AA31" i="13"/>
  <c r="Z31" i="13"/>
  <c r="Y31" i="13"/>
  <c r="AA30" i="13"/>
  <c r="Z30" i="13"/>
  <c r="Y30" i="13"/>
  <c r="AA29" i="13"/>
  <c r="Z29" i="13"/>
  <c r="Y29" i="13"/>
  <c r="AA28" i="13"/>
  <c r="Z28" i="13"/>
  <c r="Y28" i="13"/>
  <c r="AA27" i="13"/>
  <c r="Z27" i="13"/>
  <c r="Y27" i="13"/>
  <c r="AA26" i="13"/>
  <c r="AA40" i="13" s="1"/>
  <c r="K4" i="18" s="1"/>
  <c r="Z26" i="13"/>
  <c r="Z40" i="13" s="1"/>
  <c r="J4" i="18" s="1"/>
  <c r="Y26" i="13"/>
  <c r="Y40" i="13" s="1"/>
  <c r="I4" i="18" s="1"/>
  <c r="AA22" i="13"/>
  <c r="AA39" i="13" s="1"/>
  <c r="Z22" i="13"/>
  <c r="Z39" i="13" s="1"/>
  <c r="Y22" i="13"/>
  <c r="Y39" i="13" s="1"/>
  <c r="AA21" i="13"/>
  <c r="Z21" i="13"/>
  <c r="Y21" i="13"/>
  <c r="AA20" i="13"/>
  <c r="Z20" i="13"/>
  <c r="Y20" i="13"/>
  <c r="AA19" i="13"/>
  <c r="Z19" i="13"/>
  <c r="Y19" i="13"/>
  <c r="AA18" i="13"/>
  <c r="Z18" i="13"/>
  <c r="Y18" i="13"/>
  <c r="AA17" i="13"/>
  <c r="Z17" i="13"/>
  <c r="Y17" i="13"/>
  <c r="AA16" i="13"/>
  <c r="Z16" i="13"/>
  <c r="Y16" i="13"/>
  <c r="AA15" i="13"/>
  <c r="Z15" i="13"/>
  <c r="Y15" i="13"/>
  <c r="AA14" i="13"/>
  <c r="Z14" i="13"/>
  <c r="Y14" i="13"/>
  <c r="AA13" i="13"/>
  <c r="Z13" i="13"/>
  <c r="Y13" i="13"/>
  <c r="AA12" i="13"/>
  <c r="Z12" i="13"/>
  <c r="Y12" i="13"/>
  <c r="AA11" i="13"/>
  <c r="Z11" i="13"/>
  <c r="Y11" i="13"/>
  <c r="AA10" i="13"/>
  <c r="Z10" i="13"/>
  <c r="Y10" i="13"/>
  <c r="AA9" i="13"/>
  <c r="Z9" i="13"/>
  <c r="Y9" i="13"/>
  <c r="AA8" i="13"/>
  <c r="Z8" i="13"/>
  <c r="Y8" i="13"/>
  <c r="AA7" i="13"/>
  <c r="Z7" i="13"/>
  <c r="Y7" i="13"/>
  <c r="AA6" i="13"/>
  <c r="Z6" i="13"/>
  <c r="Y6" i="13"/>
  <c r="AA5" i="13"/>
  <c r="Z5" i="13"/>
  <c r="Y5" i="13"/>
  <c r="AA4" i="13"/>
  <c r="Z4" i="13"/>
  <c r="Y4" i="13"/>
  <c r="AA3" i="13"/>
  <c r="Z3" i="13"/>
  <c r="Y3" i="13"/>
  <c r="G59" i="12"/>
  <c r="F59" i="12"/>
  <c r="E59" i="12"/>
  <c r="D59" i="12"/>
  <c r="G58" i="12"/>
  <c r="F58" i="12"/>
  <c r="E58" i="12"/>
  <c r="D58" i="12"/>
  <c r="G57" i="12"/>
  <c r="F57" i="12"/>
  <c r="E57" i="12"/>
  <c r="D57" i="12"/>
  <c r="G56" i="12"/>
  <c r="F56" i="12"/>
  <c r="E56" i="12"/>
  <c r="D56" i="12"/>
  <c r="G55" i="12"/>
  <c r="F55" i="12"/>
  <c r="E55" i="12"/>
  <c r="D55" i="12"/>
  <c r="N48" i="12"/>
  <c r="M48" i="12"/>
  <c r="L48" i="12"/>
  <c r="N47" i="12"/>
  <c r="M47" i="12"/>
  <c r="L47" i="12"/>
  <c r="N46" i="12"/>
  <c r="M46" i="12"/>
  <c r="L46" i="12"/>
  <c r="N45" i="12"/>
  <c r="M45" i="12"/>
  <c r="L45" i="12"/>
  <c r="AA34" i="12"/>
  <c r="Z34" i="12"/>
  <c r="Y34" i="12"/>
  <c r="X34" i="12"/>
  <c r="AA33" i="12"/>
  <c r="Z33" i="12"/>
  <c r="Y33" i="12"/>
  <c r="X33" i="12"/>
  <c r="AA32" i="12"/>
  <c r="Z32" i="12"/>
  <c r="Y32" i="12"/>
  <c r="X32" i="12"/>
  <c r="AA31" i="12"/>
  <c r="Z31" i="12"/>
  <c r="Y31" i="12"/>
  <c r="X31" i="12"/>
  <c r="AA30" i="12"/>
  <c r="Z30" i="12"/>
  <c r="Y30" i="12"/>
  <c r="X30" i="12"/>
  <c r="AA29" i="12"/>
  <c r="Z29" i="12"/>
  <c r="Y29" i="12"/>
  <c r="X29" i="12"/>
  <c r="AA28" i="12"/>
  <c r="Z28" i="12"/>
  <c r="Y28" i="12"/>
  <c r="X28" i="12"/>
  <c r="AA27" i="12"/>
  <c r="Z27" i="12"/>
  <c r="Y27" i="12"/>
  <c r="X27" i="12"/>
  <c r="AA26" i="12"/>
  <c r="AA40" i="12" s="1"/>
  <c r="K3" i="18" s="1"/>
  <c r="Z26" i="12"/>
  <c r="Z40" i="12" s="1"/>
  <c r="J3" i="18" s="1"/>
  <c r="Y26" i="12"/>
  <c r="Y40" i="12" s="1"/>
  <c r="I3" i="18" s="1"/>
  <c r="X26" i="12"/>
  <c r="X40" i="12" s="1"/>
  <c r="H3" i="18" s="1"/>
  <c r="AA22" i="12"/>
  <c r="AA39" i="12" s="1"/>
  <c r="Z22" i="12"/>
  <c r="Z39" i="12" s="1"/>
  <c r="Y22" i="12"/>
  <c r="Y39" i="12" s="1"/>
  <c r="X22" i="12"/>
  <c r="X39" i="12" s="1"/>
  <c r="AA21" i="12"/>
  <c r="Z21" i="12"/>
  <c r="Y21" i="12"/>
  <c r="X21" i="12"/>
  <c r="AA20" i="12"/>
  <c r="Z20" i="12"/>
  <c r="Y20" i="12"/>
  <c r="X20" i="12"/>
  <c r="AA19" i="12"/>
  <c r="Z19" i="12"/>
  <c r="Y19" i="12"/>
  <c r="X19" i="12"/>
  <c r="AA18" i="12"/>
  <c r="Z18" i="12"/>
  <c r="Y18" i="12"/>
  <c r="X18" i="12"/>
  <c r="AA17" i="12"/>
  <c r="Z17" i="12"/>
  <c r="Y17" i="12"/>
  <c r="X17" i="12"/>
  <c r="AA16" i="12"/>
  <c r="Z16" i="12"/>
  <c r="Y16" i="12"/>
  <c r="X16" i="12"/>
  <c r="AA15" i="12"/>
  <c r="Z15" i="12"/>
  <c r="Y15" i="12"/>
  <c r="X15" i="12"/>
  <c r="AA14" i="12"/>
  <c r="Z14" i="12"/>
  <c r="Y14" i="12"/>
  <c r="X14" i="12"/>
  <c r="AA13" i="12"/>
  <c r="Z13" i="12"/>
  <c r="Y13" i="12"/>
  <c r="X13" i="12"/>
  <c r="AA12" i="12"/>
  <c r="Z12" i="12"/>
  <c r="Y12" i="12"/>
  <c r="X12" i="12"/>
  <c r="AA11" i="12"/>
  <c r="Z11" i="12"/>
  <c r="Y11" i="12"/>
  <c r="X11" i="12"/>
  <c r="AA10" i="12"/>
  <c r="Z10" i="12"/>
  <c r="Y10" i="12"/>
  <c r="X10" i="12"/>
  <c r="AA9" i="12"/>
  <c r="Z9" i="12"/>
  <c r="Y9" i="12"/>
  <c r="X9" i="12"/>
  <c r="AA8" i="12"/>
  <c r="Z8" i="12"/>
  <c r="Y8" i="12"/>
  <c r="X8" i="12"/>
  <c r="AA7" i="12"/>
  <c r="Z7" i="12"/>
  <c r="Y7" i="12"/>
  <c r="X7" i="12"/>
  <c r="AA6" i="12"/>
  <c r="Z6" i="12"/>
  <c r="Y6" i="12"/>
  <c r="X6" i="12"/>
  <c r="AA5" i="12"/>
  <c r="Z5" i="12"/>
  <c r="Y5" i="12"/>
  <c r="X5" i="12"/>
  <c r="AA4" i="12"/>
  <c r="Z4" i="12"/>
  <c r="Y4" i="12"/>
  <c r="X4" i="12"/>
  <c r="AA3" i="12"/>
  <c r="Z3" i="12"/>
  <c r="Y3" i="12"/>
  <c r="X3" i="12"/>
  <c r="S151" i="10"/>
  <c r="R151" i="10"/>
  <c r="P151" i="10"/>
  <c r="O151" i="10"/>
  <c r="M151" i="10"/>
  <c r="L151" i="10"/>
  <c r="S150" i="10"/>
  <c r="R150" i="10"/>
  <c r="P150" i="10"/>
  <c r="O150" i="10"/>
  <c r="M150" i="10"/>
  <c r="L150" i="10"/>
  <c r="S149" i="10"/>
  <c r="R149" i="10"/>
  <c r="P149" i="10"/>
  <c r="O149" i="10"/>
  <c r="M149" i="10"/>
  <c r="L149" i="10"/>
  <c r="S148" i="10"/>
  <c r="R148" i="10"/>
  <c r="P148" i="10"/>
  <c r="O148" i="10"/>
  <c r="M148" i="10"/>
  <c r="L148" i="10"/>
  <c r="S147" i="10"/>
  <c r="R147" i="10"/>
  <c r="P147" i="10"/>
  <c r="O147" i="10"/>
  <c r="M147" i="10"/>
  <c r="L147" i="10"/>
  <c r="S146" i="10"/>
  <c r="R146" i="10"/>
  <c r="P146" i="10"/>
  <c r="O146" i="10"/>
  <c r="M146" i="10"/>
  <c r="L146" i="10"/>
  <c r="S145" i="10"/>
  <c r="R145" i="10"/>
  <c r="P145" i="10"/>
  <c r="O145" i="10"/>
  <c r="M145" i="10"/>
  <c r="L145" i="10"/>
  <c r="S144" i="10"/>
  <c r="R144" i="10"/>
  <c r="P144" i="10"/>
  <c r="O144" i="10"/>
  <c r="M144" i="10"/>
  <c r="L144" i="10"/>
  <c r="S143" i="10"/>
  <c r="R143" i="10"/>
  <c r="P143" i="10"/>
  <c r="O143" i="10"/>
  <c r="M143" i="10"/>
  <c r="L143" i="10"/>
  <c r="S142" i="10"/>
  <c r="R142" i="10"/>
  <c r="P142" i="10"/>
  <c r="O142" i="10"/>
  <c r="M142" i="10"/>
  <c r="L142" i="10"/>
  <c r="S141" i="10"/>
  <c r="R141" i="10"/>
  <c r="P141" i="10"/>
  <c r="O141" i="10"/>
  <c r="M141" i="10"/>
  <c r="L141" i="10"/>
  <c r="S140" i="10"/>
  <c r="R140" i="10"/>
  <c r="P140" i="10"/>
  <c r="O140" i="10"/>
  <c r="M140" i="10"/>
  <c r="L140" i="10"/>
  <c r="S139" i="10"/>
  <c r="R139" i="10"/>
  <c r="P139" i="10"/>
  <c r="O139" i="10"/>
  <c r="M139" i="10"/>
  <c r="L139" i="10"/>
  <c r="S138" i="10"/>
  <c r="R138" i="10"/>
  <c r="P138" i="10"/>
  <c r="O138" i="10"/>
  <c r="M138" i="10"/>
  <c r="L138" i="10"/>
  <c r="S137" i="10"/>
  <c r="R137" i="10"/>
  <c r="P137" i="10"/>
  <c r="O137" i="10"/>
  <c r="M137" i="10"/>
  <c r="L137" i="10"/>
  <c r="S136" i="10"/>
  <c r="R136" i="10"/>
  <c r="P136" i="10"/>
  <c r="O136" i="10"/>
  <c r="M136" i="10"/>
  <c r="L136" i="10"/>
  <c r="S135" i="10"/>
  <c r="R135" i="10"/>
  <c r="P135" i="10"/>
  <c r="O135" i="10"/>
  <c r="M135" i="10"/>
  <c r="L135" i="10"/>
  <c r="S134" i="10"/>
  <c r="R134" i="10"/>
  <c r="P134" i="10"/>
  <c r="O134" i="10"/>
  <c r="M134" i="10"/>
  <c r="L134" i="10"/>
  <c r="S133" i="10"/>
  <c r="R133" i="10"/>
  <c r="P133" i="10"/>
  <c r="O133" i="10"/>
  <c r="M133" i="10"/>
  <c r="L133" i="10"/>
  <c r="S132" i="10"/>
  <c r="R132" i="10"/>
  <c r="P132" i="10"/>
  <c r="O132" i="10"/>
  <c r="M132" i="10"/>
  <c r="L132" i="10"/>
  <c r="S131" i="10"/>
  <c r="R131" i="10"/>
  <c r="P131" i="10"/>
  <c r="O131" i="10"/>
  <c r="M131" i="10"/>
  <c r="L131" i="10"/>
  <c r="S130" i="10"/>
  <c r="R130" i="10"/>
  <c r="P130" i="10"/>
  <c r="O130" i="10"/>
  <c r="M130" i="10"/>
  <c r="L130" i="10"/>
  <c r="S129" i="10"/>
  <c r="R129" i="10"/>
  <c r="P129" i="10"/>
  <c r="O129" i="10"/>
  <c r="M129" i="10"/>
  <c r="L129" i="10"/>
  <c r="S128" i="10"/>
  <c r="R128" i="10"/>
  <c r="P128" i="10"/>
  <c r="O128" i="10"/>
  <c r="M128" i="10"/>
  <c r="L128" i="10"/>
  <c r="S127" i="10"/>
  <c r="R127" i="10"/>
  <c r="P127" i="10"/>
  <c r="O127" i="10"/>
  <c r="M127" i="10"/>
  <c r="L127" i="10"/>
  <c r="S126" i="10"/>
  <c r="R126" i="10"/>
  <c r="P126" i="10"/>
  <c r="O126" i="10"/>
  <c r="M126" i="10"/>
  <c r="L126" i="10"/>
  <c r="S125" i="10"/>
  <c r="R125" i="10"/>
  <c r="P125" i="10"/>
  <c r="O125" i="10"/>
  <c r="M125" i="10"/>
  <c r="L125" i="10"/>
  <c r="S124" i="10"/>
  <c r="R124" i="10"/>
  <c r="P124" i="10"/>
  <c r="O124" i="10"/>
  <c r="M124" i="10"/>
  <c r="L124" i="10"/>
  <c r="S123" i="10"/>
  <c r="R123" i="10"/>
  <c r="P123" i="10"/>
  <c r="O123" i="10"/>
  <c r="M123" i="10"/>
  <c r="L123" i="10"/>
  <c r="S122" i="10"/>
  <c r="R122" i="10"/>
  <c r="P122" i="10"/>
  <c r="O122" i="10"/>
  <c r="M122" i="10"/>
  <c r="L122" i="10"/>
  <c r="S121" i="10"/>
  <c r="R121" i="10"/>
  <c r="P121" i="10"/>
  <c r="O121" i="10"/>
  <c r="M121" i="10"/>
  <c r="L121" i="10"/>
  <c r="S120" i="10"/>
  <c r="R120" i="10"/>
  <c r="P120" i="10"/>
  <c r="O120" i="10"/>
  <c r="M120" i="10"/>
  <c r="L120" i="10"/>
  <c r="S119" i="10"/>
  <c r="R119" i="10"/>
  <c r="P119" i="10"/>
  <c r="O119" i="10"/>
  <c r="M119" i="10"/>
  <c r="L119" i="10"/>
  <c r="S118" i="10"/>
  <c r="R118" i="10"/>
  <c r="P118" i="10"/>
  <c r="O118" i="10"/>
  <c r="M118" i="10"/>
  <c r="L118" i="10"/>
  <c r="S117" i="10"/>
  <c r="R117" i="10"/>
  <c r="P117" i="10"/>
  <c r="O117" i="10"/>
  <c r="M117" i="10"/>
  <c r="L117" i="10"/>
  <c r="S116" i="10"/>
  <c r="R116" i="10"/>
  <c r="P116" i="10"/>
  <c r="O116" i="10"/>
  <c r="M116" i="10"/>
  <c r="L116" i="10"/>
  <c r="S115" i="10"/>
  <c r="R115" i="10"/>
  <c r="P115" i="10"/>
  <c r="O115" i="10"/>
  <c r="M115" i="10"/>
  <c r="L115" i="10"/>
  <c r="S114" i="10"/>
  <c r="R114" i="10"/>
  <c r="P114" i="10"/>
  <c r="O114" i="10"/>
  <c r="M114" i="10"/>
  <c r="L114" i="10"/>
  <c r="S113" i="10"/>
  <c r="R113" i="10"/>
  <c r="P113" i="10"/>
  <c r="O113" i="10"/>
  <c r="M113" i="10"/>
  <c r="L113" i="10"/>
  <c r="S112" i="10"/>
  <c r="R112" i="10"/>
  <c r="P112" i="10"/>
  <c r="O112" i="10"/>
  <c r="M112" i="10"/>
  <c r="L112" i="10"/>
  <c r="S111" i="10"/>
  <c r="R111" i="10"/>
  <c r="P111" i="10"/>
  <c r="O111" i="10"/>
  <c r="M111" i="10"/>
  <c r="L111" i="10"/>
  <c r="S110" i="10"/>
  <c r="R110" i="10"/>
  <c r="P110" i="10"/>
  <c r="O110" i="10"/>
  <c r="M110" i="10"/>
  <c r="L110" i="10"/>
  <c r="S109" i="10"/>
  <c r="R109" i="10"/>
  <c r="P109" i="10"/>
  <c r="O109" i="10"/>
  <c r="M109" i="10"/>
  <c r="L109" i="10"/>
  <c r="S108" i="10"/>
  <c r="R108" i="10"/>
  <c r="P108" i="10"/>
  <c r="O108" i="10"/>
  <c r="M108" i="10"/>
  <c r="L108" i="10"/>
  <c r="S107" i="10"/>
  <c r="R107" i="10"/>
  <c r="P107" i="10"/>
  <c r="O107" i="10"/>
  <c r="M107" i="10"/>
  <c r="L107" i="10"/>
  <c r="S106" i="10"/>
  <c r="R106" i="10"/>
  <c r="P106" i="10"/>
  <c r="O106" i="10"/>
  <c r="M106" i="10"/>
  <c r="L106" i="10"/>
  <c r="I106" i="10"/>
  <c r="H106" i="10"/>
  <c r="F106" i="10"/>
  <c r="E106" i="10"/>
  <c r="C106" i="10"/>
  <c r="B106" i="10"/>
  <c r="S105" i="10"/>
  <c r="R105" i="10"/>
  <c r="P105" i="10"/>
  <c r="O105" i="10"/>
  <c r="M105" i="10"/>
  <c r="L105" i="10"/>
  <c r="I105" i="10"/>
  <c r="H105" i="10"/>
  <c r="F105" i="10"/>
  <c r="E105" i="10"/>
  <c r="C105" i="10"/>
  <c r="B105" i="10"/>
  <c r="S104" i="10"/>
  <c r="R104" i="10"/>
  <c r="P104" i="10"/>
  <c r="O104" i="10"/>
  <c r="M104" i="10"/>
  <c r="L104" i="10"/>
  <c r="I104" i="10"/>
  <c r="H104" i="10"/>
  <c r="F104" i="10"/>
  <c r="E104" i="10"/>
  <c r="C104" i="10"/>
  <c r="B104" i="10"/>
  <c r="S103" i="10"/>
  <c r="R103" i="10"/>
  <c r="P103" i="10"/>
  <c r="O103" i="10"/>
  <c r="M103" i="10"/>
  <c r="L103" i="10"/>
  <c r="I103" i="10"/>
  <c r="H103" i="10"/>
  <c r="F103" i="10"/>
  <c r="E103" i="10"/>
  <c r="C103" i="10"/>
  <c r="B103" i="10"/>
  <c r="S102" i="10"/>
  <c r="R102" i="10"/>
  <c r="P102" i="10"/>
  <c r="O102" i="10"/>
  <c r="M102" i="10"/>
  <c r="L102" i="10"/>
  <c r="I102" i="10"/>
  <c r="H102" i="10"/>
  <c r="F102" i="10"/>
  <c r="E102" i="10"/>
  <c r="C102" i="10"/>
  <c r="B102" i="10"/>
  <c r="S101" i="10"/>
  <c r="R101" i="10"/>
  <c r="P101" i="10"/>
  <c r="O101" i="10"/>
  <c r="M101" i="10"/>
  <c r="L101" i="10"/>
  <c r="I101" i="10"/>
  <c r="H101" i="10"/>
  <c r="F101" i="10"/>
  <c r="E101" i="10"/>
  <c r="C101" i="10"/>
  <c r="B101" i="10"/>
  <c r="S100" i="10"/>
  <c r="R100" i="10"/>
  <c r="P100" i="10"/>
  <c r="O100" i="10"/>
  <c r="M100" i="10"/>
  <c r="L100" i="10"/>
  <c r="I100" i="10"/>
  <c r="H100" i="10"/>
  <c r="F100" i="10"/>
  <c r="E100" i="10"/>
  <c r="C100" i="10"/>
  <c r="B100" i="10"/>
  <c r="S99" i="10"/>
  <c r="R99" i="10"/>
  <c r="P99" i="10"/>
  <c r="O99" i="10"/>
  <c r="M99" i="10"/>
  <c r="L99" i="10"/>
  <c r="I99" i="10"/>
  <c r="H99" i="10"/>
  <c r="F99" i="10"/>
  <c r="E99" i="10"/>
  <c r="C99" i="10"/>
  <c r="B99" i="10"/>
  <c r="S98" i="10"/>
  <c r="R98" i="10"/>
  <c r="P98" i="10"/>
  <c r="O98" i="10"/>
  <c r="M98" i="10"/>
  <c r="L98" i="10"/>
  <c r="I98" i="10"/>
  <c r="H98" i="10"/>
  <c r="F98" i="10"/>
  <c r="E98" i="10"/>
  <c r="C98" i="10"/>
  <c r="B98" i="10"/>
  <c r="S97" i="10"/>
  <c r="R97" i="10"/>
  <c r="P97" i="10"/>
  <c r="O97" i="10"/>
  <c r="M97" i="10"/>
  <c r="L97" i="10"/>
  <c r="I97" i="10"/>
  <c r="H97" i="10"/>
  <c r="F97" i="10"/>
  <c r="E97" i="10"/>
  <c r="C97" i="10"/>
  <c r="B97" i="10"/>
  <c r="S96" i="10"/>
  <c r="R96" i="10"/>
  <c r="P96" i="10"/>
  <c r="O96" i="10"/>
  <c r="M96" i="10"/>
  <c r="L96" i="10"/>
  <c r="I96" i="10"/>
  <c r="H96" i="10"/>
  <c r="F96" i="10"/>
  <c r="E96" i="10"/>
  <c r="C96" i="10"/>
  <c r="B96" i="10"/>
  <c r="S95" i="10"/>
  <c r="R95" i="10"/>
  <c r="P95" i="10"/>
  <c r="O95" i="10"/>
  <c r="M95" i="10"/>
  <c r="L95" i="10"/>
  <c r="I95" i="10"/>
  <c r="H95" i="10"/>
  <c r="F95" i="10"/>
  <c r="E95" i="10"/>
  <c r="C95" i="10"/>
  <c r="B95" i="10"/>
  <c r="S94" i="10"/>
  <c r="R94" i="10"/>
  <c r="P94" i="10"/>
  <c r="O94" i="10"/>
  <c r="M94" i="10"/>
  <c r="L94" i="10"/>
  <c r="I94" i="10"/>
  <c r="H94" i="10"/>
  <c r="F94" i="10"/>
  <c r="E94" i="10"/>
  <c r="C94" i="10"/>
  <c r="B94" i="10"/>
  <c r="S93" i="10"/>
  <c r="R93" i="10"/>
  <c r="P93" i="10"/>
  <c r="O93" i="10"/>
  <c r="M93" i="10"/>
  <c r="L93" i="10"/>
  <c r="I93" i="10"/>
  <c r="H93" i="10"/>
  <c r="F93" i="10"/>
  <c r="E93" i="10"/>
  <c r="C93" i="10"/>
  <c r="B93" i="10"/>
  <c r="S92" i="10"/>
  <c r="R92" i="10"/>
  <c r="P92" i="10"/>
  <c r="O92" i="10"/>
  <c r="M92" i="10"/>
  <c r="L92" i="10"/>
  <c r="I92" i="10"/>
  <c r="H92" i="10"/>
  <c r="F92" i="10"/>
  <c r="E92" i="10"/>
  <c r="C92" i="10"/>
  <c r="B92" i="10"/>
  <c r="S91" i="10"/>
  <c r="R91" i="10"/>
  <c r="P91" i="10"/>
  <c r="O91" i="10"/>
  <c r="M91" i="10"/>
  <c r="L91" i="10"/>
  <c r="I91" i="10"/>
  <c r="H91" i="10"/>
  <c r="F91" i="10"/>
  <c r="E91" i="10"/>
  <c r="C91" i="10"/>
  <c r="B91" i="10"/>
  <c r="S90" i="10"/>
  <c r="R90" i="10"/>
  <c r="P90" i="10"/>
  <c r="O90" i="10"/>
  <c r="M90" i="10"/>
  <c r="L90" i="10"/>
  <c r="I90" i="10"/>
  <c r="H90" i="10"/>
  <c r="F90" i="10"/>
  <c r="E90" i="10"/>
  <c r="C90" i="10"/>
  <c r="B90" i="10"/>
  <c r="S89" i="10"/>
  <c r="R89" i="10"/>
  <c r="P89" i="10"/>
  <c r="O89" i="10"/>
  <c r="M89" i="10"/>
  <c r="L89" i="10"/>
  <c r="I89" i="10"/>
  <c r="H89" i="10"/>
  <c r="F89" i="10"/>
  <c r="E89" i="10"/>
  <c r="C89" i="10"/>
  <c r="B89" i="10"/>
  <c r="S88" i="10"/>
  <c r="R88" i="10"/>
  <c r="P88" i="10"/>
  <c r="O88" i="10"/>
  <c r="M88" i="10"/>
  <c r="L88" i="10"/>
  <c r="I88" i="10"/>
  <c r="H88" i="10"/>
  <c r="F88" i="10"/>
  <c r="E88" i="10"/>
  <c r="C88" i="10"/>
  <c r="B88" i="10"/>
  <c r="S87" i="10"/>
  <c r="R87" i="10"/>
  <c r="P87" i="10"/>
  <c r="O87" i="10"/>
  <c r="M87" i="10"/>
  <c r="L87" i="10"/>
  <c r="I87" i="10"/>
  <c r="H87" i="10"/>
  <c r="F87" i="10"/>
  <c r="E87" i="10"/>
  <c r="C87" i="10"/>
  <c r="B87" i="10"/>
  <c r="S86" i="10"/>
  <c r="R86" i="10"/>
  <c r="P86" i="10"/>
  <c r="O86" i="10"/>
  <c r="M86" i="10"/>
  <c r="L86" i="10"/>
  <c r="I86" i="10"/>
  <c r="H86" i="10"/>
  <c r="F86" i="10"/>
  <c r="E86" i="10"/>
  <c r="C86" i="10"/>
  <c r="B86" i="10"/>
  <c r="S85" i="10"/>
  <c r="R85" i="10"/>
  <c r="P85" i="10"/>
  <c r="O85" i="10"/>
  <c r="M85" i="10"/>
  <c r="L85" i="10"/>
  <c r="I85" i="10"/>
  <c r="H85" i="10"/>
  <c r="F85" i="10"/>
  <c r="E85" i="10"/>
  <c r="C85" i="10"/>
  <c r="B85" i="10"/>
  <c r="S84" i="10"/>
  <c r="R84" i="10"/>
  <c r="P84" i="10"/>
  <c r="O84" i="10"/>
  <c r="M84" i="10"/>
  <c r="L84" i="10"/>
  <c r="I84" i="10"/>
  <c r="H84" i="10"/>
  <c r="F84" i="10"/>
  <c r="E84" i="10"/>
  <c r="C84" i="10"/>
  <c r="B84" i="10"/>
  <c r="S83" i="10"/>
  <c r="R83" i="10"/>
  <c r="P83" i="10"/>
  <c r="O83" i="10"/>
  <c r="M83" i="10"/>
  <c r="L83" i="10"/>
  <c r="I83" i="10"/>
  <c r="H83" i="10"/>
  <c r="F83" i="10"/>
  <c r="E83" i="10"/>
  <c r="C83" i="10"/>
  <c r="B83" i="10"/>
  <c r="S82" i="10"/>
  <c r="R82" i="10"/>
  <c r="P82" i="10"/>
  <c r="O82" i="10"/>
  <c r="M82" i="10"/>
  <c r="L82" i="10"/>
  <c r="I82" i="10"/>
  <c r="H82" i="10"/>
  <c r="F82" i="10"/>
  <c r="E82" i="10"/>
  <c r="C82" i="10"/>
  <c r="B82" i="10"/>
  <c r="S81" i="10"/>
  <c r="R81" i="10"/>
  <c r="P81" i="10"/>
  <c r="O81" i="10"/>
  <c r="M81" i="10"/>
  <c r="L81" i="10"/>
  <c r="I81" i="10"/>
  <c r="H81" i="10"/>
  <c r="F81" i="10"/>
  <c r="E81" i="10"/>
  <c r="C81" i="10"/>
  <c r="B81" i="10"/>
  <c r="S80" i="10"/>
  <c r="R80" i="10"/>
  <c r="P80" i="10"/>
  <c r="O80" i="10"/>
  <c r="M80" i="10"/>
  <c r="L80" i="10"/>
  <c r="I80" i="10"/>
  <c r="H80" i="10"/>
  <c r="F80" i="10"/>
  <c r="E80" i="10"/>
  <c r="C80" i="10"/>
  <c r="B80" i="10"/>
  <c r="S79" i="10"/>
  <c r="R79" i="10"/>
  <c r="P79" i="10"/>
  <c r="O79" i="10"/>
  <c r="M79" i="10"/>
  <c r="L79" i="10"/>
  <c r="I79" i="10"/>
  <c r="H79" i="10"/>
  <c r="F79" i="10"/>
  <c r="E79" i="10"/>
  <c r="C79" i="10"/>
  <c r="B79" i="10"/>
  <c r="S78" i="10"/>
  <c r="R78" i="10"/>
  <c r="P78" i="10"/>
  <c r="O78" i="10"/>
  <c r="M78" i="10"/>
  <c r="L78" i="10"/>
  <c r="I78" i="10"/>
  <c r="H78" i="10"/>
  <c r="F78" i="10"/>
  <c r="E78" i="10"/>
  <c r="C78" i="10"/>
  <c r="B78" i="10"/>
  <c r="S77" i="10"/>
  <c r="R77" i="10"/>
  <c r="P77" i="10"/>
  <c r="O77" i="10"/>
  <c r="M77" i="10"/>
  <c r="L77" i="10"/>
  <c r="I77" i="10"/>
  <c r="H77" i="10"/>
  <c r="F77" i="10"/>
  <c r="E77" i="10"/>
  <c r="C77" i="10"/>
  <c r="B77" i="10"/>
  <c r="S76" i="10"/>
  <c r="R76" i="10"/>
  <c r="P76" i="10"/>
  <c r="O76" i="10"/>
  <c r="M76" i="10"/>
  <c r="L76" i="10"/>
  <c r="I76" i="10"/>
  <c r="H76" i="10"/>
  <c r="F76" i="10"/>
  <c r="E76" i="10"/>
  <c r="C76" i="10"/>
  <c r="B76" i="10"/>
  <c r="S75" i="10"/>
  <c r="R75" i="10"/>
  <c r="P75" i="10"/>
  <c r="O75" i="10"/>
  <c r="M75" i="10"/>
  <c r="L75" i="10"/>
  <c r="I75" i="10"/>
  <c r="H75" i="10"/>
  <c r="F75" i="10"/>
  <c r="E75" i="10"/>
  <c r="C75" i="10"/>
  <c r="B75" i="10"/>
  <c r="S74" i="10"/>
  <c r="R74" i="10"/>
  <c r="P74" i="10"/>
  <c r="O74" i="10"/>
  <c r="M74" i="10"/>
  <c r="L74" i="10"/>
  <c r="I74" i="10"/>
  <c r="H74" i="10"/>
  <c r="F74" i="10"/>
  <c r="E74" i="10"/>
  <c r="C74" i="10"/>
  <c r="B74" i="10"/>
  <c r="S73" i="10"/>
  <c r="R73" i="10"/>
  <c r="P73" i="10"/>
  <c r="O73" i="10"/>
  <c r="M73" i="10"/>
  <c r="L73" i="10"/>
  <c r="I73" i="10"/>
  <c r="H73" i="10"/>
  <c r="F73" i="10"/>
  <c r="E73" i="10"/>
  <c r="C73" i="10"/>
  <c r="B73" i="10"/>
  <c r="S72" i="10"/>
  <c r="R72" i="10"/>
  <c r="P72" i="10"/>
  <c r="O72" i="10"/>
  <c r="M72" i="10"/>
  <c r="L72" i="10"/>
  <c r="I72" i="10"/>
  <c r="H72" i="10"/>
  <c r="F72" i="10"/>
  <c r="E72" i="10"/>
  <c r="C72" i="10"/>
  <c r="B72" i="10"/>
  <c r="S71" i="10"/>
  <c r="R71" i="10"/>
  <c r="P71" i="10"/>
  <c r="O71" i="10"/>
  <c r="M71" i="10"/>
  <c r="L71" i="10"/>
  <c r="I71" i="10"/>
  <c r="H71" i="10"/>
  <c r="F71" i="10"/>
  <c r="E71" i="10"/>
  <c r="C71" i="10"/>
  <c r="B71" i="10"/>
  <c r="S70" i="10"/>
  <c r="R70" i="10"/>
  <c r="P70" i="10"/>
  <c r="O70" i="10"/>
  <c r="M70" i="10"/>
  <c r="L70" i="10"/>
  <c r="I70" i="10"/>
  <c r="H70" i="10"/>
  <c r="F70" i="10"/>
  <c r="E70" i="10"/>
  <c r="C70" i="10"/>
  <c r="B70" i="10"/>
  <c r="S69" i="10"/>
  <c r="R69" i="10"/>
  <c r="P69" i="10"/>
  <c r="O69" i="10"/>
  <c r="M69" i="10"/>
  <c r="L69" i="10"/>
  <c r="I69" i="10"/>
  <c r="H69" i="10"/>
  <c r="F69" i="10"/>
  <c r="E69" i="10"/>
  <c r="C69" i="10"/>
  <c r="B69" i="10"/>
  <c r="S68" i="10"/>
  <c r="R68" i="10"/>
  <c r="P68" i="10"/>
  <c r="O68" i="10"/>
  <c r="M68" i="10"/>
  <c r="L68" i="10"/>
  <c r="I68" i="10"/>
  <c r="H68" i="10"/>
  <c r="F68" i="10"/>
  <c r="E68" i="10"/>
  <c r="C68" i="10"/>
  <c r="B68" i="10"/>
  <c r="S67" i="10"/>
  <c r="R67" i="10"/>
  <c r="P67" i="10"/>
  <c r="O67" i="10"/>
  <c r="M67" i="10"/>
  <c r="L67" i="10"/>
  <c r="I67" i="10"/>
  <c r="H67" i="10"/>
  <c r="F67" i="10"/>
  <c r="E67" i="10"/>
  <c r="C67" i="10"/>
  <c r="B67" i="10"/>
  <c r="S66" i="10"/>
  <c r="R66" i="10"/>
  <c r="P66" i="10"/>
  <c r="O66" i="10"/>
  <c r="M66" i="10"/>
  <c r="L66" i="10"/>
  <c r="I66" i="10"/>
  <c r="H66" i="10"/>
  <c r="F66" i="10"/>
  <c r="E66" i="10"/>
  <c r="C66" i="10"/>
  <c r="B66" i="10"/>
  <c r="S65" i="10"/>
  <c r="R65" i="10"/>
  <c r="P65" i="10"/>
  <c r="O65" i="10"/>
  <c r="M65" i="10"/>
  <c r="L65" i="10"/>
  <c r="I65" i="10"/>
  <c r="H65" i="10"/>
  <c r="F65" i="10"/>
  <c r="E65" i="10"/>
  <c r="C65" i="10"/>
  <c r="B65" i="10"/>
  <c r="S64" i="10"/>
  <c r="R64" i="10"/>
  <c r="P64" i="10"/>
  <c r="O64" i="10"/>
  <c r="M64" i="10"/>
  <c r="L64" i="10"/>
  <c r="I64" i="10"/>
  <c r="H64" i="10"/>
  <c r="F64" i="10"/>
  <c r="E64" i="10"/>
  <c r="C64" i="10"/>
  <c r="B64" i="10"/>
  <c r="S63" i="10"/>
  <c r="R63" i="10"/>
  <c r="P63" i="10"/>
  <c r="O63" i="10"/>
  <c r="M63" i="10"/>
  <c r="L63" i="10"/>
  <c r="I63" i="10"/>
  <c r="H63" i="10"/>
  <c r="F63" i="10"/>
  <c r="E63" i="10"/>
  <c r="C63" i="10"/>
  <c r="B63" i="10"/>
  <c r="S62" i="10"/>
  <c r="R62" i="10"/>
  <c r="P62" i="10"/>
  <c r="O62" i="10"/>
  <c r="M62" i="10"/>
  <c r="L62" i="10"/>
  <c r="I62" i="10"/>
  <c r="H62" i="10"/>
  <c r="F62" i="10"/>
  <c r="E62" i="10"/>
  <c r="C62" i="10"/>
  <c r="B62" i="10"/>
  <c r="S61" i="10"/>
  <c r="R61" i="10"/>
  <c r="P61" i="10"/>
  <c r="O61" i="10"/>
  <c r="M61" i="10"/>
  <c r="L61" i="10"/>
  <c r="I61" i="10"/>
  <c r="H61" i="10"/>
  <c r="F61" i="10"/>
  <c r="E61" i="10"/>
  <c r="C61" i="10"/>
  <c r="B61" i="10"/>
  <c r="S60" i="10"/>
  <c r="R60" i="10"/>
  <c r="P60" i="10"/>
  <c r="O60" i="10"/>
  <c r="M60" i="10"/>
  <c r="L60" i="10"/>
  <c r="I60" i="10"/>
  <c r="H60" i="10"/>
  <c r="F60" i="10"/>
  <c r="E60" i="10"/>
  <c r="C60" i="10"/>
  <c r="B60" i="10"/>
  <c r="S59" i="10"/>
  <c r="R59" i="10"/>
  <c r="P59" i="10"/>
  <c r="O59" i="10"/>
  <c r="M59" i="10"/>
  <c r="L59" i="10"/>
  <c r="I59" i="10"/>
  <c r="H59" i="10"/>
  <c r="F59" i="10"/>
  <c r="E59" i="10"/>
  <c r="C59" i="10"/>
  <c r="B59" i="10"/>
  <c r="S58" i="10"/>
  <c r="R58" i="10"/>
  <c r="P58" i="10"/>
  <c r="O58" i="10"/>
  <c r="M58" i="10"/>
  <c r="L58" i="10"/>
  <c r="I58" i="10"/>
  <c r="H58" i="10"/>
  <c r="F58" i="10"/>
  <c r="E58" i="10"/>
  <c r="C58" i="10"/>
  <c r="B58" i="10"/>
  <c r="S57" i="10"/>
  <c r="R57" i="10"/>
  <c r="P57" i="10"/>
  <c r="O57" i="10"/>
  <c r="M57" i="10"/>
  <c r="L57" i="10"/>
  <c r="I57" i="10"/>
  <c r="H57" i="10"/>
  <c r="F57" i="10"/>
  <c r="E57" i="10"/>
  <c r="C57" i="10"/>
  <c r="B57" i="10"/>
  <c r="S56" i="10"/>
  <c r="R56" i="10"/>
  <c r="P56" i="10"/>
  <c r="O56" i="10"/>
  <c r="M56" i="10"/>
  <c r="L56" i="10"/>
  <c r="I56" i="10"/>
  <c r="H56" i="10"/>
  <c r="F56" i="10"/>
  <c r="E56" i="10"/>
  <c r="C56" i="10"/>
  <c r="B56" i="10"/>
  <c r="S55" i="10"/>
  <c r="R55" i="10"/>
  <c r="P55" i="10"/>
  <c r="O55" i="10"/>
  <c r="M55" i="10"/>
  <c r="L55" i="10"/>
  <c r="I55" i="10"/>
  <c r="H55" i="10"/>
  <c r="F55" i="10"/>
  <c r="E55" i="10"/>
  <c r="C55" i="10"/>
  <c r="B55" i="10"/>
  <c r="S54" i="10"/>
  <c r="R54" i="10"/>
  <c r="P54" i="10"/>
  <c r="O54" i="10"/>
  <c r="M54" i="10"/>
  <c r="L54" i="10"/>
  <c r="I54" i="10"/>
  <c r="H54" i="10"/>
  <c r="F54" i="10"/>
  <c r="E54" i="10"/>
  <c r="C54" i="10"/>
  <c r="B54" i="10"/>
  <c r="S53" i="10"/>
  <c r="R53" i="10"/>
  <c r="P53" i="10"/>
  <c r="O53" i="10"/>
  <c r="M53" i="10"/>
  <c r="L53" i="10"/>
  <c r="I53" i="10"/>
  <c r="H53" i="10"/>
  <c r="F53" i="10"/>
  <c r="E53" i="10"/>
  <c r="C53" i="10"/>
  <c r="B53" i="10"/>
  <c r="S52" i="10"/>
  <c r="R52" i="10"/>
  <c r="P52" i="10"/>
  <c r="O52" i="10"/>
  <c r="M52" i="10"/>
  <c r="L52" i="10"/>
  <c r="I52" i="10"/>
  <c r="H52" i="10"/>
  <c r="F52" i="10"/>
  <c r="E52" i="10"/>
  <c r="C52" i="10"/>
  <c r="B52" i="10"/>
  <c r="S51" i="10"/>
  <c r="R51" i="10"/>
  <c r="P51" i="10"/>
  <c r="O51" i="10"/>
  <c r="M51" i="10"/>
  <c r="L51" i="10"/>
  <c r="I51" i="10"/>
  <c r="H51" i="10"/>
  <c r="F51" i="10"/>
  <c r="E51" i="10"/>
  <c r="C51" i="10"/>
  <c r="B51" i="10"/>
  <c r="S50" i="10"/>
  <c r="R50" i="10"/>
  <c r="P50" i="10"/>
  <c r="O50" i="10"/>
  <c r="M50" i="10"/>
  <c r="L50" i="10"/>
  <c r="I50" i="10"/>
  <c r="H50" i="10"/>
  <c r="F50" i="10"/>
  <c r="E50" i="10"/>
  <c r="C50" i="10"/>
  <c r="B50" i="10"/>
  <c r="S49" i="10"/>
  <c r="R49" i="10"/>
  <c r="P49" i="10"/>
  <c r="O49" i="10"/>
  <c r="M49" i="10"/>
  <c r="L49" i="10"/>
  <c r="I49" i="10"/>
  <c r="H49" i="10"/>
  <c r="F49" i="10"/>
  <c r="E49" i="10"/>
  <c r="C49" i="10"/>
  <c r="B49" i="10"/>
  <c r="S48" i="10"/>
  <c r="R48" i="10"/>
  <c r="P48" i="10"/>
  <c r="O48" i="10"/>
  <c r="M48" i="10"/>
  <c r="L48" i="10"/>
  <c r="I48" i="10"/>
  <c r="H48" i="10"/>
  <c r="F48" i="10"/>
  <c r="E48" i="10"/>
  <c r="C48" i="10"/>
  <c r="B48" i="10"/>
  <c r="S47" i="10"/>
  <c r="R47" i="10"/>
  <c r="P47" i="10"/>
  <c r="O47" i="10"/>
  <c r="M47" i="10"/>
  <c r="L47" i="10"/>
  <c r="I47" i="10"/>
  <c r="H47" i="10"/>
  <c r="F47" i="10"/>
  <c r="E47" i="10"/>
  <c r="C47" i="10"/>
  <c r="B47" i="10"/>
  <c r="S46" i="10"/>
  <c r="R46" i="10"/>
  <c r="P46" i="10"/>
  <c r="O46" i="10"/>
  <c r="M46" i="10"/>
  <c r="L46" i="10"/>
  <c r="I46" i="10"/>
  <c r="H46" i="10"/>
  <c r="F46" i="10"/>
  <c r="E46" i="10"/>
  <c r="C46" i="10"/>
  <c r="B46" i="10"/>
  <c r="S45" i="10"/>
  <c r="R45" i="10"/>
  <c r="P45" i="10"/>
  <c r="O45" i="10"/>
  <c r="M45" i="10"/>
  <c r="L45" i="10"/>
  <c r="I45" i="10"/>
  <c r="H45" i="10"/>
  <c r="F45" i="10"/>
  <c r="E45" i="10"/>
  <c r="C45" i="10"/>
  <c r="B45" i="10"/>
  <c r="S44" i="10"/>
  <c r="R44" i="10"/>
  <c r="P44" i="10"/>
  <c r="O44" i="10"/>
  <c r="M44" i="10"/>
  <c r="L44" i="10"/>
  <c r="I44" i="10"/>
  <c r="H44" i="10"/>
  <c r="F44" i="10"/>
  <c r="E44" i="10"/>
  <c r="C44" i="10"/>
  <c r="B44" i="10"/>
  <c r="S43" i="10"/>
  <c r="R43" i="10"/>
  <c r="P43" i="10"/>
  <c r="O43" i="10"/>
  <c r="M43" i="10"/>
  <c r="L43" i="10"/>
  <c r="I43" i="10"/>
  <c r="H43" i="10"/>
  <c r="F43" i="10"/>
  <c r="E43" i="10"/>
  <c r="C43" i="10"/>
  <c r="B43" i="10"/>
  <c r="S42" i="10"/>
  <c r="R42" i="10"/>
  <c r="P42" i="10"/>
  <c r="O42" i="10"/>
  <c r="M42" i="10"/>
  <c r="L42" i="10"/>
  <c r="I42" i="10"/>
  <c r="H42" i="10"/>
  <c r="F42" i="10"/>
  <c r="E42" i="10"/>
  <c r="C42" i="10"/>
  <c r="B42" i="10"/>
  <c r="S41" i="10"/>
  <c r="R41" i="10"/>
  <c r="P41" i="10"/>
  <c r="O41" i="10"/>
  <c r="M41" i="10"/>
  <c r="L41" i="10"/>
  <c r="I41" i="10"/>
  <c r="H41" i="10"/>
  <c r="F41" i="10"/>
  <c r="E41" i="10"/>
  <c r="C41" i="10"/>
  <c r="B41" i="10"/>
  <c r="S40" i="10"/>
  <c r="R40" i="10"/>
  <c r="P40" i="10"/>
  <c r="O40" i="10"/>
  <c r="M40" i="10"/>
  <c r="L40" i="10"/>
  <c r="I40" i="10"/>
  <c r="H40" i="10"/>
  <c r="F40" i="10"/>
  <c r="E40" i="10"/>
  <c r="C40" i="10"/>
  <c r="B40" i="10"/>
  <c r="S39" i="10"/>
  <c r="R39" i="10"/>
  <c r="P39" i="10"/>
  <c r="O39" i="10"/>
  <c r="M39" i="10"/>
  <c r="L39" i="10"/>
  <c r="I39" i="10"/>
  <c r="H39" i="10"/>
  <c r="F39" i="10"/>
  <c r="E39" i="10"/>
  <c r="C39" i="10"/>
  <c r="B39" i="10"/>
  <c r="S38" i="10"/>
  <c r="R38" i="10"/>
  <c r="P38" i="10"/>
  <c r="O38" i="10"/>
  <c r="M38" i="10"/>
  <c r="L38" i="10"/>
  <c r="I38" i="10"/>
  <c r="H38" i="10"/>
  <c r="F38" i="10"/>
  <c r="E38" i="10"/>
  <c r="C38" i="10"/>
  <c r="B38" i="10"/>
  <c r="S37" i="10"/>
  <c r="R37" i="10"/>
  <c r="P37" i="10"/>
  <c r="O37" i="10"/>
  <c r="M37" i="10"/>
  <c r="L37" i="10"/>
  <c r="I37" i="10"/>
  <c r="H37" i="10"/>
  <c r="F37" i="10"/>
  <c r="E37" i="10"/>
  <c r="C37" i="10"/>
  <c r="B37" i="10"/>
  <c r="S36" i="10"/>
  <c r="R36" i="10"/>
  <c r="P36" i="10"/>
  <c r="O36" i="10"/>
  <c r="M36" i="10"/>
  <c r="L36" i="10"/>
  <c r="I36" i="10"/>
  <c r="H36" i="10"/>
  <c r="F36" i="10"/>
  <c r="E36" i="10"/>
  <c r="C36" i="10"/>
  <c r="B36" i="10"/>
  <c r="S35" i="10"/>
  <c r="R35" i="10"/>
  <c r="P35" i="10"/>
  <c r="O35" i="10"/>
  <c r="M35" i="10"/>
  <c r="L35" i="10"/>
  <c r="I35" i="10"/>
  <c r="H35" i="10"/>
  <c r="F35" i="10"/>
  <c r="E35" i="10"/>
  <c r="C35" i="10"/>
  <c r="B35" i="10"/>
  <c r="S34" i="10"/>
  <c r="R34" i="10"/>
  <c r="P34" i="10"/>
  <c r="O34" i="10"/>
  <c r="M34" i="10"/>
  <c r="L34" i="10"/>
  <c r="I34" i="10"/>
  <c r="H34" i="10"/>
  <c r="F34" i="10"/>
  <c r="E34" i="10"/>
  <c r="C34" i="10"/>
  <c r="B34" i="10"/>
  <c r="S33" i="10"/>
  <c r="R33" i="10"/>
  <c r="P33" i="10"/>
  <c r="O33" i="10"/>
  <c r="M33" i="10"/>
  <c r="L33" i="10"/>
  <c r="I33" i="10"/>
  <c r="H33" i="10"/>
  <c r="F33" i="10"/>
  <c r="E33" i="10"/>
  <c r="C33" i="10"/>
  <c r="B33" i="10"/>
  <c r="S32" i="10"/>
  <c r="R32" i="10"/>
  <c r="P32" i="10"/>
  <c r="O32" i="10"/>
  <c r="M32" i="10"/>
  <c r="L32" i="10"/>
  <c r="I32" i="10"/>
  <c r="H32" i="10"/>
  <c r="F32" i="10"/>
  <c r="E32" i="10"/>
  <c r="C32" i="10"/>
  <c r="B32" i="10"/>
  <c r="S31" i="10"/>
  <c r="R31" i="10"/>
  <c r="P31" i="10"/>
  <c r="O31" i="10"/>
  <c r="M31" i="10"/>
  <c r="L31" i="10"/>
  <c r="I31" i="10"/>
  <c r="H31" i="10"/>
  <c r="F31" i="10"/>
  <c r="E31" i="10"/>
  <c r="C31" i="10"/>
  <c r="B31" i="10"/>
  <c r="S30" i="10"/>
  <c r="R30" i="10"/>
  <c r="P30" i="10"/>
  <c r="O30" i="10"/>
  <c r="M30" i="10"/>
  <c r="L30" i="10"/>
  <c r="I30" i="10"/>
  <c r="H30" i="10"/>
  <c r="F30" i="10"/>
  <c r="E30" i="10"/>
  <c r="C30" i="10"/>
  <c r="B30" i="10"/>
  <c r="S29" i="10"/>
  <c r="R29" i="10"/>
  <c r="P29" i="10"/>
  <c r="O29" i="10"/>
  <c r="M29" i="10"/>
  <c r="L29" i="10"/>
  <c r="I29" i="10"/>
  <c r="H29" i="10"/>
  <c r="F29" i="10"/>
  <c r="E29" i="10"/>
  <c r="C29" i="10"/>
  <c r="B29" i="10"/>
  <c r="S28" i="10"/>
  <c r="R28" i="10"/>
  <c r="P28" i="10"/>
  <c r="O28" i="10"/>
  <c r="M28" i="10"/>
  <c r="L28" i="10"/>
  <c r="I28" i="10"/>
  <c r="H28" i="10"/>
  <c r="F28" i="10"/>
  <c r="E28" i="10"/>
  <c r="C28" i="10"/>
  <c r="B28" i="10"/>
  <c r="S27" i="10"/>
  <c r="R27" i="10"/>
  <c r="P27" i="10"/>
  <c r="O27" i="10"/>
  <c r="M27" i="10"/>
  <c r="L27" i="10"/>
  <c r="I27" i="10"/>
  <c r="H27" i="10"/>
  <c r="F27" i="10"/>
  <c r="E27" i="10"/>
  <c r="C27" i="10"/>
  <c r="B27" i="10"/>
  <c r="S26" i="10"/>
  <c r="R26" i="10"/>
  <c r="P26" i="10"/>
  <c r="O26" i="10"/>
  <c r="M26" i="10"/>
  <c r="L26" i="10"/>
  <c r="I26" i="10"/>
  <c r="H26" i="10"/>
  <c r="F26" i="10"/>
  <c r="E26" i="10"/>
  <c r="C26" i="10"/>
  <c r="B26" i="10"/>
  <c r="S25" i="10"/>
  <c r="R25" i="10"/>
  <c r="P25" i="10"/>
  <c r="O25" i="10"/>
  <c r="M25" i="10"/>
  <c r="L25" i="10"/>
  <c r="I25" i="10"/>
  <c r="H25" i="10"/>
  <c r="F25" i="10"/>
  <c r="E25" i="10"/>
  <c r="C25" i="10"/>
  <c r="B25" i="10"/>
  <c r="S24" i="10"/>
  <c r="R24" i="10"/>
  <c r="P24" i="10"/>
  <c r="O24" i="10"/>
  <c r="M24" i="10"/>
  <c r="L24" i="10"/>
  <c r="I24" i="10"/>
  <c r="H24" i="10"/>
  <c r="F24" i="10"/>
  <c r="E24" i="10"/>
  <c r="C24" i="10"/>
  <c r="B24" i="10"/>
  <c r="S23" i="10"/>
  <c r="R23" i="10"/>
  <c r="P23" i="10"/>
  <c r="O23" i="10"/>
  <c r="M23" i="10"/>
  <c r="L23" i="10"/>
  <c r="I23" i="10"/>
  <c r="H23" i="10"/>
  <c r="F23" i="10"/>
  <c r="E23" i="10"/>
  <c r="C23" i="10"/>
  <c r="B23" i="10"/>
  <c r="S22" i="10"/>
  <c r="R22" i="10"/>
  <c r="P22" i="10"/>
  <c r="O22" i="10"/>
  <c r="M22" i="10"/>
  <c r="L22" i="10"/>
  <c r="I22" i="10"/>
  <c r="H22" i="10"/>
  <c r="F22" i="10"/>
  <c r="E22" i="10"/>
  <c r="C22" i="10"/>
  <c r="B22" i="10"/>
  <c r="S21" i="10"/>
  <c r="R21" i="10"/>
  <c r="P21" i="10"/>
  <c r="O21" i="10"/>
  <c r="M21" i="10"/>
  <c r="L21" i="10"/>
  <c r="I21" i="10"/>
  <c r="H21" i="10"/>
  <c r="F21" i="10"/>
  <c r="E21" i="10"/>
  <c r="C21" i="10"/>
  <c r="B21" i="10"/>
  <c r="S20" i="10"/>
  <c r="R20" i="10"/>
  <c r="P20" i="10"/>
  <c r="O20" i="10"/>
  <c r="M20" i="10"/>
  <c r="L20" i="10"/>
  <c r="I20" i="10"/>
  <c r="H20" i="10"/>
  <c r="F20" i="10"/>
  <c r="E20" i="10"/>
  <c r="C20" i="10"/>
  <c r="B20" i="10"/>
  <c r="S19" i="10"/>
  <c r="R19" i="10"/>
  <c r="P19" i="10"/>
  <c r="O19" i="10"/>
  <c r="M19" i="10"/>
  <c r="L19" i="10"/>
  <c r="I19" i="10"/>
  <c r="H19" i="10"/>
  <c r="F19" i="10"/>
  <c r="E19" i="10"/>
  <c r="C19" i="10"/>
  <c r="B19" i="10"/>
  <c r="S18" i="10"/>
  <c r="R18" i="10"/>
  <c r="P18" i="10"/>
  <c r="O18" i="10"/>
  <c r="M18" i="10"/>
  <c r="L18" i="10"/>
  <c r="I18" i="10"/>
  <c r="H18" i="10"/>
  <c r="F18" i="10"/>
  <c r="E18" i="10"/>
  <c r="C18" i="10"/>
  <c r="B18" i="10"/>
  <c r="S17" i="10"/>
  <c r="R17" i="10"/>
  <c r="P17" i="10"/>
  <c r="O17" i="10"/>
  <c r="M17" i="10"/>
  <c r="L17" i="10"/>
  <c r="I17" i="10"/>
  <c r="H17" i="10"/>
  <c r="F17" i="10"/>
  <c r="E17" i="10"/>
  <c r="C17" i="10"/>
  <c r="B17" i="10"/>
  <c r="S16" i="10"/>
  <c r="R16" i="10"/>
  <c r="P16" i="10"/>
  <c r="O16" i="10"/>
  <c r="M16" i="10"/>
  <c r="L16" i="10"/>
  <c r="I16" i="10"/>
  <c r="H16" i="10"/>
  <c r="F16" i="10"/>
  <c r="E16" i="10"/>
  <c r="C16" i="10"/>
  <c r="B16" i="10"/>
  <c r="S15" i="10"/>
  <c r="R15" i="10"/>
  <c r="P15" i="10"/>
  <c r="O15" i="10"/>
  <c r="M15" i="10"/>
  <c r="L15" i="10"/>
  <c r="I15" i="10"/>
  <c r="H15" i="10"/>
  <c r="F15" i="10"/>
  <c r="E15" i="10"/>
  <c r="C15" i="10"/>
  <c r="B15" i="10"/>
  <c r="S14" i="10"/>
  <c r="R14" i="10"/>
  <c r="P14" i="10"/>
  <c r="O14" i="10"/>
  <c r="M14" i="10"/>
  <c r="L14" i="10"/>
  <c r="I14" i="10"/>
  <c r="H14" i="10"/>
  <c r="F14" i="10"/>
  <c r="E14" i="10"/>
  <c r="C14" i="10"/>
  <c r="B14" i="10"/>
  <c r="S13" i="10"/>
  <c r="R13" i="10"/>
  <c r="P13" i="10"/>
  <c r="O13" i="10"/>
  <c r="M13" i="10"/>
  <c r="L13" i="10"/>
  <c r="I13" i="10"/>
  <c r="H13" i="10"/>
  <c r="F13" i="10"/>
  <c r="E13" i="10"/>
  <c r="C13" i="10"/>
  <c r="B13" i="10"/>
  <c r="S12" i="10"/>
  <c r="R12" i="10"/>
  <c r="P12" i="10"/>
  <c r="O12" i="10"/>
  <c r="M12" i="10"/>
  <c r="L12" i="10"/>
  <c r="I12" i="10"/>
  <c r="H12" i="10"/>
  <c r="F12" i="10"/>
  <c r="E12" i="10"/>
  <c r="C12" i="10"/>
  <c r="B12" i="10"/>
  <c r="S11" i="10"/>
  <c r="R11" i="10"/>
  <c r="P11" i="10"/>
  <c r="O11" i="10"/>
  <c r="M11" i="10"/>
  <c r="L11" i="10"/>
  <c r="I11" i="10"/>
  <c r="H11" i="10"/>
  <c r="F11" i="10"/>
  <c r="E11" i="10"/>
  <c r="C11" i="10"/>
  <c r="B11" i="10"/>
  <c r="S10" i="10"/>
  <c r="R10" i="10"/>
  <c r="P10" i="10"/>
  <c r="O10" i="10"/>
  <c r="M10" i="10"/>
  <c r="L10" i="10"/>
  <c r="I10" i="10"/>
  <c r="H10" i="10"/>
  <c r="F10" i="10"/>
  <c r="E10" i="10"/>
  <c r="C10" i="10"/>
  <c r="B10" i="10"/>
  <c r="S9" i="10"/>
  <c r="R9" i="10"/>
  <c r="P9" i="10"/>
  <c r="O9" i="10"/>
  <c r="M9" i="10"/>
  <c r="L9" i="10"/>
  <c r="I9" i="10"/>
  <c r="H9" i="10"/>
  <c r="F9" i="10"/>
  <c r="E9" i="10"/>
  <c r="C9" i="10"/>
  <c r="B9" i="10"/>
  <c r="S8" i="10"/>
  <c r="R8" i="10"/>
  <c r="P8" i="10"/>
  <c r="O8" i="10"/>
  <c r="M8" i="10"/>
  <c r="L8" i="10"/>
  <c r="I8" i="10"/>
  <c r="H8" i="10"/>
  <c r="F8" i="10"/>
  <c r="E8" i="10"/>
  <c r="C8" i="10"/>
  <c r="B8" i="10"/>
  <c r="S7" i="10"/>
  <c r="R7" i="10"/>
  <c r="P7" i="10"/>
  <c r="O7" i="10"/>
  <c r="M7" i="10"/>
  <c r="L7" i="10"/>
  <c r="I7" i="10"/>
  <c r="H7" i="10"/>
  <c r="F7" i="10"/>
  <c r="E7" i="10"/>
  <c r="C7" i="10"/>
  <c r="B7" i="10"/>
  <c r="S6" i="10"/>
  <c r="R6" i="10"/>
  <c r="P6" i="10"/>
  <c r="O6" i="10"/>
  <c r="M6" i="10"/>
  <c r="L6" i="10"/>
  <c r="I6" i="10"/>
  <c r="H6" i="10"/>
  <c r="F6" i="10"/>
  <c r="E6" i="10"/>
  <c r="C6" i="10"/>
  <c r="B6" i="10"/>
  <c r="S5" i="10"/>
  <c r="R5" i="10"/>
  <c r="P5" i="10"/>
  <c r="O5" i="10"/>
  <c r="M5" i="10"/>
  <c r="L5" i="10"/>
  <c r="I5" i="10"/>
  <c r="H5" i="10"/>
  <c r="F5" i="10"/>
  <c r="E5" i="10"/>
  <c r="C5" i="10"/>
  <c r="B5" i="10"/>
  <c r="S4" i="10"/>
  <c r="R4" i="10"/>
  <c r="P4" i="10"/>
  <c r="O4" i="10"/>
  <c r="M4" i="10"/>
  <c r="L4" i="10"/>
  <c r="I4" i="10"/>
  <c r="H4" i="10"/>
  <c r="F4" i="10"/>
  <c r="E4" i="10"/>
  <c r="C4" i="10"/>
  <c r="B4" i="10"/>
  <c r="S3" i="10"/>
  <c r="R3" i="10"/>
  <c r="P3" i="10"/>
  <c r="O3" i="10"/>
  <c r="M3" i="10"/>
  <c r="L3" i="10"/>
  <c r="I3" i="10"/>
  <c r="H3" i="10"/>
  <c r="F3" i="10"/>
  <c r="E3" i="10"/>
  <c r="C3" i="10"/>
  <c r="B3" i="10"/>
  <c r="S2" i="10"/>
  <c r="R2" i="10"/>
  <c r="P2" i="10"/>
  <c r="O2" i="10"/>
  <c r="M2" i="10"/>
  <c r="L2" i="10"/>
  <c r="I2" i="10"/>
  <c r="H2" i="10"/>
  <c r="F2" i="10"/>
  <c r="E2" i="10"/>
  <c r="C2" i="10"/>
  <c r="B2" i="10"/>
  <c r="AA31" i="9"/>
  <c r="Z31" i="9"/>
  <c r="Y31" i="9"/>
  <c r="X31" i="9"/>
  <c r="AA30" i="9"/>
  <c r="Z30" i="9"/>
  <c r="Y30" i="9"/>
  <c r="X30" i="9"/>
  <c r="AA29" i="9"/>
  <c r="Z29" i="9"/>
  <c r="Y29" i="9"/>
  <c r="X29" i="9"/>
  <c r="AA28" i="9"/>
  <c r="Z28" i="9"/>
  <c r="Y28" i="9"/>
  <c r="X28" i="9"/>
  <c r="AA27" i="9"/>
  <c r="Z27" i="9"/>
  <c r="Y27" i="9"/>
  <c r="X27" i="9"/>
  <c r="AA26" i="9"/>
  <c r="Z26" i="9"/>
  <c r="Y26" i="9"/>
  <c r="X26" i="9"/>
  <c r="AA25" i="9"/>
  <c r="Z25" i="9"/>
  <c r="Y25" i="9"/>
  <c r="X25" i="9"/>
  <c r="AA24" i="9"/>
  <c r="Z24" i="9"/>
  <c r="Y24" i="9"/>
  <c r="X24" i="9"/>
  <c r="AA23" i="9"/>
  <c r="Z23" i="9"/>
  <c r="Y23" i="9"/>
  <c r="X23" i="9"/>
  <c r="AA22" i="9"/>
  <c r="Z22" i="9"/>
  <c r="Y22" i="9"/>
  <c r="X22" i="9"/>
  <c r="AA21" i="9"/>
  <c r="Z21" i="9"/>
  <c r="Y21" i="9"/>
  <c r="X21" i="9"/>
  <c r="AA20" i="9"/>
  <c r="Z20" i="9"/>
  <c r="Y20" i="9"/>
  <c r="X20" i="9"/>
  <c r="AA19" i="9"/>
  <c r="Z19" i="9"/>
  <c r="Y19" i="9"/>
  <c r="X19" i="9"/>
  <c r="AA18" i="9"/>
  <c r="Z18" i="9"/>
  <c r="Y18" i="9"/>
  <c r="X18" i="9"/>
  <c r="AA17" i="9"/>
  <c r="Z17" i="9"/>
  <c r="Y17" i="9"/>
  <c r="X17" i="9"/>
  <c r="AA16" i="9"/>
  <c r="Z16" i="9"/>
  <c r="Y16" i="9"/>
  <c r="X16" i="9"/>
  <c r="AA15" i="9"/>
  <c r="Z15" i="9"/>
  <c r="Y15" i="9"/>
  <c r="X15" i="9"/>
  <c r="AA14" i="9"/>
  <c r="Z14" i="9"/>
  <c r="Y14" i="9"/>
  <c r="X14" i="9"/>
  <c r="AA13" i="9"/>
  <c r="Z13" i="9"/>
  <c r="Y13" i="9"/>
  <c r="X13" i="9"/>
  <c r="AA12" i="9"/>
  <c r="Z12" i="9"/>
  <c r="Y12" i="9"/>
  <c r="X12" i="9"/>
  <c r="AA11" i="9"/>
  <c r="Z11" i="9"/>
  <c r="Y11" i="9"/>
  <c r="X11" i="9"/>
  <c r="AA10" i="9"/>
  <c r="Z10" i="9"/>
  <c r="Y10" i="9"/>
  <c r="X10" i="9"/>
  <c r="AA9" i="9"/>
  <c r="Z9" i="9"/>
  <c r="Y9" i="9"/>
  <c r="X9" i="9"/>
  <c r="AA8" i="9"/>
  <c r="Z8" i="9"/>
  <c r="Y8" i="9"/>
  <c r="X8" i="9"/>
  <c r="AA7" i="9"/>
  <c r="Z7" i="9"/>
  <c r="Y7" i="9"/>
  <c r="X7" i="9"/>
  <c r="AA6" i="9"/>
  <c r="Z6" i="9"/>
  <c r="Y6" i="9"/>
  <c r="X6" i="9"/>
  <c r="AA5" i="9"/>
  <c r="Z5" i="9"/>
  <c r="Y5" i="9"/>
  <c r="X5" i="9"/>
  <c r="AA4" i="9"/>
  <c r="Z4" i="9"/>
  <c r="Y4" i="9"/>
  <c r="X4" i="9"/>
  <c r="AA3" i="9"/>
  <c r="Z3" i="9"/>
  <c r="Y3" i="9"/>
  <c r="X3" i="9"/>
  <c r="AA31" i="8"/>
  <c r="Z31" i="8"/>
  <c r="Y31" i="8"/>
  <c r="X31" i="8"/>
  <c r="AA30" i="8"/>
  <c r="Z30" i="8"/>
  <c r="Y30" i="8"/>
  <c r="X30" i="8"/>
  <c r="AA29" i="8"/>
  <c r="Z29" i="8"/>
  <c r="Y29" i="8"/>
  <c r="X29" i="8"/>
  <c r="AA28" i="8"/>
  <c r="Z28" i="8"/>
  <c r="Y28" i="8"/>
  <c r="X28" i="8"/>
  <c r="AA27" i="8"/>
  <c r="Z27" i="8"/>
  <c r="Y27" i="8"/>
  <c r="X27" i="8"/>
  <c r="AA26" i="8"/>
  <c r="Z26" i="8"/>
  <c r="Y26" i="8"/>
  <c r="X26" i="8"/>
  <c r="AA25" i="8"/>
  <c r="Z25" i="8"/>
  <c r="Y25" i="8"/>
  <c r="X25" i="8"/>
  <c r="AA24" i="8"/>
  <c r="Z24" i="8"/>
  <c r="Y24" i="8"/>
  <c r="X24" i="8"/>
  <c r="AA23" i="8"/>
  <c r="Z23" i="8"/>
  <c r="Y23" i="8"/>
  <c r="X23" i="8"/>
  <c r="AA22" i="8"/>
  <c r="Z22" i="8"/>
  <c r="Y22" i="8"/>
  <c r="X22" i="8"/>
  <c r="AA21" i="8"/>
  <c r="Z21" i="8"/>
  <c r="Y21" i="8"/>
  <c r="X21" i="8"/>
  <c r="AA20" i="8"/>
  <c r="Z20" i="8"/>
  <c r="Y20" i="8"/>
  <c r="X20" i="8"/>
  <c r="AA19" i="8"/>
  <c r="Z19" i="8"/>
  <c r="Y19" i="8"/>
  <c r="X19" i="8"/>
  <c r="AA18" i="8"/>
  <c r="Z18" i="8"/>
  <c r="Y18" i="8"/>
  <c r="X18" i="8"/>
  <c r="AA17" i="8"/>
  <c r="Z17" i="8"/>
  <c r="Y17" i="8"/>
  <c r="X17" i="8"/>
  <c r="AA16" i="8"/>
  <c r="Z16" i="8"/>
  <c r="Y16" i="8"/>
  <c r="X16" i="8"/>
  <c r="AA15" i="8"/>
  <c r="Z15" i="8"/>
  <c r="Y15" i="8"/>
  <c r="X15" i="8"/>
  <c r="AA14" i="8"/>
  <c r="Z14" i="8"/>
  <c r="Y14" i="8"/>
  <c r="X14" i="8"/>
  <c r="AA13" i="8"/>
  <c r="Z13" i="8"/>
  <c r="Y13" i="8"/>
  <c r="X13" i="8"/>
  <c r="AA12" i="8"/>
  <c r="Z12" i="8"/>
  <c r="Y12" i="8"/>
  <c r="X12" i="8"/>
  <c r="AA11" i="8"/>
  <c r="Z11" i="8"/>
  <c r="Y11" i="8"/>
  <c r="X11" i="8"/>
  <c r="AA10" i="8"/>
  <c r="Z10" i="8"/>
  <c r="Y10" i="8"/>
  <c r="X10" i="8"/>
  <c r="AA9" i="8"/>
  <c r="Z9" i="8"/>
  <c r="Y9" i="8"/>
  <c r="X9" i="8"/>
  <c r="AA8" i="8"/>
  <c r="Z8" i="8"/>
  <c r="Y8" i="8"/>
  <c r="X8" i="8"/>
  <c r="AA7" i="8"/>
  <c r="Z7" i="8"/>
  <c r="Y7" i="8"/>
  <c r="X7" i="8"/>
  <c r="AA6" i="8"/>
  <c r="Z6" i="8"/>
  <c r="Y6" i="8"/>
  <c r="X6" i="8"/>
  <c r="AA5" i="8"/>
  <c r="Z5" i="8"/>
  <c r="Y5" i="8"/>
  <c r="X5" i="8"/>
  <c r="AA4" i="8"/>
  <c r="Z4" i="8"/>
  <c r="Y4" i="8"/>
  <c r="X4" i="8"/>
  <c r="AA3" i="8"/>
  <c r="Z3" i="8"/>
  <c r="Y3" i="8"/>
  <c r="X3" i="8"/>
  <c r="AA31" i="7"/>
  <c r="Z31" i="7"/>
  <c r="Y31" i="7"/>
  <c r="X31" i="7"/>
  <c r="AA30" i="7"/>
  <c r="Z30" i="7"/>
  <c r="Y30" i="7"/>
  <c r="X30" i="7"/>
  <c r="AA29" i="7"/>
  <c r="Z29" i="7"/>
  <c r="Y29" i="7"/>
  <c r="X29" i="7"/>
  <c r="AA28" i="7"/>
  <c r="Z28" i="7"/>
  <c r="Y28" i="7"/>
  <c r="X28" i="7"/>
  <c r="AA27" i="7"/>
  <c r="Z27" i="7"/>
  <c r="Y27" i="7"/>
  <c r="X27" i="7"/>
  <c r="AA26" i="7"/>
  <c r="Z26" i="7"/>
  <c r="Y26" i="7"/>
  <c r="X26" i="7"/>
  <c r="AA25" i="7"/>
  <c r="Z25" i="7"/>
  <c r="Y25" i="7"/>
  <c r="X25" i="7"/>
  <c r="AA24" i="7"/>
  <c r="Z24" i="7"/>
  <c r="Y24" i="7"/>
  <c r="X24" i="7"/>
  <c r="AA23" i="7"/>
  <c r="Z23" i="7"/>
  <c r="Y23" i="7"/>
  <c r="X23" i="7"/>
  <c r="AA22" i="7"/>
  <c r="Z22" i="7"/>
  <c r="Y22" i="7"/>
  <c r="X22" i="7"/>
  <c r="AA21" i="7"/>
  <c r="Z21" i="7"/>
  <c r="Y21" i="7"/>
  <c r="X21" i="7"/>
  <c r="AA20" i="7"/>
  <c r="Z20" i="7"/>
  <c r="Y20" i="7"/>
  <c r="X20" i="7"/>
  <c r="AA19" i="7"/>
  <c r="Z19" i="7"/>
  <c r="Y19" i="7"/>
  <c r="X19" i="7"/>
  <c r="AA18" i="7"/>
  <c r="Z18" i="7"/>
  <c r="Y18" i="7"/>
  <c r="X18" i="7"/>
  <c r="AA17" i="7"/>
  <c r="Z17" i="7"/>
  <c r="Y17" i="7"/>
  <c r="X17" i="7"/>
  <c r="AA16" i="7"/>
  <c r="Z16" i="7"/>
  <c r="Y16" i="7"/>
  <c r="X16" i="7"/>
  <c r="AA15" i="7"/>
  <c r="Z15" i="7"/>
  <c r="Y15" i="7"/>
  <c r="X15" i="7"/>
  <c r="AA14" i="7"/>
  <c r="Z14" i="7"/>
  <c r="Y14" i="7"/>
  <c r="X14" i="7"/>
  <c r="AA13" i="7"/>
  <c r="Z13" i="7"/>
  <c r="Y13" i="7"/>
  <c r="X13" i="7"/>
  <c r="AA12" i="7"/>
  <c r="Z12" i="7"/>
  <c r="Y12" i="7"/>
  <c r="X12" i="7"/>
  <c r="AA11" i="7"/>
  <c r="Z11" i="7"/>
  <c r="Y11" i="7"/>
  <c r="X11" i="7"/>
  <c r="AA10" i="7"/>
  <c r="Z10" i="7"/>
  <c r="Y10" i="7"/>
  <c r="X10" i="7"/>
  <c r="AA9" i="7"/>
  <c r="Z9" i="7"/>
  <c r="Y9" i="7"/>
  <c r="X9" i="7"/>
  <c r="AA8" i="7"/>
  <c r="Z8" i="7"/>
  <c r="Y8" i="7"/>
  <c r="X8" i="7"/>
  <c r="AA7" i="7"/>
  <c r="Z7" i="7"/>
  <c r="Y7" i="7"/>
  <c r="X7" i="7"/>
  <c r="AA6" i="7"/>
  <c r="Z6" i="7"/>
  <c r="Y6" i="7"/>
  <c r="X6" i="7"/>
  <c r="AA5" i="7"/>
  <c r="Z5" i="7"/>
  <c r="Y5" i="7"/>
  <c r="X5" i="7"/>
  <c r="AA4" i="7"/>
  <c r="Z4" i="7"/>
  <c r="Y4" i="7"/>
  <c r="X4" i="7"/>
  <c r="AA3" i="7"/>
  <c r="Z3" i="7"/>
  <c r="Y3" i="7"/>
  <c r="X3" i="7"/>
  <c r="AA22" i="6"/>
  <c r="Z22" i="6"/>
  <c r="Y22" i="6"/>
  <c r="X22" i="6"/>
  <c r="AA21" i="6"/>
  <c r="Z21" i="6"/>
  <c r="Y21" i="6"/>
  <c r="X21" i="6"/>
  <c r="AA20" i="6"/>
  <c r="Z20" i="6"/>
  <c r="Y20" i="6"/>
  <c r="X20" i="6"/>
  <c r="AA19" i="6"/>
  <c r="Z19" i="6"/>
  <c r="Y19" i="6"/>
  <c r="X19" i="6"/>
  <c r="AA18" i="6"/>
  <c r="Z18" i="6"/>
  <c r="Y18" i="6"/>
  <c r="X18" i="6"/>
  <c r="AA17" i="6"/>
  <c r="Z17" i="6"/>
  <c r="Y17" i="6"/>
  <c r="X17" i="6"/>
  <c r="AA16" i="6"/>
  <c r="Z16" i="6"/>
  <c r="Y16" i="6"/>
  <c r="X16" i="6"/>
  <c r="AA15" i="6"/>
  <c r="Z15" i="6"/>
  <c r="Y15" i="6"/>
  <c r="X15" i="6"/>
  <c r="AA14" i="6"/>
  <c r="Z14" i="6"/>
  <c r="Y14" i="6"/>
  <c r="X14" i="6"/>
  <c r="AA13" i="6"/>
  <c r="Z13" i="6"/>
  <c r="Y13" i="6"/>
  <c r="X13" i="6"/>
  <c r="AA12" i="6"/>
  <c r="Z12" i="6"/>
  <c r="Y12" i="6"/>
  <c r="X12" i="6"/>
  <c r="AA11" i="6"/>
  <c r="Z11" i="6"/>
  <c r="Y11" i="6"/>
  <c r="X11" i="6"/>
  <c r="AA10" i="6"/>
  <c r="Z10" i="6"/>
  <c r="Y10" i="6"/>
  <c r="X10" i="6"/>
  <c r="AA9" i="6"/>
  <c r="Z9" i="6"/>
  <c r="Y9" i="6"/>
  <c r="X9" i="6"/>
  <c r="AA8" i="6"/>
  <c r="Z8" i="6"/>
  <c r="Y8" i="6"/>
  <c r="X8" i="6"/>
  <c r="AA7" i="6"/>
  <c r="Z7" i="6"/>
  <c r="Y7" i="6"/>
  <c r="X7" i="6"/>
  <c r="AA6" i="6"/>
  <c r="Z6" i="6"/>
  <c r="Y6" i="6"/>
  <c r="X6" i="6"/>
  <c r="AA5" i="6"/>
  <c r="Z5" i="6"/>
  <c r="Y5" i="6"/>
  <c r="X5" i="6"/>
  <c r="AA4" i="6"/>
  <c r="Z4" i="6"/>
  <c r="Y4" i="6"/>
  <c r="X4" i="6"/>
  <c r="AA3" i="6"/>
  <c r="Z3" i="6"/>
  <c r="Y3" i="6"/>
  <c r="X3" i="6"/>
  <c r="AA47" i="5"/>
  <c r="Z47" i="5"/>
  <c r="Y47" i="5"/>
  <c r="X47" i="5"/>
  <c r="AA46" i="5"/>
  <c r="Z46" i="5"/>
  <c r="Y46" i="5"/>
  <c r="X46" i="5"/>
  <c r="AA45" i="5"/>
  <c r="Z45" i="5"/>
  <c r="Y45" i="5"/>
  <c r="X45" i="5"/>
  <c r="AA44" i="5"/>
  <c r="Z44" i="5"/>
  <c r="Y44" i="5"/>
  <c r="X44" i="5"/>
  <c r="AA43" i="5"/>
  <c r="Z43" i="5"/>
  <c r="Y43" i="5"/>
  <c r="X43" i="5"/>
  <c r="AA42" i="5"/>
  <c r="Z42" i="5"/>
  <c r="Y42" i="5"/>
  <c r="X42" i="5"/>
  <c r="AA41" i="5"/>
  <c r="Z41" i="5"/>
  <c r="Y41" i="5"/>
  <c r="X41" i="5"/>
  <c r="AA40" i="5"/>
  <c r="Z40" i="5"/>
  <c r="Y40" i="5"/>
  <c r="X40" i="5"/>
  <c r="AA39" i="5"/>
  <c r="Z39" i="5"/>
  <c r="Y39" i="5"/>
  <c r="X39" i="5"/>
  <c r="AA38" i="5"/>
  <c r="Z38" i="5"/>
  <c r="Y38" i="5"/>
  <c r="X38" i="5"/>
  <c r="AA37" i="5"/>
  <c r="Z37" i="5"/>
  <c r="Y37" i="5"/>
  <c r="X37" i="5"/>
  <c r="AA36" i="5"/>
  <c r="Z36" i="5"/>
  <c r="Y36" i="5"/>
  <c r="X36" i="5"/>
  <c r="AA35" i="5"/>
  <c r="Z35" i="5"/>
  <c r="Y35" i="5"/>
  <c r="X35" i="5"/>
  <c r="AA34" i="5"/>
  <c r="Z34" i="5"/>
  <c r="Y34" i="5"/>
  <c r="X34" i="5"/>
  <c r="AA33" i="5"/>
  <c r="Z33" i="5"/>
  <c r="Y33" i="5"/>
  <c r="X33" i="5"/>
  <c r="AA32" i="5"/>
  <c r="Z32" i="5"/>
  <c r="Y32" i="5"/>
  <c r="X32" i="5"/>
  <c r="AA31" i="5"/>
  <c r="Z31" i="5"/>
  <c r="Y31" i="5"/>
  <c r="X31" i="5"/>
  <c r="AA30" i="5"/>
  <c r="Z30" i="5"/>
  <c r="Y30" i="5"/>
  <c r="X30" i="5"/>
  <c r="AA29" i="5"/>
  <c r="Z29" i="5"/>
  <c r="Y29" i="5"/>
  <c r="X29" i="5"/>
  <c r="AA28" i="5"/>
  <c r="Z28" i="5"/>
  <c r="Y28" i="5"/>
  <c r="X28" i="5"/>
  <c r="AA22" i="4"/>
  <c r="Z22" i="4"/>
  <c r="Y22" i="4"/>
  <c r="X22" i="4"/>
  <c r="AA21" i="4"/>
  <c r="Z21" i="4"/>
  <c r="Y21" i="4"/>
  <c r="X21" i="4"/>
  <c r="AA20" i="4"/>
  <c r="Z20" i="4"/>
  <c r="Y20" i="4"/>
  <c r="X20" i="4"/>
  <c r="AA19" i="4"/>
  <c r="Z19" i="4"/>
  <c r="Y19" i="4"/>
  <c r="X19" i="4"/>
  <c r="AA18" i="4"/>
  <c r="Z18" i="4"/>
  <c r="Y18" i="4"/>
  <c r="X18" i="4"/>
  <c r="AA17" i="4"/>
  <c r="Z17" i="4"/>
  <c r="Y17" i="4"/>
  <c r="X17" i="4"/>
  <c r="AA16" i="4"/>
  <c r="Z16" i="4"/>
  <c r="Y16" i="4"/>
  <c r="X16" i="4"/>
  <c r="AA15" i="4"/>
  <c r="Z15" i="4"/>
  <c r="Y15" i="4"/>
  <c r="X15" i="4"/>
  <c r="AA14" i="4"/>
  <c r="Z14" i="4"/>
  <c r="Y14" i="4"/>
  <c r="X14" i="4"/>
  <c r="AA13" i="4"/>
  <c r="Z13" i="4"/>
  <c r="Y13" i="4"/>
  <c r="X13" i="4"/>
  <c r="AA12" i="4"/>
  <c r="Z12" i="4"/>
  <c r="Y12" i="4"/>
  <c r="X12" i="4"/>
  <c r="AA11" i="4"/>
  <c r="Z11" i="4"/>
  <c r="Y11" i="4"/>
  <c r="X11" i="4"/>
  <c r="AA10" i="4"/>
  <c r="Z10" i="4"/>
  <c r="Y10" i="4"/>
  <c r="X10" i="4"/>
  <c r="AA9" i="4"/>
  <c r="Z9" i="4"/>
  <c r="Y9" i="4"/>
  <c r="X9" i="4"/>
  <c r="AA8" i="4"/>
  <c r="Z8" i="4"/>
  <c r="Y8" i="4"/>
  <c r="X8" i="4"/>
  <c r="AA7" i="4"/>
  <c r="Z7" i="4"/>
  <c r="Y7" i="4"/>
  <c r="X7" i="4"/>
  <c r="AA6" i="4"/>
  <c r="Z6" i="4"/>
  <c r="Y6" i="4"/>
  <c r="X6" i="4"/>
  <c r="AA5" i="4"/>
  <c r="Z5" i="4"/>
  <c r="Y5" i="4"/>
  <c r="X5" i="4"/>
  <c r="AA4" i="4"/>
  <c r="Z4" i="4"/>
  <c r="Y4" i="4"/>
  <c r="X4" i="4"/>
  <c r="AA3" i="4"/>
  <c r="Z3" i="4"/>
  <c r="Y3" i="4"/>
  <c r="X3" i="4"/>
  <c r="E42" i="2"/>
  <c r="G41" i="2"/>
  <c r="E41" i="2"/>
  <c r="G40" i="2"/>
  <c r="E40" i="2"/>
  <c r="G39" i="2"/>
  <c r="E39" i="2"/>
  <c r="G38" i="2"/>
  <c r="E38" i="2"/>
  <c r="G37" i="2"/>
  <c r="E37" i="2"/>
  <c r="G36" i="2"/>
  <c r="E36" i="2"/>
  <c r="G35" i="2"/>
  <c r="E35" i="2"/>
  <c r="G34" i="2"/>
  <c r="E34" i="2"/>
  <c r="G33" i="2"/>
  <c r="E33" i="2"/>
  <c r="G32" i="2"/>
  <c r="E32" i="2"/>
  <c r="G31" i="2"/>
  <c r="E31" i="2"/>
  <c r="G30" i="2"/>
  <c r="E30" i="2"/>
  <c r="G29" i="2"/>
  <c r="E29" i="2"/>
  <c r="G28" i="2"/>
  <c r="E28" i="2"/>
  <c r="G27" i="2"/>
  <c r="E27" i="2"/>
  <c r="G26" i="2"/>
  <c r="E26" i="2"/>
  <c r="G25" i="2"/>
  <c r="E25" i="2"/>
  <c r="G24" i="2"/>
  <c r="E24" i="2"/>
  <c r="G23" i="2"/>
  <c r="E23" i="2"/>
  <c r="G22" i="2"/>
  <c r="E22" i="2"/>
  <c r="G21" i="2"/>
  <c r="E21" i="2"/>
  <c r="G20" i="2"/>
  <c r="E20" i="2"/>
  <c r="G19" i="2"/>
  <c r="E19" i="2"/>
  <c r="G18" i="2"/>
  <c r="E18" i="2"/>
  <c r="G17" i="2"/>
  <c r="E17" i="2"/>
  <c r="G16" i="2"/>
  <c r="E16" i="2"/>
  <c r="G15" i="2"/>
  <c r="E15" i="2"/>
  <c r="G14" i="2"/>
  <c r="E14" i="2"/>
  <c r="G13" i="2"/>
  <c r="E13" i="2"/>
  <c r="G12" i="2"/>
  <c r="E12" i="2"/>
  <c r="G11" i="2"/>
  <c r="E11" i="2"/>
  <c r="G10" i="2"/>
  <c r="E10" i="2"/>
  <c r="G9" i="2"/>
  <c r="E9" i="2"/>
  <c r="G8" i="2"/>
  <c r="E8" i="2"/>
  <c r="G7" i="2"/>
  <c r="E7" i="2"/>
  <c r="G6" i="2"/>
  <c r="E6" i="2"/>
  <c r="G5" i="2"/>
  <c r="E5" i="2"/>
  <c r="G4" i="2"/>
  <c r="E4" i="2"/>
  <c r="G3" i="2"/>
  <c r="E3" i="2"/>
  <c r="Q98" i="1"/>
  <c r="B98" i="1"/>
  <c r="AD97" i="1"/>
  <c r="AC97" i="1"/>
  <c r="AB97" i="1"/>
  <c r="AA97" i="1"/>
  <c r="T97" i="1"/>
  <c r="S97" i="1"/>
  <c r="R97" i="1"/>
  <c r="Q97" i="1"/>
  <c r="J97" i="1"/>
  <c r="I97" i="1"/>
  <c r="H97" i="1"/>
  <c r="G97" i="1"/>
  <c r="B97" i="1"/>
  <c r="AD96" i="1"/>
  <c r="AC96" i="1"/>
  <c r="AB96" i="1"/>
  <c r="AA96" i="1"/>
  <c r="T96" i="1"/>
  <c r="S96" i="1"/>
  <c r="R96" i="1"/>
  <c r="Q96" i="1"/>
  <c r="J96" i="1"/>
  <c r="I96" i="1"/>
  <c r="H96" i="1"/>
  <c r="G96" i="1"/>
  <c r="B96" i="1"/>
  <c r="AD95" i="1"/>
  <c r="AC95" i="1"/>
  <c r="AB95" i="1"/>
  <c r="AA95" i="1"/>
  <c r="T95" i="1"/>
  <c r="S95" i="1"/>
  <c r="R95" i="1"/>
  <c r="Q95" i="1"/>
  <c r="J95" i="1"/>
  <c r="I95" i="1"/>
  <c r="H95" i="1"/>
  <c r="G95" i="1"/>
  <c r="B95" i="1"/>
  <c r="AD94" i="1"/>
  <c r="AC94" i="1"/>
  <c r="AB94" i="1"/>
  <c r="AA94" i="1"/>
  <c r="AA98" i="1" s="1"/>
  <c r="T94" i="1"/>
  <c r="S94" i="1"/>
  <c r="R94" i="1"/>
  <c r="Q94" i="1"/>
  <c r="J94" i="1"/>
  <c r="I94" i="1"/>
  <c r="H94" i="1"/>
  <c r="G94" i="1"/>
  <c r="G98" i="1" s="1"/>
  <c r="B94" i="1"/>
  <c r="AD93" i="1"/>
  <c r="AC93" i="1"/>
  <c r="AB93" i="1"/>
  <c r="AA93" i="1"/>
  <c r="T93" i="1"/>
  <c r="S93" i="1"/>
  <c r="R93" i="1"/>
  <c r="Q93" i="1"/>
  <c r="J93" i="1"/>
  <c r="I93" i="1"/>
  <c r="H93" i="1"/>
  <c r="G93" i="1"/>
  <c r="B93" i="1"/>
  <c r="AD92" i="1"/>
  <c r="AC92" i="1"/>
  <c r="AB92" i="1"/>
  <c r="AA92" i="1"/>
  <c r="T92" i="1"/>
  <c r="S92" i="1"/>
  <c r="S98" i="1" s="1"/>
  <c r="R92" i="1"/>
  <c r="Q92" i="1"/>
  <c r="J92" i="1"/>
  <c r="I92" i="1"/>
  <c r="H92" i="1"/>
  <c r="G92" i="1"/>
  <c r="B92" i="1"/>
  <c r="AD91" i="1"/>
  <c r="AD98" i="1" s="1"/>
  <c r="AC91" i="1"/>
  <c r="AC98" i="1" s="1"/>
  <c r="AB91" i="1"/>
  <c r="AB98" i="1" s="1"/>
  <c r="AA91" i="1"/>
  <c r="T91" i="1"/>
  <c r="T98" i="1" s="1"/>
  <c r="S91" i="1"/>
  <c r="R91" i="1"/>
  <c r="R98" i="1" s="1"/>
  <c r="Q91" i="1"/>
  <c r="J91" i="1"/>
  <c r="J98" i="1" s="1"/>
  <c r="I91" i="1"/>
  <c r="I98" i="1" s="1"/>
  <c r="H91" i="1"/>
  <c r="H98" i="1" s="1"/>
  <c r="G91" i="1"/>
  <c r="B91" i="1"/>
  <c r="Q90" i="1"/>
  <c r="B90" i="1"/>
  <c r="AD89" i="1"/>
  <c r="AC89" i="1"/>
  <c r="AB89" i="1"/>
  <c r="AB90" i="1" s="1"/>
  <c r="AA89" i="1"/>
  <c r="T89" i="1"/>
  <c r="S89" i="1"/>
  <c r="R89" i="1"/>
  <c r="Q89" i="1"/>
  <c r="J89" i="1"/>
  <c r="I89" i="1"/>
  <c r="H89" i="1"/>
  <c r="H90" i="1" s="1"/>
  <c r="G89" i="1"/>
  <c r="B89" i="1"/>
  <c r="AD88" i="1"/>
  <c r="AC88" i="1"/>
  <c r="AB88" i="1"/>
  <c r="AA88" i="1"/>
  <c r="T88" i="1"/>
  <c r="S88" i="1"/>
  <c r="R88" i="1"/>
  <c r="Q88" i="1"/>
  <c r="J88" i="1"/>
  <c r="I88" i="1"/>
  <c r="H88" i="1"/>
  <c r="G88" i="1"/>
  <c r="B88" i="1"/>
  <c r="AD87" i="1"/>
  <c r="AC87" i="1"/>
  <c r="AB87" i="1"/>
  <c r="AA87" i="1"/>
  <c r="T87" i="1"/>
  <c r="S87" i="1"/>
  <c r="R87" i="1"/>
  <c r="Q87" i="1"/>
  <c r="J87" i="1"/>
  <c r="I87" i="1"/>
  <c r="H87" i="1"/>
  <c r="G87" i="1"/>
  <c r="B87" i="1"/>
  <c r="AD86" i="1"/>
  <c r="AC86" i="1"/>
  <c r="AB86" i="1"/>
  <c r="AA86" i="1"/>
  <c r="AA90" i="1" s="1"/>
  <c r="T86" i="1"/>
  <c r="S86" i="1"/>
  <c r="R86" i="1"/>
  <c r="Q86" i="1"/>
  <c r="J86" i="1"/>
  <c r="I86" i="1"/>
  <c r="H86" i="1"/>
  <c r="G86" i="1"/>
  <c r="G90" i="1" s="1"/>
  <c r="B86" i="1"/>
  <c r="AD85" i="1"/>
  <c r="AC85" i="1"/>
  <c r="AB85" i="1"/>
  <c r="AA85" i="1"/>
  <c r="T85" i="1"/>
  <c r="S85" i="1"/>
  <c r="R85" i="1"/>
  <c r="Q85" i="1"/>
  <c r="J85" i="1"/>
  <c r="I85" i="1"/>
  <c r="H85" i="1"/>
  <c r="G85" i="1"/>
  <c r="B85" i="1"/>
  <c r="AD84" i="1"/>
  <c r="AC84" i="1"/>
  <c r="AB84" i="1"/>
  <c r="AA84" i="1"/>
  <c r="T84" i="1"/>
  <c r="S84" i="1"/>
  <c r="S90" i="1" s="1"/>
  <c r="R84" i="1"/>
  <c r="Q84" i="1"/>
  <c r="J84" i="1"/>
  <c r="I84" i="1"/>
  <c r="H84" i="1"/>
  <c r="G84" i="1"/>
  <c r="B84" i="1"/>
  <c r="AD83" i="1"/>
  <c r="AD90" i="1" s="1"/>
  <c r="AC83" i="1"/>
  <c r="AC90" i="1" s="1"/>
  <c r="AB83" i="1"/>
  <c r="AA83" i="1"/>
  <c r="T83" i="1"/>
  <c r="T90" i="1" s="1"/>
  <c r="S83" i="1"/>
  <c r="R83" i="1"/>
  <c r="R90" i="1" s="1"/>
  <c r="Q83" i="1"/>
  <c r="J83" i="1"/>
  <c r="J90" i="1" s="1"/>
  <c r="I83" i="1"/>
  <c r="I90" i="1" s="1"/>
  <c r="H83" i="1"/>
  <c r="G83" i="1"/>
  <c r="B83" i="1"/>
  <c r="Q82" i="1"/>
  <c r="B82" i="1"/>
  <c r="AD81" i="1"/>
  <c r="AC81" i="1"/>
  <c r="AB81" i="1"/>
  <c r="AB82" i="1" s="1"/>
  <c r="AA81" i="1"/>
  <c r="T81" i="1"/>
  <c r="S81" i="1"/>
  <c r="R81" i="1"/>
  <c r="Q81" i="1"/>
  <c r="J81" i="1"/>
  <c r="I81" i="1"/>
  <c r="H81" i="1"/>
  <c r="H82" i="1" s="1"/>
  <c r="G81" i="1"/>
  <c r="B81" i="1"/>
  <c r="AD80" i="1"/>
  <c r="AC80" i="1"/>
  <c r="AB80" i="1"/>
  <c r="AA80" i="1"/>
  <c r="T80" i="1"/>
  <c r="S80" i="1"/>
  <c r="R80" i="1"/>
  <c r="Q80" i="1"/>
  <c r="J80" i="1"/>
  <c r="I80" i="1"/>
  <c r="H80" i="1"/>
  <c r="G80" i="1"/>
  <c r="B80" i="1"/>
  <c r="AD79" i="1"/>
  <c r="AC79" i="1"/>
  <c r="AB79" i="1"/>
  <c r="AA79" i="1"/>
  <c r="T79" i="1"/>
  <c r="S79" i="1"/>
  <c r="R79" i="1"/>
  <c r="Q79" i="1"/>
  <c r="J79" i="1"/>
  <c r="I79" i="1"/>
  <c r="H79" i="1"/>
  <c r="G79" i="1"/>
  <c r="B79" i="1"/>
  <c r="AD78" i="1"/>
  <c r="AC78" i="1"/>
  <c r="AB78" i="1"/>
  <c r="AA78" i="1"/>
  <c r="AA82" i="1" s="1"/>
  <c r="T78" i="1"/>
  <c r="S78" i="1"/>
  <c r="R78" i="1"/>
  <c r="Q78" i="1"/>
  <c r="J78" i="1"/>
  <c r="I78" i="1"/>
  <c r="H78" i="1"/>
  <c r="G78" i="1"/>
  <c r="G82" i="1" s="1"/>
  <c r="B78" i="1"/>
  <c r="AD77" i="1"/>
  <c r="AC77" i="1"/>
  <c r="AB77" i="1"/>
  <c r="AA77" i="1"/>
  <c r="T77" i="1"/>
  <c r="S77" i="1"/>
  <c r="R77" i="1"/>
  <c r="Q77" i="1"/>
  <c r="J77" i="1"/>
  <c r="I77" i="1"/>
  <c r="H77" i="1"/>
  <c r="G77" i="1"/>
  <c r="B77" i="1"/>
  <c r="AD76" i="1"/>
  <c r="AC76" i="1"/>
  <c r="AB76" i="1"/>
  <c r="AA76" i="1"/>
  <c r="T76" i="1"/>
  <c r="S76" i="1"/>
  <c r="S82" i="1" s="1"/>
  <c r="R76" i="1"/>
  <c r="Q76" i="1"/>
  <c r="J76" i="1"/>
  <c r="I76" i="1"/>
  <c r="H76" i="1"/>
  <c r="G76" i="1"/>
  <c r="B76" i="1"/>
  <c r="AD75" i="1"/>
  <c r="AD82" i="1" s="1"/>
  <c r="AC75" i="1"/>
  <c r="AC82" i="1" s="1"/>
  <c r="AB75" i="1"/>
  <c r="AA75" i="1"/>
  <c r="T75" i="1"/>
  <c r="T82" i="1" s="1"/>
  <c r="S75" i="1"/>
  <c r="R75" i="1"/>
  <c r="R82" i="1" s="1"/>
  <c r="Q75" i="1"/>
  <c r="J75" i="1"/>
  <c r="J82" i="1" s="1"/>
  <c r="I75" i="1"/>
  <c r="I82" i="1" s="1"/>
  <c r="H75" i="1"/>
  <c r="G75" i="1"/>
  <c r="B75" i="1"/>
  <c r="Q74" i="1"/>
  <c r="B74" i="1"/>
  <c r="AD73" i="1"/>
  <c r="AC73" i="1"/>
  <c r="AB73" i="1"/>
  <c r="AB74" i="1" s="1"/>
  <c r="AA73" i="1"/>
  <c r="T73" i="1"/>
  <c r="S73" i="1"/>
  <c r="R73" i="1"/>
  <c r="Q73" i="1"/>
  <c r="J73" i="1"/>
  <c r="I73" i="1"/>
  <c r="H73" i="1"/>
  <c r="H74" i="1" s="1"/>
  <c r="G73" i="1"/>
  <c r="B73" i="1"/>
  <c r="AD72" i="1"/>
  <c r="AC72" i="1"/>
  <c r="AB72" i="1"/>
  <c r="AA72" i="1"/>
  <c r="T72" i="1"/>
  <c r="S72" i="1"/>
  <c r="R72" i="1"/>
  <c r="Q72" i="1"/>
  <c r="J72" i="1"/>
  <c r="I72" i="1"/>
  <c r="H72" i="1"/>
  <c r="G72" i="1"/>
  <c r="B72" i="1"/>
  <c r="AD71" i="1"/>
  <c r="AC71" i="1"/>
  <c r="AB71" i="1"/>
  <c r="AA71" i="1"/>
  <c r="T71" i="1"/>
  <c r="S71" i="1"/>
  <c r="R71" i="1"/>
  <c r="Q71" i="1"/>
  <c r="J71" i="1"/>
  <c r="I71" i="1"/>
  <c r="H71" i="1"/>
  <c r="G71" i="1"/>
  <c r="B71" i="1"/>
  <c r="AD70" i="1"/>
  <c r="AC70" i="1"/>
  <c r="AB70" i="1"/>
  <c r="AA70" i="1"/>
  <c r="AA74" i="1" s="1"/>
  <c r="T70" i="1"/>
  <c r="S70" i="1"/>
  <c r="R70" i="1"/>
  <c r="Q70" i="1"/>
  <c r="J70" i="1"/>
  <c r="I70" i="1"/>
  <c r="H70" i="1"/>
  <c r="G70" i="1"/>
  <c r="G74" i="1" s="1"/>
  <c r="B70" i="1"/>
  <c r="AD69" i="1"/>
  <c r="AC69" i="1"/>
  <c r="AB69" i="1"/>
  <c r="AA69" i="1"/>
  <c r="T69" i="1"/>
  <c r="S69" i="1"/>
  <c r="R69" i="1"/>
  <c r="Q69" i="1"/>
  <c r="J69" i="1"/>
  <c r="I69" i="1"/>
  <c r="H69" i="1"/>
  <c r="G69" i="1"/>
  <c r="B69" i="1"/>
  <c r="AD68" i="1"/>
  <c r="AC68" i="1"/>
  <c r="AB68" i="1"/>
  <c r="AA68" i="1"/>
  <c r="T68" i="1"/>
  <c r="S68" i="1"/>
  <c r="S74" i="1" s="1"/>
  <c r="R68" i="1"/>
  <c r="Q68" i="1"/>
  <c r="J68" i="1"/>
  <c r="I68" i="1"/>
  <c r="H68" i="1"/>
  <c r="G68" i="1"/>
  <c r="B68" i="1"/>
  <c r="AD67" i="1"/>
  <c r="AD74" i="1" s="1"/>
  <c r="AC67" i="1"/>
  <c r="AC74" i="1" s="1"/>
  <c r="AB67" i="1"/>
  <c r="AA67" i="1"/>
  <c r="T67" i="1"/>
  <c r="T74" i="1" s="1"/>
  <c r="S67" i="1"/>
  <c r="R67" i="1"/>
  <c r="R74" i="1" s="1"/>
  <c r="Q67" i="1"/>
  <c r="J67" i="1"/>
  <c r="J74" i="1" s="1"/>
  <c r="I67" i="1"/>
  <c r="I74" i="1" s="1"/>
  <c r="H67" i="1"/>
  <c r="G67" i="1"/>
  <c r="B67" i="1"/>
  <c r="Q66" i="1"/>
  <c r="B66" i="1"/>
  <c r="AD65" i="1"/>
  <c r="AC65" i="1"/>
  <c r="AB65" i="1"/>
  <c r="AB66" i="1" s="1"/>
  <c r="AA65" i="1"/>
  <c r="T65" i="1"/>
  <c r="S65" i="1"/>
  <c r="R65" i="1"/>
  <c r="Q65" i="1"/>
  <c r="J65" i="1"/>
  <c r="I65" i="1"/>
  <c r="H65" i="1"/>
  <c r="H66" i="1" s="1"/>
  <c r="G65" i="1"/>
  <c r="B65" i="1"/>
  <c r="AD64" i="1"/>
  <c r="AC64" i="1"/>
  <c r="AB64" i="1"/>
  <c r="AA64" i="1"/>
  <c r="T64" i="1"/>
  <c r="S64" i="1"/>
  <c r="R64" i="1"/>
  <c r="Q64" i="1"/>
  <c r="J64" i="1"/>
  <c r="I64" i="1"/>
  <c r="H64" i="1"/>
  <c r="G64" i="1"/>
  <c r="B64" i="1"/>
  <c r="AD63" i="1"/>
  <c r="AC63" i="1"/>
  <c r="AB63" i="1"/>
  <c r="AA63" i="1"/>
  <c r="T63" i="1"/>
  <c r="S63" i="1"/>
  <c r="R63" i="1"/>
  <c r="Q63" i="1"/>
  <c r="J63" i="1"/>
  <c r="I63" i="1"/>
  <c r="H63" i="1"/>
  <c r="G63" i="1"/>
  <c r="B63" i="1"/>
  <c r="AD62" i="1"/>
  <c r="AC62" i="1"/>
  <c r="AB62" i="1"/>
  <c r="AA62" i="1"/>
  <c r="AA66" i="1" s="1"/>
  <c r="T62" i="1"/>
  <c r="S62" i="1"/>
  <c r="R62" i="1"/>
  <c r="Q62" i="1"/>
  <c r="J62" i="1"/>
  <c r="I62" i="1"/>
  <c r="H62" i="1"/>
  <c r="G62" i="1"/>
  <c r="G66" i="1" s="1"/>
  <c r="B62" i="1"/>
  <c r="AD61" i="1"/>
  <c r="AC61" i="1"/>
  <c r="AB61" i="1"/>
  <c r="AA61" i="1"/>
  <c r="T61" i="1"/>
  <c r="S61" i="1"/>
  <c r="R61" i="1"/>
  <c r="Q61" i="1"/>
  <c r="J61" i="1"/>
  <c r="I61" i="1"/>
  <c r="H61" i="1"/>
  <c r="G61" i="1"/>
  <c r="B61" i="1"/>
  <c r="AD60" i="1"/>
  <c r="AC60" i="1"/>
  <c r="AB60" i="1"/>
  <c r="AA60" i="1"/>
  <c r="T60" i="1"/>
  <c r="S60" i="1"/>
  <c r="S66" i="1" s="1"/>
  <c r="R60" i="1"/>
  <c r="Q60" i="1"/>
  <c r="J60" i="1"/>
  <c r="I60" i="1"/>
  <c r="H60" i="1"/>
  <c r="G60" i="1"/>
  <c r="B60" i="1"/>
  <c r="AD59" i="1"/>
  <c r="AD66" i="1" s="1"/>
  <c r="AC59" i="1"/>
  <c r="AC66" i="1" s="1"/>
  <c r="AB59" i="1"/>
  <c r="AA59" i="1"/>
  <c r="T59" i="1"/>
  <c r="T66" i="1" s="1"/>
  <c r="S59" i="1"/>
  <c r="R59" i="1"/>
  <c r="R66" i="1" s="1"/>
  <c r="Q59" i="1"/>
  <c r="J59" i="1"/>
  <c r="J66" i="1" s="1"/>
  <c r="I59" i="1"/>
  <c r="I66" i="1" s="1"/>
  <c r="H59" i="1"/>
  <c r="G59" i="1"/>
  <c r="B59" i="1"/>
  <c r="Q58" i="1"/>
  <c r="B58" i="1"/>
  <c r="AD57" i="1"/>
  <c r="AC57" i="1"/>
  <c r="AB57" i="1"/>
  <c r="AB58" i="1" s="1"/>
  <c r="AA57" i="1"/>
  <c r="T57" i="1"/>
  <c r="S57" i="1"/>
  <c r="R57" i="1"/>
  <c r="Q57" i="1"/>
  <c r="J57" i="1"/>
  <c r="I57" i="1"/>
  <c r="H57" i="1"/>
  <c r="H58" i="1" s="1"/>
  <c r="G57" i="1"/>
  <c r="B57" i="1"/>
  <c r="AD56" i="1"/>
  <c r="AC56" i="1"/>
  <c r="AB56" i="1"/>
  <c r="AA56" i="1"/>
  <c r="T56" i="1"/>
  <c r="S56" i="1"/>
  <c r="R56" i="1"/>
  <c r="Q56" i="1"/>
  <c r="J56" i="1"/>
  <c r="I56" i="1"/>
  <c r="H56" i="1"/>
  <c r="G56" i="1"/>
  <c r="B56" i="1"/>
  <c r="AD55" i="1"/>
  <c r="AC55" i="1"/>
  <c r="AB55" i="1"/>
  <c r="AA55" i="1"/>
  <c r="T55" i="1"/>
  <c r="S55" i="1"/>
  <c r="R55" i="1"/>
  <c r="Q55" i="1"/>
  <c r="J55" i="1"/>
  <c r="I55" i="1"/>
  <c r="H55" i="1"/>
  <c r="G55" i="1"/>
  <c r="B55" i="1"/>
  <c r="AD54" i="1"/>
  <c r="AC54" i="1"/>
  <c r="AB54" i="1"/>
  <c r="AA54" i="1"/>
  <c r="AA58" i="1" s="1"/>
  <c r="T54" i="1"/>
  <c r="S54" i="1"/>
  <c r="R54" i="1"/>
  <c r="Q54" i="1"/>
  <c r="J54" i="1"/>
  <c r="I54" i="1"/>
  <c r="H54" i="1"/>
  <c r="G54" i="1"/>
  <c r="G58" i="1" s="1"/>
  <c r="B54" i="1"/>
  <c r="AD53" i="1"/>
  <c r="AC53" i="1"/>
  <c r="AB53" i="1"/>
  <c r="AA53" i="1"/>
  <c r="T53" i="1"/>
  <c r="S53" i="1"/>
  <c r="R53" i="1"/>
  <c r="Q53" i="1"/>
  <c r="J53" i="1"/>
  <c r="I53" i="1"/>
  <c r="H53" i="1"/>
  <c r="G53" i="1"/>
  <c r="B53" i="1"/>
  <c r="AD52" i="1"/>
  <c r="AC52" i="1"/>
  <c r="AB52" i="1"/>
  <c r="AA52" i="1"/>
  <c r="T52" i="1"/>
  <c r="S52" i="1"/>
  <c r="S58" i="1" s="1"/>
  <c r="R52" i="1"/>
  <c r="Q52" i="1"/>
  <c r="J52" i="1"/>
  <c r="I52" i="1"/>
  <c r="H52" i="1"/>
  <c r="G52" i="1"/>
  <c r="B52" i="1"/>
  <c r="AD51" i="1"/>
  <c r="AD58" i="1" s="1"/>
  <c r="AC51" i="1"/>
  <c r="AC58" i="1" s="1"/>
  <c r="AB51" i="1"/>
  <c r="AA51" i="1"/>
  <c r="T51" i="1"/>
  <c r="T58" i="1" s="1"/>
  <c r="S51" i="1"/>
  <c r="R51" i="1"/>
  <c r="R58" i="1" s="1"/>
  <c r="Q51" i="1"/>
  <c r="J51" i="1"/>
  <c r="J58" i="1" s="1"/>
  <c r="I51" i="1"/>
  <c r="I58" i="1" s="1"/>
  <c r="H51" i="1"/>
  <c r="G51" i="1"/>
  <c r="B51" i="1"/>
  <c r="Q49" i="1"/>
  <c r="H49" i="1"/>
  <c r="AD48" i="1"/>
  <c r="AC48" i="1"/>
  <c r="AB48" i="1"/>
  <c r="AA48" i="1"/>
  <c r="T48" i="1"/>
  <c r="S48" i="1"/>
  <c r="R48" i="1"/>
  <c r="Q48" i="1"/>
  <c r="J48" i="1"/>
  <c r="I48" i="1"/>
  <c r="H48" i="1"/>
  <c r="G48" i="1"/>
  <c r="AD47" i="1"/>
  <c r="AC47" i="1"/>
  <c r="AB47" i="1"/>
  <c r="AA47" i="1"/>
  <c r="T47" i="1"/>
  <c r="S47" i="1"/>
  <c r="R47" i="1"/>
  <c r="Q47" i="1"/>
  <c r="J47" i="1"/>
  <c r="I47" i="1"/>
  <c r="H47" i="1"/>
  <c r="G47" i="1"/>
  <c r="AD46" i="1"/>
  <c r="AC46" i="1"/>
  <c r="AB46" i="1"/>
  <c r="AA46" i="1"/>
  <c r="T46" i="1"/>
  <c r="S46" i="1"/>
  <c r="R46" i="1"/>
  <c r="Q46" i="1"/>
  <c r="J46" i="1"/>
  <c r="I46" i="1"/>
  <c r="H46" i="1"/>
  <c r="G46" i="1"/>
  <c r="AD45" i="1"/>
  <c r="AC45" i="1"/>
  <c r="AB45" i="1"/>
  <c r="AA45" i="1"/>
  <c r="T45" i="1"/>
  <c r="S45" i="1"/>
  <c r="R45" i="1"/>
  <c r="Q45" i="1"/>
  <c r="J45" i="1"/>
  <c r="I45" i="1"/>
  <c r="H45" i="1"/>
  <c r="G45" i="1"/>
  <c r="AD44" i="1"/>
  <c r="AC44" i="1"/>
  <c r="AB44" i="1"/>
  <c r="AA44" i="1"/>
  <c r="T44" i="1"/>
  <c r="S44" i="1"/>
  <c r="R44" i="1"/>
  <c r="Q44" i="1"/>
  <c r="J44" i="1"/>
  <c r="I44" i="1"/>
  <c r="H44" i="1"/>
  <c r="G44" i="1"/>
  <c r="AD43" i="1"/>
  <c r="AC43" i="1"/>
  <c r="AB43" i="1"/>
  <c r="AB49" i="1" s="1"/>
  <c r="AA43" i="1"/>
  <c r="T43" i="1"/>
  <c r="S43" i="1"/>
  <c r="S49" i="1" s="1"/>
  <c r="R43" i="1"/>
  <c r="Q43" i="1"/>
  <c r="J43" i="1"/>
  <c r="I43" i="1"/>
  <c r="H43" i="1"/>
  <c r="G43" i="1"/>
  <c r="AD42" i="1"/>
  <c r="AD49" i="1" s="1"/>
  <c r="AC42" i="1"/>
  <c r="AC49" i="1" s="1"/>
  <c r="AB42" i="1"/>
  <c r="AA42" i="1"/>
  <c r="AA49" i="1" s="1"/>
  <c r="T42" i="1"/>
  <c r="T49" i="1" s="1"/>
  <c r="S42" i="1"/>
  <c r="R42" i="1"/>
  <c r="R49" i="1" s="1"/>
  <c r="Q42" i="1"/>
  <c r="J42" i="1"/>
  <c r="J49" i="1" s="1"/>
  <c r="I42" i="1"/>
  <c r="I49" i="1" s="1"/>
  <c r="H42" i="1"/>
  <c r="G42" i="1"/>
  <c r="G49" i="1" s="1"/>
  <c r="AD40" i="1"/>
  <c r="AC40" i="1"/>
  <c r="AB40" i="1"/>
  <c r="AA40" i="1"/>
  <c r="T40" i="1"/>
  <c r="S40" i="1"/>
  <c r="R40" i="1"/>
  <c r="Q40" i="1"/>
  <c r="J40" i="1"/>
  <c r="I40" i="1"/>
  <c r="H40" i="1"/>
  <c r="G40" i="1"/>
  <c r="AD39" i="1"/>
  <c r="AC39" i="1"/>
  <c r="AB39" i="1"/>
  <c r="AA39" i="1"/>
  <c r="T39" i="1"/>
  <c r="S39" i="1"/>
  <c r="R39" i="1"/>
  <c r="Q39" i="1"/>
  <c r="J39" i="1"/>
  <c r="I39" i="1"/>
  <c r="H39" i="1"/>
  <c r="G39" i="1"/>
  <c r="AD38" i="1"/>
  <c r="AC38" i="1"/>
  <c r="AB38" i="1"/>
  <c r="AA38" i="1"/>
  <c r="T38" i="1"/>
  <c r="S38" i="1"/>
  <c r="R38" i="1"/>
  <c r="Q38" i="1"/>
  <c r="J38" i="1"/>
  <c r="I38" i="1"/>
  <c r="H38" i="1"/>
  <c r="G38" i="1"/>
  <c r="AD37" i="1"/>
  <c r="AC37" i="1"/>
  <c r="AB37" i="1"/>
  <c r="AA37" i="1"/>
  <c r="T37" i="1"/>
  <c r="S37" i="1"/>
  <c r="R37" i="1"/>
  <c r="Q37" i="1"/>
  <c r="J37" i="1"/>
  <c r="I37" i="1"/>
  <c r="H37" i="1"/>
  <c r="G37" i="1"/>
  <c r="AD36" i="1"/>
  <c r="AC36" i="1"/>
  <c r="AB36" i="1"/>
  <c r="AA36" i="1"/>
  <c r="T36" i="1"/>
  <c r="S36" i="1"/>
  <c r="R36" i="1"/>
  <c r="Q36" i="1"/>
  <c r="J36" i="1"/>
  <c r="I36" i="1"/>
  <c r="H36" i="1"/>
  <c r="G36" i="1"/>
  <c r="AD35" i="1"/>
  <c r="AC35" i="1"/>
  <c r="AB35" i="1"/>
  <c r="AB41" i="1" s="1"/>
  <c r="AA35" i="1"/>
  <c r="T35" i="1"/>
  <c r="S35" i="1"/>
  <c r="S41" i="1" s="1"/>
  <c r="R35" i="1"/>
  <c r="Q35" i="1"/>
  <c r="Q41" i="1" s="1"/>
  <c r="J35" i="1"/>
  <c r="I35" i="1"/>
  <c r="H35" i="1"/>
  <c r="H41" i="1" s="1"/>
  <c r="G35" i="1"/>
  <c r="AD34" i="1"/>
  <c r="AD41" i="1" s="1"/>
  <c r="AC34" i="1"/>
  <c r="AC41" i="1" s="1"/>
  <c r="AB34" i="1"/>
  <c r="AA34" i="1"/>
  <c r="AA41" i="1" s="1"/>
  <c r="T34" i="1"/>
  <c r="T41" i="1" s="1"/>
  <c r="S34" i="1"/>
  <c r="R34" i="1"/>
  <c r="R41" i="1" s="1"/>
  <c r="Q34" i="1"/>
  <c r="J34" i="1"/>
  <c r="J41" i="1" s="1"/>
  <c r="I34" i="1"/>
  <c r="I41" i="1" s="1"/>
  <c r="H34" i="1"/>
  <c r="G34" i="1"/>
  <c r="G41" i="1" s="1"/>
  <c r="AD32" i="1"/>
  <c r="AC32" i="1"/>
  <c r="AB32" i="1"/>
  <c r="AA32" i="1"/>
  <c r="T32" i="1"/>
  <c r="S32" i="1"/>
  <c r="R32" i="1"/>
  <c r="Q32" i="1"/>
  <c r="J32" i="1"/>
  <c r="I32" i="1"/>
  <c r="H32" i="1"/>
  <c r="G32" i="1"/>
  <c r="AD31" i="1"/>
  <c r="AC31" i="1"/>
  <c r="AB31" i="1"/>
  <c r="AA31" i="1"/>
  <c r="T31" i="1"/>
  <c r="S31" i="1"/>
  <c r="R31" i="1"/>
  <c r="Q31" i="1"/>
  <c r="J31" i="1"/>
  <c r="I31" i="1"/>
  <c r="H31" i="1"/>
  <c r="G31" i="1"/>
  <c r="AD30" i="1"/>
  <c r="AC30" i="1"/>
  <c r="AB30" i="1"/>
  <c r="AA30" i="1"/>
  <c r="T30" i="1"/>
  <c r="S30" i="1"/>
  <c r="R30" i="1"/>
  <c r="Q30" i="1"/>
  <c r="J30" i="1"/>
  <c r="I30" i="1"/>
  <c r="H30" i="1"/>
  <c r="G30" i="1"/>
  <c r="AD29" i="1"/>
  <c r="AC29" i="1"/>
  <c r="AB29" i="1"/>
  <c r="AA29" i="1"/>
  <c r="T29" i="1"/>
  <c r="S29" i="1"/>
  <c r="R29" i="1"/>
  <c r="Q29" i="1"/>
  <c r="J29" i="1"/>
  <c r="I29" i="1"/>
  <c r="H29" i="1"/>
  <c r="G29" i="1"/>
  <c r="AD28" i="1"/>
  <c r="AC28" i="1"/>
  <c r="AB28" i="1"/>
  <c r="AA28" i="1"/>
  <c r="T28" i="1"/>
  <c r="S28" i="1"/>
  <c r="R28" i="1"/>
  <c r="Q28" i="1"/>
  <c r="J28" i="1"/>
  <c r="I28" i="1"/>
  <c r="H28" i="1"/>
  <c r="G28" i="1"/>
  <c r="AD27" i="1"/>
  <c r="AC27" i="1"/>
  <c r="AB27" i="1"/>
  <c r="AB33" i="1" s="1"/>
  <c r="AA27" i="1"/>
  <c r="T27" i="1"/>
  <c r="S27" i="1"/>
  <c r="S33" i="1" s="1"/>
  <c r="R27" i="1"/>
  <c r="Q27" i="1"/>
  <c r="Q33" i="1" s="1"/>
  <c r="J27" i="1"/>
  <c r="I27" i="1"/>
  <c r="H27" i="1"/>
  <c r="H33" i="1" s="1"/>
  <c r="G27" i="1"/>
  <c r="AD26" i="1"/>
  <c r="AD33" i="1" s="1"/>
  <c r="AC26" i="1"/>
  <c r="AC33" i="1" s="1"/>
  <c r="AB26" i="1"/>
  <c r="AA26" i="1"/>
  <c r="AA33" i="1" s="1"/>
  <c r="T26" i="1"/>
  <c r="T33" i="1" s="1"/>
  <c r="S26" i="1"/>
  <c r="R26" i="1"/>
  <c r="R33" i="1" s="1"/>
  <c r="Q26" i="1"/>
  <c r="J26" i="1"/>
  <c r="J33" i="1" s="1"/>
  <c r="I26" i="1"/>
  <c r="I33" i="1" s="1"/>
  <c r="H26" i="1"/>
  <c r="G26" i="1"/>
  <c r="G33" i="1" s="1"/>
  <c r="AD24" i="1"/>
  <c r="AC24" i="1"/>
  <c r="AB24" i="1"/>
  <c r="AA24" i="1"/>
  <c r="T24" i="1"/>
  <c r="S24" i="1"/>
  <c r="R24" i="1"/>
  <c r="Q24" i="1"/>
  <c r="J24" i="1"/>
  <c r="I24" i="1"/>
  <c r="H24" i="1"/>
  <c r="G24" i="1"/>
  <c r="AD23" i="1"/>
  <c r="AC23" i="1"/>
  <c r="AB23" i="1"/>
  <c r="AA23" i="1"/>
  <c r="T23" i="1"/>
  <c r="S23" i="1"/>
  <c r="R23" i="1"/>
  <c r="Q23" i="1"/>
  <c r="J23" i="1"/>
  <c r="I23" i="1"/>
  <c r="H23" i="1"/>
  <c r="G23" i="1"/>
  <c r="AD22" i="1"/>
  <c r="AC22" i="1"/>
  <c r="AB22" i="1"/>
  <c r="AA22" i="1"/>
  <c r="T22" i="1"/>
  <c r="S22" i="1"/>
  <c r="R22" i="1"/>
  <c r="Q22" i="1"/>
  <c r="J22" i="1"/>
  <c r="I22" i="1"/>
  <c r="H22" i="1"/>
  <c r="G22" i="1"/>
  <c r="AD21" i="1"/>
  <c r="AC21" i="1"/>
  <c r="AB21" i="1"/>
  <c r="AA21" i="1"/>
  <c r="T21" i="1"/>
  <c r="S21" i="1"/>
  <c r="R21" i="1"/>
  <c r="Q21" i="1"/>
  <c r="J21" i="1"/>
  <c r="I21" i="1"/>
  <c r="H21" i="1"/>
  <c r="G21" i="1"/>
  <c r="AD20" i="1"/>
  <c r="AC20" i="1"/>
  <c r="AB20" i="1"/>
  <c r="AA20" i="1"/>
  <c r="T20" i="1"/>
  <c r="S20" i="1"/>
  <c r="R20" i="1"/>
  <c r="Q20" i="1"/>
  <c r="J20" i="1"/>
  <c r="I20" i="1"/>
  <c r="H20" i="1"/>
  <c r="G20" i="1"/>
  <c r="AD19" i="1"/>
  <c r="AC19" i="1"/>
  <c r="AB19" i="1"/>
  <c r="AB25" i="1" s="1"/>
  <c r="AA19" i="1"/>
  <c r="T19" i="1"/>
  <c r="S19" i="1"/>
  <c r="S25" i="1" s="1"/>
  <c r="R19" i="1"/>
  <c r="Q19" i="1"/>
  <c r="Q25" i="1" s="1"/>
  <c r="J19" i="1"/>
  <c r="I19" i="1"/>
  <c r="H19" i="1"/>
  <c r="H25" i="1" s="1"/>
  <c r="G19" i="1"/>
  <c r="AD18" i="1"/>
  <c r="AD25" i="1" s="1"/>
  <c r="AC18" i="1"/>
  <c r="AC25" i="1" s="1"/>
  <c r="AB18" i="1"/>
  <c r="AA18" i="1"/>
  <c r="AA25" i="1" s="1"/>
  <c r="T18" i="1"/>
  <c r="T25" i="1" s="1"/>
  <c r="S18" i="1"/>
  <c r="R18" i="1"/>
  <c r="R25" i="1" s="1"/>
  <c r="Q18" i="1"/>
  <c r="J18" i="1"/>
  <c r="J25" i="1" s="1"/>
  <c r="I18" i="1"/>
  <c r="I25" i="1" s="1"/>
  <c r="H18" i="1"/>
  <c r="G18" i="1"/>
  <c r="G25" i="1" s="1"/>
  <c r="AD16" i="1"/>
  <c r="AC16" i="1"/>
  <c r="AB16" i="1"/>
  <c r="AA16" i="1"/>
  <c r="T16" i="1"/>
  <c r="S16" i="1"/>
  <c r="R16" i="1"/>
  <c r="Q16" i="1"/>
  <c r="J16" i="1"/>
  <c r="I16" i="1"/>
  <c r="H16" i="1"/>
  <c r="G16" i="1"/>
  <c r="AD15" i="1"/>
  <c r="AC15" i="1"/>
  <c r="AB15" i="1"/>
  <c r="AA15" i="1"/>
  <c r="T15" i="1"/>
  <c r="S15" i="1"/>
  <c r="R15" i="1"/>
  <c r="Q15" i="1"/>
  <c r="J15" i="1"/>
  <c r="I15" i="1"/>
  <c r="H15" i="1"/>
  <c r="G15" i="1"/>
  <c r="AD14" i="1"/>
  <c r="AC14" i="1"/>
  <c r="AB14" i="1"/>
  <c r="AA14" i="1"/>
  <c r="T14" i="1"/>
  <c r="S14" i="1"/>
  <c r="R14" i="1"/>
  <c r="Q14" i="1"/>
  <c r="J14" i="1"/>
  <c r="I14" i="1"/>
  <c r="H14" i="1"/>
  <c r="G14" i="1"/>
  <c r="AD13" i="1"/>
  <c r="AC13" i="1"/>
  <c r="AB13" i="1"/>
  <c r="AA13" i="1"/>
  <c r="T13" i="1"/>
  <c r="S13" i="1"/>
  <c r="R13" i="1"/>
  <c r="Q13" i="1"/>
  <c r="J13" i="1"/>
  <c r="I13" i="1"/>
  <c r="H13" i="1"/>
  <c r="G13" i="1"/>
  <c r="AD12" i="1"/>
  <c r="AC12" i="1"/>
  <c r="AB12" i="1"/>
  <c r="AA12" i="1"/>
  <c r="T12" i="1"/>
  <c r="S12" i="1"/>
  <c r="R12" i="1"/>
  <c r="Q12" i="1"/>
  <c r="J12" i="1"/>
  <c r="I12" i="1"/>
  <c r="H12" i="1"/>
  <c r="G12" i="1"/>
  <c r="AD11" i="1"/>
  <c r="AC11" i="1"/>
  <c r="AB11" i="1"/>
  <c r="AB17" i="1" s="1"/>
  <c r="AA11" i="1"/>
  <c r="T11" i="1"/>
  <c r="S11" i="1"/>
  <c r="S17" i="1" s="1"/>
  <c r="R11" i="1"/>
  <c r="Q11" i="1"/>
  <c r="Q17" i="1" s="1"/>
  <c r="J11" i="1"/>
  <c r="I11" i="1"/>
  <c r="H11" i="1"/>
  <c r="H17" i="1" s="1"/>
  <c r="G11" i="1"/>
  <c r="AD10" i="1"/>
  <c r="AD17" i="1" s="1"/>
  <c r="AC10" i="1"/>
  <c r="AC17" i="1" s="1"/>
  <c r="AB10" i="1"/>
  <c r="AA10" i="1"/>
  <c r="AA17" i="1" s="1"/>
  <c r="T10" i="1"/>
  <c r="T17" i="1" s="1"/>
  <c r="S10" i="1"/>
  <c r="R10" i="1"/>
  <c r="R17" i="1" s="1"/>
  <c r="Q10" i="1"/>
  <c r="J10" i="1"/>
  <c r="J17" i="1" s="1"/>
  <c r="I10" i="1"/>
  <c r="I17" i="1" s="1"/>
  <c r="H10" i="1"/>
  <c r="G10" i="1"/>
  <c r="G17" i="1" s="1"/>
  <c r="AD8" i="1"/>
  <c r="AC8" i="1"/>
  <c r="AB8" i="1"/>
  <c r="AA8" i="1"/>
  <c r="T8" i="1"/>
  <c r="S8" i="1"/>
  <c r="R8" i="1"/>
  <c r="Q8" i="1"/>
  <c r="J8" i="1"/>
  <c r="I8" i="1"/>
  <c r="H8" i="1"/>
  <c r="G8" i="1"/>
  <c r="AD7" i="1"/>
  <c r="AC7" i="1"/>
  <c r="AB7" i="1"/>
  <c r="AA7" i="1"/>
  <c r="T7" i="1"/>
  <c r="S7" i="1"/>
  <c r="R7" i="1"/>
  <c r="Q7" i="1"/>
  <c r="J7" i="1"/>
  <c r="I7" i="1"/>
  <c r="H7" i="1"/>
  <c r="G7" i="1"/>
  <c r="AD6" i="1"/>
  <c r="AC6" i="1"/>
  <c r="AB6" i="1"/>
  <c r="AA6" i="1"/>
  <c r="T6" i="1"/>
  <c r="S6" i="1"/>
  <c r="R6" i="1"/>
  <c r="Q6" i="1"/>
  <c r="J6" i="1"/>
  <c r="I6" i="1"/>
  <c r="H6" i="1"/>
  <c r="G6" i="1"/>
  <c r="AD5" i="1"/>
  <c r="AC5" i="1"/>
  <c r="AB5" i="1"/>
  <c r="AA5" i="1"/>
  <c r="T5" i="1"/>
  <c r="S5" i="1"/>
  <c r="R5" i="1"/>
  <c r="Q5" i="1"/>
  <c r="J5" i="1"/>
  <c r="I5" i="1"/>
  <c r="H5" i="1"/>
  <c r="G5" i="1"/>
  <c r="AD4" i="1"/>
  <c r="AC4" i="1"/>
  <c r="AB4" i="1"/>
  <c r="AA4" i="1"/>
  <c r="T4" i="1"/>
  <c r="S4" i="1"/>
  <c r="R4" i="1"/>
  <c r="Q4" i="1"/>
  <c r="J4" i="1"/>
  <c r="I4" i="1"/>
  <c r="H4" i="1"/>
  <c r="G4" i="1"/>
  <c r="AD3" i="1"/>
  <c r="AC3" i="1"/>
  <c r="AB3" i="1"/>
  <c r="AB9" i="1" s="1"/>
  <c r="AA3" i="1"/>
  <c r="T3" i="1"/>
  <c r="S3" i="1"/>
  <c r="S9" i="1" s="1"/>
  <c r="R3" i="1"/>
  <c r="Q3" i="1"/>
  <c r="Q9" i="1" s="1"/>
  <c r="J3" i="1"/>
  <c r="I3" i="1"/>
  <c r="H3" i="1"/>
  <c r="H9" i="1" s="1"/>
  <c r="G3" i="1"/>
  <c r="AD2" i="1"/>
  <c r="AD9" i="1" s="1"/>
  <c r="AC2" i="1"/>
  <c r="AC9" i="1" s="1"/>
  <c r="AB2" i="1"/>
  <c r="AA2" i="1"/>
  <c r="AA9" i="1" s="1"/>
  <c r="T2" i="1"/>
  <c r="T9" i="1" s="1"/>
  <c r="S2" i="1"/>
  <c r="R2" i="1"/>
  <c r="R9" i="1" s="1"/>
  <c r="Q2" i="1"/>
  <c r="J2" i="1"/>
  <c r="J9" i="1" s="1"/>
  <c r="I2" i="1"/>
  <c r="I9" i="1" s="1"/>
  <c r="H2" i="1"/>
  <c r="G2" i="1"/>
  <c r="G9" i="1" s="1"/>
  <c r="E3" i="18" l="1"/>
  <c r="C14" i="18"/>
  <c r="E14" i="18"/>
  <c r="E4" i="18"/>
  <c r="G14" i="18"/>
  <c r="E5" i="18"/>
  <c r="E8" i="18"/>
  <c r="F14" i="18"/>
  <c r="F4" i="18"/>
  <c r="E15" i="18"/>
  <c r="C7" i="18"/>
  <c r="D12" i="18"/>
  <c r="D13" i="18"/>
  <c r="D7" i="18"/>
  <c r="F9" i="18"/>
  <c r="H15" i="18"/>
  <c r="C15" i="18"/>
  <c r="F3" i="18"/>
  <c r="R11" i="18" s="1"/>
  <c r="R15" i="18" s="1"/>
  <c r="F8" i="18"/>
  <c r="F15" i="18"/>
  <c r="C3" i="18"/>
  <c r="C12" i="18"/>
  <c r="G15" i="18"/>
  <c r="F5" i="18"/>
  <c r="E7" i="18"/>
  <c r="D14" i="18"/>
  <c r="C13" i="18"/>
  <c r="D3" i="18"/>
  <c r="P11" i="18" s="1"/>
  <c r="P15" i="18" s="1"/>
  <c r="E13" i="18"/>
  <c r="D4" i="18"/>
  <c r="D5" i="18"/>
  <c r="D15" i="18"/>
  <c r="F7" i="18"/>
  <c r="D8" i="18"/>
  <c r="F13" i="18"/>
  <c r="Z40" i="14"/>
  <c r="J5" i="18" s="1"/>
  <c r="E12" i="18"/>
  <c r="C8" i="18"/>
  <c r="C9" i="18"/>
  <c r="H13" i="18"/>
  <c r="O11" i="18"/>
  <c r="O15" i="18" s="1"/>
  <c r="G12" i="18"/>
  <c r="E9" i="18"/>
  <c r="Q11" i="18"/>
  <c r="Q15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2" authorId="0" shapeId="0" xr:uid="{00000000-0006-0000-1100-000001000000}">
      <text>
        <r>
          <rPr>
            <sz val="11"/>
            <color theme="1"/>
            <rFont val="Calibri"/>
            <scheme val="minor"/>
          </rPr>
          <t>======
ID#AAABhlJv74E
Lautaro Braccia    (2025-04-08 14:11:10)
ver:
Me da 0.8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/jFvK2I4CnxYSLRPe/XzfXp2BBA=="/>
    </ext>
  </extLst>
</comments>
</file>

<file path=xl/sharedStrings.xml><?xml version="1.0" encoding="utf-8"?>
<sst xmlns="http://schemas.openxmlformats.org/spreadsheetml/2006/main" count="2826" uniqueCount="66">
  <si>
    <t>uh122</t>
  </si>
  <si>
    <t>uh211</t>
  </si>
  <si>
    <t>uh222</t>
  </si>
  <si>
    <t>uc122</t>
  </si>
  <si>
    <t>uc211</t>
  </si>
  <si>
    <t>uc222</t>
  </si>
  <si>
    <t>th1</t>
  </si>
  <si>
    <t>MAX</t>
  </si>
  <si>
    <t>FINAL</t>
  </si>
  <si>
    <t>Ratio</t>
  </si>
  <si>
    <t>SALIDA</t>
  </si>
  <si>
    <t>Kp</t>
  </si>
  <si>
    <t>Tp</t>
  </si>
  <si>
    <t>Td</t>
  </si>
  <si>
    <t>VALOR</t>
  </si>
  <si>
    <t>#</t>
  </si>
  <si>
    <t>th2</t>
  </si>
  <si>
    <t>tc1</t>
  </si>
  <si>
    <t>tc2</t>
  </si>
  <si>
    <t>uh112</t>
  </si>
  <si>
    <t>Parameter Array (tiempo muerto)</t>
  </si>
  <si>
    <t>Sin Tiempo Muerto</t>
  </si>
  <si>
    <t>error final vs setpoint (en % de sp)</t>
  </si>
  <si>
    <t>n</t>
  </si>
  <si>
    <t>Valor</t>
  </si>
  <si>
    <t>%</t>
  </si>
  <si>
    <t>Salida</t>
  </si>
  <si>
    <t>th1 - alt</t>
  </si>
  <si>
    <t>uc112</t>
  </si>
  <si>
    <t>h112</t>
  </si>
  <si>
    <t>h211</t>
  </si>
  <si>
    <t>h222</t>
  </si>
  <si>
    <t>c112</t>
  </si>
  <si>
    <t>c211</t>
  </si>
  <si>
    <t>c222</t>
  </si>
  <si>
    <t>Exponencial Decayente con Valor Inicial</t>
  </si>
  <si>
    <t>1er Orden</t>
  </si>
  <si>
    <t>18/24</t>
  </si>
  <si>
    <t>N/A</t>
  </si>
  <si>
    <t>"Sobrevalor"</t>
  </si>
  <si>
    <r>
      <rPr>
        <b/>
        <sz val="11"/>
        <color theme="1"/>
        <rFont val="Calibri"/>
      </rPr>
      <t xml:space="preserve">"Sobrevalor" </t>
    </r>
    <r>
      <rPr>
        <sz val="11"/>
        <color theme="1"/>
        <rFont val="Calibri"/>
      </rPr>
      <t>(casi 1er Orden)</t>
    </r>
  </si>
  <si>
    <r>
      <rPr>
        <strike/>
        <sz val="8"/>
        <color theme="1"/>
        <rFont val="Calibri"/>
      </rPr>
      <t>Exponencial Decayente con Valor Inicial</t>
    </r>
    <r>
      <rPr>
        <sz val="8"/>
        <color theme="1"/>
        <rFont val="Calibri"/>
      </rPr>
      <t xml:space="preserve"> /</t>
    </r>
    <r>
      <rPr>
        <sz val="11"/>
        <color theme="1"/>
        <rFont val="Calibri"/>
      </rPr>
      <t xml:space="preserve"> </t>
    </r>
    <r>
      <rPr>
        <b/>
        <sz val="11"/>
        <color theme="1"/>
        <rFont val="Calibri"/>
      </rPr>
      <t>"Sobrevalor"</t>
    </r>
  </si>
  <si>
    <t xml:space="preserve"> </t>
  </si>
  <si>
    <t>th2 - alt</t>
  </si>
  <si>
    <t>tc1 - alt</t>
  </si>
  <si>
    <t>tc2 - alt</t>
  </si>
  <si>
    <t>h112 (+-5% vn)</t>
  </si>
  <si>
    <t>h211 (+-5% vn)</t>
  </si>
  <si>
    <t>h222 (+-5% vn)</t>
  </si>
  <si>
    <t>c112 (0.5% bpss)</t>
  </si>
  <si>
    <t>c211 (0.5% bpss)</t>
  </si>
  <si>
    <t>TEST</t>
  </si>
  <si>
    <t>uh112=uh112*(1.07+0.22)</t>
  </si>
  <si>
    <t>c222 (0.5% bpss)</t>
  </si>
  <si>
    <t>multiplicador</t>
  </si>
  <si>
    <t>prediccion</t>
  </si>
  <si>
    <t>real</t>
  </si>
  <si>
    <t>error</t>
  </si>
  <si>
    <t>Gnorm</t>
  </si>
  <si>
    <t>fcu</t>
  </si>
  <si>
    <t>Column1</t>
  </si>
  <si>
    <t>Custom</t>
  </si>
  <si>
    <t>vn</t>
  </si>
  <si>
    <t>K</t>
  </si>
  <si>
    <t>Mia</t>
  </si>
  <si>
    <t>G_EE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</si>
</sst>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"/>
    <numFmt numFmtId="165" formatCode="0.0"/>
    <numFmt numFmtId="166" formatCode="0.0000"/>
    <numFmt numFmtId="167" formatCode="0.000000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FF0000"/>
      <name val="Calibri"/>
    </font>
    <font>
      <sz val="11"/>
      <color rgb="FFC00000"/>
      <name val="Calibri"/>
    </font>
    <font>
      <b/>
      <sz val="11"/>
      <color theme="1"/>
      <name val="Calibri"/>
    </font>
    <font>
      <sz val="9"/>
      <color theme="1"/>
      <name val="Calibri"/>
    </font>
    <font>
      <b/>
      <sz val="10"/>
      <color theme="1"/>
      <name val="Calibri"/>
    </font>
    <font>
      <strike/>
      <sz val="8"/>
      <color theme="1"/>
      <name val="Calibri"/>
    </font>
    <font>
      <sz val="8"/>
      <color theme="1"/>
      <name val="Calibri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ECECEC"/>
        <bgColor rgb="FFECECEC"/>
      </patternFill>
    </fill>
    <fill>
      <patternFill patternType="solid">
        <fgColor rgb="FFC5E0B3"/>
        <bgColor rgb="FFC5E0B3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2" fillId="0" borderId="1"/>
  </cellStyleXfs>
  <cellXfs count="55">
    <xf numFmtId="0" fontId="0" fillId="0" borderId="0" xfId="0"/>
    <xf numFmtId="0" fontId="3" fillId="2" borderId="1" xfId="0" applyFont="1" applyFill="1" applyBorder="1"/>
    <xf numFmtId="0" fontId="4" fillId="0" borderId="0" xfId="0" applyFont="1"/>
    <xf numFmtId="0" fontId="3" fillId="3" borderId="1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4" borderId="1" xfId="0" applyFont="1" applyFill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5" borderId="1" xfId="0" applyFont="1" applyFill="1" applyBorder="1"/>
    <xf numFmtId="11" fontId="3" fillId="0" borderId="0" xfId="0" applyNumberFormat="1" applyFont="1"/>
    <xf numFmtId="0" fontId="5" fillId="0" borderId="0" xfId="0" applyFont="1"/>
    <xf numFmtId="0" fontId="3" fillId="6" borderId="1" xfId="0" applyFont="1" applyFill="1" applyBorder="1"/>
    <xf numFmtId="11" fontId="4" fillId="0" borderId="0" xfId="0" applyNumberFormat="1" applyFont="1"/>
    <xf numFmtId="0" fontId="3" fillId="0" borderId="0" xfId="0" applyFont="1"/>
    <xf numFmtId="0" fontId="6" fillId="4" borderId="10" xfId="0" applyFont="1" applyFill="1" applyBorder="1" applyAlignment="1">
      <alignment wrapText="1"/>
    </xf>
    <xf numFmtId="0" fontId="3" fillId="4" borderId="10" xfId="0" applyFont="1" applyFill="1" applyBorder="1" applyAlignment="1">
      <alignment wrapText="1"/>
    </xf>
    <xf numFmtId="17" fontId="3" fillId="0" borderId="0" xfId="0" quotePrefix="1" applyNumberFormat="1" applyFont="1"/>
    <xf numFmtId="0" fontId="3" fillId="6" borderId="10" xfId="0" applyFont="1" applyFill="1" applyBorder="1" applyAlignment="1">
      <alignment wrapText="1"/>
    </xf>
    <xf numFmtId="0" fontId="7" fillId="0" borderId="10" xfId="0" applyFont="1" applyBorder="1" applyAlignment="1">
      <alignment wrapText="1"/>
    </xf>
    <xf numFmtId="0" fontId="3" fillId="0" borderId="10" xfId="0" applyFont="1" applyBorder="1" applyAlignment="1">
      <alignment wrapText="1"/>
    </xf>
    <xf numFmtId="164" fontId="3" fillId="0" borderId="0" xfId="0" applyNumberFormat="1" applyFont="1"/>
    <xf numFmtId="1" fontId="3" fillId="0" borderId="0" xfId="0" applyNumberFormat="1" applyFont="1"/>
    <xf numFmtId="0" fontId="7" fillId="0" borderId="0" xfId="0" applyFont="1"/>
    <xf numFmtId="1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center"/>
    </xf>
    <xf numFmtId="0" fontId="8" fillId="0" borderId="0" xfId="0" applyFont="1"/>
    <xf numFmtId="165" fontId="7" fillId="0" borderId="11" xfId="0" applyNumberFormat="1" applyFont="1" applyBorder="1"/>
    <xf numFmtId="0" fontId="4" fillId="7" borderId="0" xfId="0" applyFont="1" applyFill="1"/>
    <xf numFmtId="0" fontId="7" fillId="7" borderId="0" xfId="0" applyFont="1" applyFill="1"/>
    <xf numFmtId="0" fontId="9" fillId="0" borderId="0" xfId="0" applyFont="1"/>
    <xf numFmtId="0" fontId="7" fillId="7" borderId="0" xfId="0" applyFont="1" applyFill="1" applyAlignment="1">
      <alignment horizontal="center"/>
    </xf>
    <xf numFmtId="166" fontId="3" fillId="0" borderId="0" xfId="0" applyNumberFormat="1" applyFont="1"/>
    <xf numFmtId="0" fontId="4" fillId="8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167" fontId="0" fillId="0" borderId="0" xfId="0" applyNumberFormat="1"/>
    <xf numFmtId="9" fontId="0" fillId="0" borderId="0" xfId="0" applyNumberFormat="1"/>
    <xf numFmtId="0" fontId="0" fillId="8" borderId="0" xfId="0" applyFill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/>
    <xf numFmtId="0" fontId="1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5" fillId="0" borderId="1" xfId="1" applyFont="1"/>
    <xf numFmtId="0" fontId="15" fillId="0" borderId="0" xfId="0" applyFont="1"/>
    <xf numFmtId="0" fontId="12" fillId="9" borderId="0" xfId="0" applyFont="1" applyFill="1"/>
    <xf numFmtId="0" fontId="1" fillId="0" borderId="0" xfId="0" applyFont="1"/>
    <xf numFmtId="0" fontId="3" fillId="0" borderId="0" xfId="0" applyFont="1" applyAlignment="1">
      <alignment horizontal="center"/>
    </xf>
    <xf numFmtId="0" fontId="0" fillId="0" borderId="0" xfId="0"/>
    <xf numFmtId="0" fontId="0" fillId="10" borderId="0" xfId="0" applyFill="1"/>
  </cellXfs>
  <cellStyles count="2">
    <cellStyle name="Normal" xfId="0" builtinId="0"/>
    <cellStyle name="Normal 2" xfId="1" xr:uid="{9BF71D33-8175-4953-8D2D-C2343C754B4A}"/>
  </cellStyles>
  <dxfs count="21">
    <dxf>
      <font>
        <color theme="9"/>
      </font>
      <fill>
        <patternFill patternType="solid">
          <fgColor rgb="FFE2EFD9"/>
          <bgColor rgb="FFE2EFD9"/>
        </patternFill>
      </fill>
    </dxf>
    <dxf>
      <font>
        <color theme="9"/>
      </font>
      <fill>
        <patternFill patternType="solid">
          <fgColor rgb="FFE2EFD9"/>
          <bgColor rgb="FFE2EFD9"/>
        </patternFill>
      </fill>
    </dxf>
    <dxf>
      <font>
        <color theme="9"/>
      </font>
      <fill>
        <patternFill patternType="solid">
          <fgColor rgb="FFE2EFD9"/>
          <bgColor rgb="FFE2EFD9"/>
        </patternFill>
      </fill>
    </dxf>
    <dxf>
      <font>
        <color theme="9"/>
      </font>
      <fill>
        <patternFill patternType="solid">
          <fgColor rgb="FFE2EFD9"/>
          <bgColor rgb="FFE2EFD9"/>
        </patternFill>
      </fill>
    </dxf>
    <dxf>
      <font>
        <color theme="9"/>
      </font>
      <fill>
        <patternFill patternType="solid">
          <fgColor rgb="FFE2EFD9"/>
          <bgColor rgb="FFE2EFD9"/>
        </patternFill>
      </fill>
    </dxf>
    <dxf>
      <font>
        <color theme="9"/>
      </font>
      <fill>
        <patternFill patternType="solid">
          <fgColor rgb="FFE2EFD9"/>
          <bgColor rgb="FFE2EFD9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5">
    <tableStyle name="Sheet2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Sheet5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Sheet6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Sheet10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Sheet11-style" pivot="0" count="3" xr9:uid="{00000000-0011-0000-FFFF-FFFF04000000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342900</xdr:colOff>
      <xdr:row>0</xdr:row>
      <xdr:rowOff>38100</xdr:rowOff>
    </xdr:from>
    <xdr:ext cx="3133725" cy="1333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4:C18">
  <tableColumns count="1">
    <tableColumn id="1" xr3:uid="{00000000-0010-0000-0000-000001000000}" name="Column1"/>
  </tableColumns>
  <tableStyleInfo name="Sheet2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B51">
  <tableColumns count="2">
    <tableColumn id="1" xr3:uid="{00000000-0010-0000-0100-000001000000}" name="Column1"/>
    <tableColumn id="2" xr3:uid="{00000000-0010-0000-0100-000002000000}" name="Custom"/>
  </tableColumns>
  <tableStyleInfo name="Sheet5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B41">
  <tableColumns count="2">
    <tableColumn id="1" xr3:uid="{00000000-0010-0000-0200-000001000000}" name="Column1"/>
    <tableColumn id="2" xr3:uid="{00000000-0010-0000-0200-000002000000}" name="Custom"/>
  </tableColumns>
  <tableStyleInfo name="Sheet6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B71">
  <tableColumns count="2">
    <tableColumn id="1" xr3:uid="{00000000-0010-0000-0300-000001000000}" name="Column1"/>
    <tableColumn id="2" xr3:uid="{00000000-0010-0000-0300-000002000000}" name="Custom"/>
  </tableColumns>
  <tableStyleInfo name="Sheet10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B57">
  <tableColumns count="2">
    <tableColumn id="1" xr3:uid="{00000000-0010-0000-0400-000001000000}" name="Column1"/>
    <tableColumn id="2" xr3:uid="{00000000-0010-0000-0400-000002000000}" name="Custom"/>
  </tableColumns>
  <tableStyleInfo name="Sheet1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workbookViewId="0"/>
  </sheetViews>
  <sheetFormatPr defaultColWidth="14.44140625" defaultRowHeight="15" customHeight="1" x14ac:dyDescent="0.3"/>
  <cols>
    <col min="1" max="30" width="8.6640625" customWidth="1"/>
  </cols>
  <sheetData>
    <row r="1" spans="1:30" ht="14.25" customHeight="1" x14ac:dyDescent="0.3">
      <c r="A1" s="1">
        <v>0</v>
      </c>
      <c r="K1" s="2">
        <v>0.04</v>
      </c>
      <c r="U1" s="2">
        <v>0.08</v>
      </c>
    </row>
    <row r="2" spans="1:30" ht="14.25" customHeight="1" x14ac:dyDescent="0.3">
      <c r="A2" s="3" t="s">
        <v>0</v>
      </c>
      <c r="B2" s="2">
        <v>2.5000000000000001E-3</v>
      </c>
      <c r="C2" s="4">
        <v>-0.37890394011363399</v>
      </c>
      <c r="D2" s="5">
        <v>-1.0970653681560401</v>
      </c>
      <c r="E2" s="5">
        <v>0.58712744117246196</v>
      </c>
      <c r="F2" s="6">
        <v>0.19712477979415099</v>
      </c>
      <c r="G2" s="2">
        <f t="shared" ref="G2:J2" si="0">C3-C2</f>
        <v>7.3452118153185975E-2</v>
      </c>
      <c r="H2" s="2">
        <f t="shared" si="0"/>
        <v>-1.0600338721610036E-2</v>
      </c>
      <c r="I2" s="2">
        <f t="shared" si="0"/>
        <v>-1.3112109965719987E-2</v>
      </c>
      <c r="J2" s="2">
        <f t="shared" si="0"/>
        <v>-6.557884041071993E-3</v>
      </c>
      <c r="K2" s="3" t="s">
        <v>0</v>
      </c>
      <c r="L2" s="2">
        <v>4.2500000000000003E-2</v>
      </c>
      <c r="M2" s="4">
        <v>0.82963600791231296</v>
      </c>
      <c r="N2" s="5">
        <v>-1.27147739506249</v>
      </c>
      <c r="O2" s="5">
        <v>0.371388139231276</v>
      </c>
      <c r="P2" s="6">
        <v>8.9225034525584807E-2</v>
      </c>
      <c r="Q2" s="2">
        <f t="shared" ref="Q2:T2" si="1">M3-M2</f>
        <v>7.7954971449427091E-2</v>
      </c>
      <c r="R2" s="2">
        <f t="shared" si="1"/>
        <v>-1.1250173897950022E-2</v>
      </c>
      <c r="S2" s="2">
        <f t="shared" si="1"/>
        <v>-1.3915924873496022E-2</v>
      </c>
      <c r="T2" s="2">
        <f t="shared" si="1"/>
        <v>-6.9599036221829058E-3</v>
      </c>
      <c r="U2" s="3" t="s">
        <v>0</v>
      </c>
      <c r="V2" s="5">
        <v>8.2500000000000004E-2</v>
      </c>
      <c r="W2" s="4">
        <v>2.11291896476577</v>
      </c>
      <c r="X2" s="5">
        <v>-1.45667605727049</v>
      </c>
      <c r="Y2" s="5">
        <v>0.14230628740104301</v>
      </c>
      <c r="Z2" s="6">
        <v>-2.53478468906779E-2</v>
      </c>
      <c r="AA2" s="2">
        <f t="shared" ref="AA2:AD2" si="2">W3-W2</f>
        <v>8.2822589143949799E-2</v>
      </c>
      <c r="AB2" s="2">
        <f t="shared" si="2"/>
        <v>-1.1952650526630082E-2</v>
      </c>
      <c r="AC2" s="2">
        <f t="shared" si="2"/>
        <v>-1.4784854729949004E-2</v>
      </c>
      <c r="AD2" s="2">
        <f t="shared" si="2"/>
        <v>-7.3944897607201021E-3</v>
      </c>
    </row>
    <row r="3" spans="1:30" ht="14.25" customHeight="1" x14ac:dyDescent="0.3">
      <c r="A3" s="3"/>
      <c r="B3" s="2">
        <v>5.0000000000000001E-3</v>
      </c>
      <c r="C3" s="7">
        <v>-0.30545182196044801</v>
      </c>
      <c r="D3" s="2">
        <v>-1.1076657068776501</v>
      </c>
      <c r="E3" s="2">
        <v>0.57401533120674197</v>
      </c>
      <c r="F3" s="8">
        <v>0.190566895753079</v>
      </c>
      <c r="G3" s="2">
        <f t="shared" ref="G3:J3" si="3">C4-C3</f>
        <v>7.3723402541705008E-2</v>
      </c>
      <c r="H3" s="2">
        <f t="shared" si="3"/>
        <v>-1.0639489483769804E-2</v>
      </c>
      <c r="I3" s="2">
        <f t="shared" si="3"/>
        <v>-1.3160537578450926E-2</v>
      </c>
      <c r="J3" s="2">
        <f t="shared" si="3"/>
        <v>-6.5821046028110008E-3</v>
      </c>
      <c r="L3" s="2">
        <v>4.4999999999999998E-2</v>
      </c>
      <c r="M3" s="7">
        <v>0.90759097936174005</v>
      </c>
      <c r="N3" s="2">
        <v>-1.28272756896044</v>
      </c>
      <c r="O3" s="2">
        <v>0.35747221435777998</v>
      </c>
      <c r="P3" s="8">
        <v>8.2265130903401901E-2</v>
      </c>
      <c r="Q3" s="2">
        <f t="shared" ref="Q3:T3" si="4">M4-M3</f>
        <v>7.8248211026359926E-2</v>
      </c>
      <c r="R3" s="2">
        <f t="shared" si="4"/>
        <v>-1.1292493151940031E-2</v>
      </c>
      <c r="S3" s="2">
        <f t="shared" si="4"/>
        <v>-1.3968271758466988E-2</v>
      </c>
      <c r="T3" s="2">
        <f t="shared" si="4"/>
        <v>-6.9860843667115952E-3</v>
      </c>
      <c r="V3" s="2">
        <v>8.5000000000000006E-2</v>
      </c>
      <c r="W3" s="7">
        <v>2.1957415539097198</v>
      </c>
      <c r="X3" s="2">
        <v>-1.4686287077971201</v>
      </c>
      <c r="Y3" s="2">
        <v>0.127521432671094</v>
      </c>
      <c r="Z3" s="8">
        <v>-3.2742336651398002E-2</v>
      </c>
      <c r="AA3" s="2">
        <f t="shared" ref="AA3:AD3" si="5">W4-W3</f>
        <v>8.3139590879370395E-2</v>
      </c>
      <c r="AB3" s="2">
        <f t="shared" si="5"/>
        <v>-1.199839904765998E-2</v>
      </c>
      <c r="AC3" s="2">
        <f t="shared" si="5"/>
        <v>-1.4841443453548001E-2</v>
      </c>
      <c r="AD3" s="2">
        <f t="shared" si="5"/>
        <v>-7.422792016330601E-3</v>
      </c>
    </row>
    <row r="4" spans="1:30" ht="14.25" customHeight="1" x14ac:dyDescent="0.3">
      <c r="A4" s="3"/>
      <c r="B4" s="2">
        <v>7.4999999999999997E-3</v>
      </c>
      <c r="C4" s="7">
        <v>-0.231728419418743</v>
      </c>
      <c r="D4" s="2">
        <v>-1.1183051963614199</v>
      </c>
      <c r="E4" s="2">
        <v>0.56085479362829105</v>
      </c>
      <c r="F4" s="8">
        <v>0.183984791150268</v>
      </c>
      <c r="G4" s="2">
        <f t="shared" ref="G4:J4" si="6">C5-C4</f>
        <v>7.3996007371542993E-2</v>
      </c>
      <c r="H4" s="2">
        <f t="shared" si="6"/>
        <v>-1.0678830807150153E-2</v>
      </c>
      <c r="I4" s="2">
        <f t="shared" si="6"/>
        <v>-1.3209200906305063E-2</v>
      </c>
      <c r="J4" s="2">
        <f t="shared" si="6"/>
        <v>-6.6064430549609976E-3</v>
      </c>
      <c r="L4" s="2">
        <v>4.7500000000000001E-2</v>
      </c>
      <c r="M4" s="7">
        <v>0.98583919038809997</v>
      </c>
      <c r="N4" s="2">
        <v>-1.2940200621123801</v>
      </c>
      <c r="O4" s="2">
        <v>0.34350394259931299</v>
      </c>
      <c r="P4" s="8">
        <v>7.5279046536690306E-2</v>
      </c>
      <c r="Q4" s="2">
        <f t="shared" ref="Q4:T4" si="7">M5-M4</f>
        <v>7.8542882248930135E-2</v>
      </c>
      <c r="R4" s="2">
        <f t="shared" si="7"/>
        <v>-1.1335019015699999E-2</v>
      </c>
      <c r="S4" s="2">
        <f t="shared" si="7"/>
        <v>-1.4020874209828005E-2</v>
      </c>
      <c r="T4" s="2">
        <f t="shared" si="7"/>
        <v>-7.0123929301377091E-3</v>
      </c>
      <c r="V4" s="2">
        <v>8.7499999999999994E-2</v>
      </c>
      <c r="W4" s="7">
        <v>2.2788811447890902</v>
      </c>
      <c r="X4" s="2">
        <v>-1.48062710684478</v>
      </c>
      <c r="Y4" s="2">
        <v>0.112679989217546</v>
      </c>
      <c r="Z4" s="8">
        <v>-4.0165128667728603E-2</v>
      </c>
      <c r="AA4" s="2">
        <f t="shared" ref="AA4:AD4" si="8">W5-W4</f>
        <v>8.3458138698819795E-2</v>
      </c>
      <c r="AB4" s="2">
        <f t="shared" si="8"/>
        <v>-1.2044370693800044E-2</v>
      </c>
      <c r="AC4" s="2">
        <f t="shared" si="8"/>
        <v>-1.4898308172267505E-2</v>
      </c>
      <c r="AD4" s="2">
        <f t="shared" si="8"/>
        <v>-7.4512323079414938E-3</v>
      </c>
    </row>
    <row r="5" spans="1:30" ht="14.25" customHeight="1" x14ac:dyDescent="0.3">
      <c r="A5" s="3"/>
      <c r="B5" s="2">
        <v>0.01</v>
      </c>
      <c r="C5" s="7">
        <v>-0.15773241204720001</v>
      </c>
      <c r="D5" s="2">
        <v>-1.12898402716857</v>
      </c>
      <c r="E5" s="2">
        <v>0.54764559272198599</v>
      </c>
      <c r="F5" s="8">
        <v>0.177378348095307</v>
      </c>
      <c r="G5" s="2">
        <f t="shared" ref="G5:J5" si="9">C6-C5</f>
        <v>7.4269939454593509E-2</v>
      </c>
      <c r="H5" s="2">
        <f t="shared" si="9"/>
        <v>-1.0718363674840026E-2</v>
      </c>
      <c r="I5" s="2">
        <f t="shared" si="9"/>
        <v>-1.3258101165242953E-2</v>
      </c>
      <c r="J5" s="2">
        <f t="shared" si="9"/>
        <v>-6.6309000057090117E-3</v>
      </c>
      <c r="L5" s="2">
        <v>0.05</v>
      </c>
      <c r="M5" s="7">
        <v>1.0643820726370301</v>
      </c>
      <c r="N5" s="2">
        <v>-1.3053550811280801</v>
      </c>
      <c r="O5" s="2">
        <v>0.32948306838948499</v>
      </c>
      <c r="P5" s="8">
        <v>6.8266653606552596E-2</v>
      </c>
      <c r="Q5" s="2">
        <f t="shared" ref="Q5:T5" si="10">M6-M5</f>
        <v>7.8838992201829994E-2</v>
      </c>
      <c r="R5" s="2">
        <f t="shared" si="10"/>
        <v>-1.1377752511740002E-2</v>
      </c>
      <c r="S5" s="2">
        <f t="shared" si="10"/>
        <v>-1.4073733492340978E-2</v>
      </c>
      <c r="T5" s="2">
        <f t="shared" si="10"/>
        <v>-7.0388299449277991E-3</v>
      </c>
      <c r="V5" s="2">
        <v>0.09</v>
      </c>
      <c r="W5" s="7">
        <v>2.36233928348791</v>
      </c>
      <c r="X5" s="2">
        <v>-1.4926714775385801</v>
      </c>
      <c r="Y5" s="2">
        <v>9.7781681045278498E-2</v>
      </c>
      <c r="Z5" s="8">
        <v>-4.7616360975670097E-2</v>
      </c>
      <c r="AA5" s="2">
        <f t="shared" ref="AA5:AD5" si="11">W6-W5</f>
        <v>8.3778239794690013E-2</v>
      </c>
      <c r="AB5" s="2">
        <f t="shared" si="11"/>
        <v>-1.2090566503089928E-2</v>
      </c>
      <c r="AC5" s="2">
        <f t="shared" si="11"/>
        <v>-1.4955450170016801E-2</v>
      </c>
      <c r="AD5" s="2">
        <f t="shared" si="11"/>
        <v>-7.479811277799904E-3</v>
      </c>
    </row>
    <row r="6" spans="1:30" ht="14.25" customHeight="1" x14ac:dyDescent="0.3">
      <c r="A6" s="3"/>
      <c r="B6" s="2">
        <v>1.2500000000000001E-2</v>
      </c>
      <c r="C6" s="7">
        <v>-8.3462472592606501E-2</v>
      </c>
      <c r="D6" s="2">
        <v>-1.1397023908434101</v>
      </c>
      <c r="E6" s="2">
        <v>0.53438749155674303</v>
      </c>
      <c r="F6" s="8">
        <v>0.17074744808959799</v>
      </c>
      <c r="G6" s="2">
        <f t="shared" ref="G6:J6" si="12">C7-C6</f>
        <v>7.4545205623201036E-2</v>
      </c>
      <c r="H6" s="2">
        <f t="shared" si="12"/>
        <v>-1.0758089072779864E-2</v>
      </c>
      <c r="I6" s="2">
        <f t="shared" si="12"/>
        <v>-1.3307239574882002E-2</v>
      </c>
      <c r="J6" s="2">
        <f t="shared" si="12"/>
        <v>-6.6554760650539835E-3</v>
      </c>
      <c r="L6" s="2">
        <v>5.2500000000000005E-2</v>
      </c>
      <c r="M6" s="7">
        <v>1.1432210648388601</v>
      </c>
      <c r="N6" s="2">
        <v>-1.3167328336398201</v>
      </c>
      <c r="O6" s="2">
        <v>0.31540933489714401</v>
      </c>
      <c r="P6" s="8">
        <v>6.1227823661624797E-2</v>
      </c>
      <c r="Q6" s="2">
        <f t="shared" ref="Q6:T6" si="13">M7-M6</f>
        <v>7.9136547982199934E-2</v>
      </c>
      <c r="R6" s="2">
        <f t="shared" si="13"/>
        <v>-1.1420694664249886E-2</v>
      </c>
      <c r="S6" s="2">
        <f t="shared" si="13"/>
        <v>-1.4126850872925034E-2</v>
      </c>
      <c r="T6" s="2">
        <f t="shared" si="13"/>
        <v>-7.0653960447523007E-3</v>
      </c>
      <c r="V6" s="2">
        <v>9.2499999999999999E-2</v>
      </c>
      <c r="W6" s="7">
        <v>2.4461175232826</v>
      </c>
      <c r="X6" s="2">
        <v>-1.50476204404167</v>
      </c>
      <c r="Y6" s="2">
        <v>8.2826230875261697E-2</v>
      </c>
      <c r="Z6" s="8">
        <v>-5.5096172253470001E-2</v>
      </c>
      <c r="AA6" s="2">
        <f t="shared" ref="AA6:AD6" si="14">W7-W6</f>
        <v>8.4099901358599904E-2</v>
      </c>
      <c r="AB6" s="2">
        <f t="shared" si="14"/>
        <v>-1.2136987513359898E-2</v>
      </c>
      <c r="AC6" s="2">
        <f t="shared" si="14"/>
        <v>-1.5012870730544095E-2</v>
      </c>
      <c r="AD6" s="2">
        <f t="shared" si="14"/>
        <v>-7.5085295678684952E-3</v>
      </c>
    </row>
    <row r="7" spans="1:30" ht="14.25" customHeight="1" x14ac:dyDescent="0.3">
      <c r="A7" s="3"/>
      <c r="B7" s="2">
        <v>1.5000000000000001E-2</v>
      </c>
      <c r="C7" s="7">
        <v>-8.9172669694054605E-3</v>
      </c>
      <c r="D7" s="2">
        <v>-1.1504604799161899</v>
      </c>
      <c r="E7" s="2">
        <v>0.52108025198186103</v>
      </c>
      <c r="F7" s="8">
        <v>0.16409197202454401</v>
      </c>
      <c r="G7" s="2">
        <f t="shared" ref="G7:J7" si="15">C8-C7</f>
        <v>7.4821812729801263E-2</v>
      </c>
      <c r="H7" s="2">
        <f t="shared" si="15"/>
        <v>-1.0798007990010072E-2</v>
      </c>
      <c r="I7" s="2">
        <f t="shared" si="15"/>
        <v>-1.3356617358550982E-2</v>
      </c>
      <c r="J7" s="2">
        <f t="shared" si="15"/>
        <v>-6.6801718447640213E-3</v>
      </c>
      <c r="L7" s="2">
        <v>5.5E-2</v>
      </c>
      <c r="M7" s="7">
        <v>1.22235761282106</v>
      </c>
      <c r="N7" s="2">
        <v>-1.32815352830407</v>
      </c>
      <c r="O7" s="2">
        <v>0.30128248402421898</v>
      </c>
      <c r="P7" s="8">
        <v>5.4162427616872497E-2</v>
      </c>
      <c r="Q7" s="2">
        <f t="shared" ref="Q7:T7" si="16">M8-M7</f>
        <v>7.9435556698919996E-2</v>
      </c>
      <c r="R7" s="2">
        <f t="shared" si="16"/>
        <v>-1.1463846499170094E-2</v>
      </c>
      <c r="S7" s="2">
        <f t="shared" si="16"/>
        <v>-1.4180227620527952E-2</v>
      </c>
      <c r="T7" s="2">
        <f t="shared" si="16"/>
        <v>-7.0920918643182992E-3</v>
      </c>
      <c r="V7" s="2">
        <v>9.5000000000000001E-2</v>
      </c>
      <c r="W7" s="7">
        <v>2.5302174246411999</v>
      </c>
      <c r="X7" s="2">
        <v>-1.5168990315550299</v>
      </c>
      <c r="Y7" s="2">
        <v>6.7813360144717602E-2</v>
      </c>
      <c r="Z7" s="8">
        <v>-6.2604701821338496E-2</v>
      </c>
      <c r="AA7" s="2">
        <f t="shared" ref="AA7:AD7" si="17">W8-W7</f>
        <v>8.4423130580350225E-2</v>
      </c>
      <c r="AB7" s="2">
        <f t="shared" si="17"/>
        <v>-1.2183634762220175E-2</v>
      </c>
      <c r="AC7" s="2">
        <f t="shared" si="17"/>
        <v>-1.5070571137394101E-2</v>
      </c>
      <c r="AD7" s="2">
        <f t="shared" si="17"/>
        <v>-7.5373878201437094E-3</v>
      </c>
    </row>
    <row r="8" spans="1:30" ht="14.25" customHeight="1" x14ac:dyDescent="0.3">
      <c r="A8" s="3"/>
      <c r="B8" s="2">
        <v>1.7500000000000002E-2</v>
      </c>
      <c r="C8" s="7">
        <v>6.5904545760395797E-2</v>
      </c>
      <c r="D8" s="2">
        <v>-1.1612584879062</v>
      </c>
      <c r="E8" s="2">
        <v>0.50772363462331005</v>
      </c>
      <c r="F8" s="8">
        <v>0.15741180017977999</v>
      </c>
      <c r="G8" s="2">
        <f t="shared" ref="G8:J8" si="18">C9-C8</f>
        <v>7.509976764652819E-2</v>
      </c>
      <c r="H8" s="2">
        <f t="shared" si="18"/>
        <v>-1.083812141818008E-2</v>
      </c>
      <c r="I8" s="2">
        <f t="shared" si="18"/>
        <v>-1.3406235742955075E-2</v>
      </c>
      <c r="J8" s="2">
        <f t="shared" si="18"/>
        <v>-6.7049879584149819E-3</v>
      </c>
      <c r="L8" s="2">
        <v>5.7500000000000002E-2</v>
      </c>
      <c r="M8" s="7">
        <v>1.30179316951998</v>
      </c>
      <c r="N8" s="2">
        <v>-1.3396173748032401</v>
      </c>
      <c r="O8" s="2">
        <v>0.28710225640369103</v>
      </c>
      <c r="P8" s="8">
        <v>4.7070335752554197E-2</v>
      </c>
      <c r="Q8" s="2">
        <f t="shared" ref="Q8:T8" si="19">M9-M8</f>
        <v>7.9736025471820016E-2</v>
      </c>
      <c r="R8" s="2">
        <f t="shared" si="19"/>
        <v>-1.1507209044050004E-2</v>
      </c>
      <c r="S8" s="2">
        <f t="shared" si="19"/>
        <v>-1.4233865006251012E-2</v>
      </c>
      <c r="T8" s="2">
        <f t="shared" si="19"/>
        <v>-7.1189180392352974E-3</v>
      </c>
      <c r="V8" s="2">
        <v>9.75000000000001E-2</v>
      </c>
      <c r="W8" s="7">
        <v>2.6146405552215501</v>
      </c>
      <c r="X8" s="2">
        <v>-1.5290826663172501</v>
      </c>
      <c r="Y8" s="2">
        <v>5.2742789007323501E-2</v>
      </c>
      <c r="Z8" s="8">
        <v>-7.0142089641482205E-2</v>
      </c>
      <c r="AA8" s="2">
        <f t="shared" ref="AA8:AD8" si="20">W9-W8</f>
        <v>8.4747934646820067E-2</v>
      </c>
      <c r="AB8" s="2">
        <f t="shared" si="20"/>
        <v>-1.2230509286879965E-2</v>
      </c>
      <c r="AC8" s="2">
        <f t="shared" si="20"/>
        <v>-1.5128552673441403E-2</v>
      </c>
      <c r="AD8" s="2">
        <f t="shared" si="20"/>
        <v>-7.5663866762202964E-3</v>
      </c>
    </row>
    <row r="9" spans="1:30" ht="14.25" customHeight="1" x14ac:dyDescent="0.3">
      <c r="A9" s="3"/>
      <c r="B9" s="2">
        <v>0.02</v>
      </c>
      <c r="C9" s="7">
        <v>0.14100431340692399</v>
      </c>
      <c r="D9" s="2">
        <v>-1.1720966093243801</v>
      </c>
      <c r="E9" s="2">
        <v>0.49431739888035497</v>
      </c>
      <c r="F9" s="8">
        <v>0.15070681222136501</v>
      </c>
      <c r="G9" s="9">
        <f t="shared" ref="G9:J9" si="21">AVERAGE(G2:G8)</f>
        <v>7.4272607645794006E-2</v>
      </c>
      <c r="H9" s="9">
        <f t="shared" si="21"/>
        <v>-1.0718748738334291E-2</v>
      </c>
      <c r="I9" s="9">
        <f t="shared" si="21"/>
        <v>-1.3258577470300998E-2</v>
      </c>
      <c r="J9" s="9">
        <f t="shared" si="21"/>
        <v>-6.6311382246837126E-3</v>
      </c>
      <c r="L9" s="2">
        <v>0.06</v>
      </c>
      <c r="M9" s="7">
        <v>1.3815291949918</v>
      </c>
      <c r="N9" s="2">
        <v>-1.3511245838472901</v>
      </c>
      <c r="O9" s="2">
        <v>0.27286839139744001</v>
      </c>
      <c r="P9" s="8">
        <v>3.99514177133189E-2</v>
      </c>
      <c r="Q9" s="9">
        <f t="shared" ref="Q9:T9" si="22">AVERAGE(Q2:Q8)</f>
        <v>7.884188386849815E-2</v>
      </c>
      <c r="R9" s="9">
        <f t="shared" si="22"/>
        <v>-1.1378169826400006E-2</v>
      </c>
      <c r="S9" s="9">
        <f t="shared" si="22"/>
        <v>-1.4074249690547999E-2</v>
      </c>
      <c r="T9" s="9">
        <f t="shared" si="22"/>
        <v>-7.0390881160379863E-3</v>
      </c>
      <c r="V9" s="2">
        <v>0.1</v>
      </c>
      <c r="W9" s="7">
        <v>2.6993884898683702</v>
      </c>
      <c r="X9" s="2">
        <v>-1.5413131756041301</v>
      </c>
      <c r="Y9" s="2">
        <v>3.7614236333882098E-2</v>
      </c>
      <c r="Z9" s="8">
        <v>-7.7708476317702502E-2</v>
      </c>
      <c r="AA9" s="9">
        <f t="shared" ref="AA9:AD9" si="23">AVERAGE(AA2:AA8)</f>
        <v>8.3781360728942891E-2</v>
      </c>
      <c r="AB9" s="9">
        <f t="shared" si="23"/>
        <v>-1.2091016904805725E-2</v>
      </c>
      <c r="AC9" s="9">
        <f t="shared" si="23"/>
        <v>-1.4956007295308701E-2</v>
      </c>
      <c r="AD9" s="9">
        <f t="shared" si="23"/>
        <v>-7.480089918146372E-3</v>
      </c>
    </row>
    <row r="10" spans="1:30" ht="14.25" customHeight="1" x14ac:dyDescent="0.3">
      <c r="A10" s="3" t="s">
        <v>1</v>
      </c>
      <c r="B10" s="2">
        <v>2.5000000000000001E-3</v>
      </c>
      <c r="C10" s="7">
        <v>-0.45208608752866197</v>
      </c>
      <c r="D10" s="2">
        <v>-1.06614801853284</v>
      </c>
      <c r="E10" s="2">
        <v>0.57688440789641104</v>
      </c>
      <c r="F10" s="8">
        <v>0.216251752904284</v>
      </c>
      <c r="G10" s="2">
        <f t="shared" ref="G10:J10" si="24">C11-C10</f>
        <v>0</v>
      </c>
      <c r="H10" s="2">
        <f t="shared" si="24"/>
        <v>2.0443330365389922E-2</v>
      </c>
      <c r="I10" s="2">
        <f t="shared" si="24"/>
        <v>-2.3406972628054024E-2</v>
      </c>
      <c r="J10" s="2">
        <f t="shared" si="24"/>
        <v>1.2647236420510993E-2</v>
      </c>
      <c r="K10" s="3" t="s">
        <v>1</v>
      </c>
      <c r="L10" s="5">
        <v>4.2500000000000003E-2</v>
      </c>
      <c r="M10" s="4">
        <v>-0.45208608752866197</v>
      </c>
      <c r="N10" s="5">
        <v>-0.72820777988243901</v>
      </c>
      <c r="O10" s="5">
        <v>0.189953424801835</v>
      </c>
      <c r="P10" s="6">
        <v>0.42531798711491198</v>
      </c>
      <c r="Q10" s="2">
        <f t="shared" ref="Q10:T10" si="25">M11-M10</f>
        <v>0</v>
      </c>
      <c r="R10" s="2">
        <f t="shared" si="25"/>
        <v>2.1914655388201032E-2</v>
      </c>
      <c r="S10" s="2">
        <f t="shared" si="25"/>
        <v>-2.5091593671728002E-2</v>
      </c>
      <c r="T10" s="2">
        <f t="shared" si="25"/>
        <v>1.3557469493233998E-2</v>
      </c>
      <c r="U10" s="3" t="s">
        <v>1</v>
      </c>
      <c r="V10" s="2">
        <v>8.2500000000000004E-2</v>
      </c>
      <c r="W10" s="7">
        <v>-0.45208608752866197</v>
      </c>
      <c r="X10" s="2">
        <v>-0.36562385181757401</v>
      </c>
      <c r="Y10" s="2">
        <v>-0.225193810403783</v>
      </c>
      <c r="Z10" s="8">
        <v>0.64963000372636204</v>
      </c>
      <c r="AA10" s="2">
        <f t="shared" ref="AA10:AD10" si="26">W11-W10</f>
        <v>0</v>
      </c>
      <c r="AB10" s="2">
        <f t="shared" si="26"/>
        <v>2.3536046481154982E-2</v>
      </c>
      <c r="AC10" s="2">
        <f t="shared" si="26"/>
        <v>-2.6948035662975989E-2</v>
      </c>
      <c r="AD10" s="2">
        <f t="shared" si="26"/>
        <v>1.4560540720684911E-2</v>
      </c>
    </row>
    <row r="11" spans="1:30" ht="14.25" customHeight="1" x14ac:dyDescent="0.3">
      <c r="A11" s="3"/>
      <c r="B11" s="2">
        <v>5.0000000000000001E-3</v>
      </c>
      <c r="C11" s="7">
        <v>-0.45208608752866197</v>
      </c>
      <c r="D11" s="2">
        <v>-1.0457046881674501</v>
      </c>
      <c r="E11" s="2">
        <v>0.55347743526835702</v>
      </c>
      <c r="F11" s="8">
        <v>0.22889898932479499</v>
      </c>
      <c r="G11" s="2">
        <f t="shared" ref="G11:J11" si="27">C12-C11</f>
        <v>0</v>
      </c>
      <c r="H11" s="2">
        <f t="shared" si="27"/>
        <v>2.0531210454100002E-2</v>
      </c>
      <c r="I11" s="2">
        <f t="shared" si="27"/>
        <v>-2.3507592575690017E-2</v>
      </c>
      <c r="J11" s="2">
        <f t="shared" si="27"/>
        <v>1.2701603308823001E-2</v>
      </c>
      <c r="L11" s="2">
        <v>4.4999999999999998E-2</v>
      </c>
      <c r="M11" s="7">
        <v>-0.45208608752866197</v>
      </c>
      <c r="N11" s="2">
        <v>-0.70629312449423798</v>
      </c>
      <c r="O11" s="2">
        <v>0.16486183113010699</v>
      </c>
      <c r="P11" s="8">
        <v>0.43887545660814598</v>
      </c>
      <c r="Q11" s="2">
        <f t="shared" ref="Q11:T11" si="28">M12-M11</f>
        <v>0</v>
      </c>
      <c r="R11" s="2">
        <f t="shared" si="28"/>
        <v>2.2011415822092983E-2</v>
      </c>
      <c r="S11" s="2">
        <f t="shared" si="28"/>
        <v>-2.520238133629199E-2</v>
      </c>
      <c r="T11" s="2">
        <f t="shared" si="28"/>
        <v>1.3617330194089006E-2</v>
      </c>
      <c r="V11" s="2">
        <v>8.5000000000000006E-2</v>
      </c>
      <c r="W11" s="7">
        <v>-0.45208608752866197</v>
      </c>
      <c r="X11" s="2">
        <v>-0.34208780533641903</v>
      </c>
      <c r="Y11" s="2">
        <v>-0.25214184606675899</v>
      </c>
      <c r="Z11" s="8">
        <v>0.66419054444704695</v>
      </c>
      <c r="AA11" s="2">
        <f t="shared" ref="AA11:AD11" si="29">W12-W11</f>
        <v>0</v>
      </c>
      <c r="AB11" s="2">
        <f t="shared" si="29"/>
        <v>2.3642774106477027E-2</v>
      </c>
      <c r="AC11" s="2">
        <f t="shared" si="29"/>
        <v>-2.7070235449428992E-2</v>
      </c>
      <c r="AD11" s="2">
        <f t="shared" si="29"/>
        <v>1.4626567609907104E-2</v>
      </c>
    </row>
    <row r="12" spans="1:30" ht="14.25" customHeight="1" x14ac:dyDescent="0.3">
      <c r="A12" s="3"/>
      <c r="B12" s="2">
        <v>7.4999999999999997E-3</v>
      </c>
      <c r="C12" s="7">
        <v>-0.45208608752866197</v>
      </c>
      <c r="D12" s="2">
        <v>-1.0251734777133501</v>
      </c>
      <c r="E12" s="2">
        <v>0.529969842692667</v>
      </c>
      <c r="F12" s="8">
        <v>0.24160059263361799</v>
      </c>
      <c r="G12" s="2">
        <f t="shared" ref="G12:J12" si="30">C13-C12</f>
        <v>0</v>
      </c>
      <c r="H12" s="2">
        <f t="shared" si="30"/>
        <v>2.0619616109500027E-2</v>
      </c>
      <c r="I12" s="2">
        <f t="shared" si="30"/>
        <v>-2.3608814280749013E-2</v>
      </c>
      <c r="J12" s="2">
        <f t="shared" si="30"/>
        <v>1.2756295338179013E-2</v>
      </c>
      <c r="L12" s="2">
        <v>4.7500000000000001E-2</v>
      </c>
      <c r="M12" s="7">
        <v>-0.45208608752866197</v>
      </c>
      <c r="N12" s="2">
        <v>-0.68428170867214499</v>
      </c>
      <c r="O12" s="2">
        <v>0.139659449793815</v>
      </c>
      <c r="P12" s="8">
        <v>0.45249278680223498</v>
      </c>
      <c r="Q12" s="2">
        <f t="shared" ref="Q12:T12" si="31">M13-M12</f>
        <v>0</v>
      </c>
      <c r="R12" s="2">
        <f t="shared" si="31"/>
        <v>2.2108766027797988E-2</v>
      </c>
      <c r="S12" s="2">
        <f t="shared" si="31"/>
        <v>-2.531384427111201E-2</v>
      </c>
      <c r="T12" s="2">
        <f t="shared" si="31"/>
        <v>1.3677555756413995E-2</v>
      </c>
      <c r="V12" s="2">
        <v>8.7499999999999994E-2</v>
      </c>
      <c r="W12" s="7">
        <v>-0.45208608752866197</v>
      </c>
      <c r="X12" s="2">
        <v>-0.318445031229942</v>
      </c>
      <c r="Y12" s="2">
        <v>-0.27921208151618798</v>
      </c>
      <c r="Z12" s="8">
        <v>0.67881711205695405</v>
      </c>
      <c r="AA12" s="2">
        <f t="shared" ref="AA12:AD12" si="32">W13-W12</f>
        <v>0</v>
      </c>
      <c r="AB12" s="2">
        <f t="shared" si="32"/>
        <v>2.3750163764206023E-2</v>
      </c>
      <c r="AC12" s="2">
        <f t="shared" si="32"/>
        <v>-2.7193193242222025E-2</v>
      </c>
      <c r="AD12" s="2">
        <f t="shared" si="32"/>
        <v>1.4693004064570969E-2</v>
      </c>
    </row>
    <row r="13" spans="1:30" ht="14.25" customHeight="1" x14ac:dyDescent="0.3">
      <c r="A13" s="3"/>
      <c r="B13" s="2">
        <v>0.01</v>
      </c>
      <c r="C13" s="7">
        <v>-0.45208608752866197</v>
      </c>
      <c r="D13" s="2">
        <v>-1.0045538616038501</v>
      </c>
      <c r="E13" s="2">
        <v>0.50636102841191799</v>
      </c>
      <c r="F13" s="8">
        <v>0.25435688797179701</v>
      </c>
      <c r="G13" s="2">
        <f t="shared" ref="G13:J13" si="33">C14-C13</f>
        <v>0</v>
      </c>
      <c r="H13" s="2">
        <f t="shared" si="33"/>
        <v>2.070855112108605E-2</v>
      </c>
      <c r="I13" s="2">
        <f t="shared" si="33"/>
        <v>-2.3710642081989974E-2</v>
      </c>
      <c r="J13" s="2">
        <f t="shared" si="33"/>
        <v>1.2811314852987976E-2</v>
      </c>
      <c r="L13" s="2">
        <v>0.05</v>
      </c>
      <c r="M13" s="7">
        <v>-0.45208608752866197</v>
      </c>
      <c r="N13" s="2">
        <v>-0.66217294264434701</v>
      </c>
      <c r="O13" s="2">
        <v>0.11434560552270299</v>
      </c>
      <c r="P13" s="8">
        <v>0.46617034255864898</v>
      </c>
      <c r="Q13" s="2">
        <f t="shared" ref="Q13:T13" si="34">M14-M13</f>
        <v>0</v>
      </c>
      <c r="R13" s="2">
        <f t="shared" si="34"/>
        <v>2.2206710279008002E-2</v>
      </c>
      <c r="S13" s="2">
        <f t="shared" si="34"/>
        <v>-2.5425987369435396E-2</v>
      </c>
      <c r="T13" s="2">
        <f t="shared" si="34"/>
        <v>1.3738148824115004E-2</v>
      </c>
      <c r="V13" s="2">
        <v>0.09</v>
      </c>
      <c r="W13" s="7">
        <v>-0.45208608752866197</v>
      </c>
      <c r="X13" s="2">
        <v>-0.29469486746573598</v>
      </c>
      <c r="Y13" s="2">
        <v>-0.30640527475841001</v>
      </c>
      <c r="Z13" s="8">
        <v>0.69351011612152502</v>
      </c>
      <c r="AA13" s="2">
        <f t="shared" ref="AA13:AD13" si="35">W14-W13</f>
        <v>0</v>
      </c>
      <c r="AB13" s="2">
        <f t="shared" si="35"/>
        <v>2.3858220251823992E-2</v>
      </c>
      <c r="AC13" s="2">
        <f t="shared" si="35"/>
        <v>-2.7316914534319003E-2</v>
      </c>
      <c r="AD13" s="2">
        <f t="shared" si="35"/>
        <v>1.475985305252403E-2</v>
      </c>
    </row>
    <row r="14" spans="1:30" ht="14.25" customHeight="1" x14ac:dyDescent="0.3">
      <c r="A14" s="3"/>
      <c r="B14" s="2">
        <v>1.2500000000000001E-2</v>
      </c>
      <c r="C14" s="7">
        <v>-0.45208608752866197</v>
      </c>
      <c r="D14" s="2">
        <v>-0.98384531048276402</v>
      </c>
      <c r="E14" s="2">
        <v>0.48265038632992802</v>
      </c>
      <c r="F14" s="8">
        <v>0.26716820282478498</v>
      </c>
      <c r="G14" s="2">
        <f t="shared" ref="G14:J14" si="36">C15-C14</f>
        <v>0</v>
      </c>
      <c r="H14" s="2">
        <f t="shared" si="36"/>
        <v>2.0798019307321058E-2</v>
      </c>
      <c r="I14" s="2">
        <f t="shared" si="36"/>
        <v>-2.3813080351544003E-2</v>
      </c>
      <c r="J14" s="2">
        <f t="shared" si="36"/>
        <v>1.2866664215510026E-2</v>
      </c>
      <c r="L14" s="2">
        <v>5.2500000000000005E-2</v>
      </c>
      <c r="M14" s="7">
        <v>-0.45208608752866197</v>
      </c>
      <c r="N14" s="2">
        <v>-0.63996623236533901</v>
      </c>
      <c r="O14" s="2">
        <v>8.8919618153267599E-2</v>
      </c>
      <c r="P14" s="8">
        <v>0.47990849138276398</v>
      </c>
      <c r="Q14" s="2">
        <f t="shared" ref="Q14:T14" si="37">M15-M14</f>
        <v>0</v>
      </c>
      <c r="R14" s="2">
        <f t="shared" si="37"/>
        <v>2.2305252880954973E-2</v>
      </c>
      <c r="S14" s="2">
        <f t="shared" si="37"/>
        <v>-2.5538815560638903E-2</v>
      </c>
      <c r="T14" s="2">
        <f t="shared" si="37"/>
        <v>1.3799112060657037E-2</v>
      </c>
      <c r="V14" s="2">
        <v>9.2499999999999999E-2</v>
      </c>
      <c r="W14" s="7">
        <v>-0.45208608752866197</v>
      </c>
      <c r="X14" s="2">
        <v>-0.27083664721391199</v>
      </c>
      <c r="Y14" s="2">
        <v>-0.33372218929272901</v>
      </c>
      <c r="Z14" s="8">
        <v>0.70826996917404905</v>
      </c>
      <c r="AA14" s="2">
        <f t="shared" ref="AA14:AD14" si="38">W15-W14</f>
        <v>0</v>
      </c>
      <c r="AB14" s="2">
        <f t="shared" si="38"/>
        <v>2.3966948400555993E-2</v>
      </c>
      <c r="AC14" s="2">
        <f t="shared" si="38"/>
        <v>-2.7441404857374008E-2</v>
      </c>
      <c r="AD14" s="2">
        <f t="shared" si="38"/>
        <v>1.4827117562657977E-2</v>
      </c>
    </row>
    <row r="15" spans="1:30" ht="14.25" customHeight="1" x14ac:dyDescent="0.3">
      <c r="A15" s="3"/>
      <c r="B15" s="2">
        <v>1.5000000000000001E-2</v>
      </c>
      <c r="C15" s="7">
        <v>-0.45208608752866197</v>
      </c>
      <c r="D15" s="2">
        <v>-0.96304729117544297</v>
      </c>
      <c r="E15" s="2">
        <v>0.45883730597838401</v>
      </c>
      <c r="F15" s="8">
        <v>0.28003486704029501</v>
      </c>
      <c r="G15" s="2">
        <f t="shared" ref="G15:J15" si="39">C16-C15</f>
        <v>0</v>
      </c>
      <c r="H15" s="2">
        <f t="shared" si="39"/>
        <v>2.0888024515826942E-2</v>
      </c>
      <c r="I15" s="2">
        <f t="shared" si="39"/>
        <v>-2.3916133494737035E-2</v>
      </c>
      <c r="J15" s="2">
        <f t="shared" si="39"/>
        <v>1.2922345806065993E-2</v>
      </c>
      <c r="L15" s="2">
        <v>5.5E-2</v>
      </c>
      <c r="M15" s="7">
        <v>-0.45208608752866197</v>
      </c>
      <c r="N15" s="2">
        <v>-0.61766097948438403</v>
      </c>
      <c r="O15" s="2">
        <v>6.3380802592628696E-2</v>
      </c>
      <c r="P15" s="8">
        <v>0.49370760344342102</v>
      </c>
      <c r="Q15" s="2">
        <f t="shared" ref="Q15:T15" si="40">M16-M15</f>
        <v>0</v>
      </c>
      <c r="R15" s="2">
        <f t="shared" si="40"/>
        <v>2.2404398170877027E-2</v>
      </c>
      <c r="S15" s="2">
        <f t="shared" si="40"/>
        <v>-2.5652333810605894E-2</v>
      </c>
      <c r="T15" s="2">
        <f t="shared" si="40"/>
        <v>1.3860448149198956E-2</v>
      </c>
      <c r="V15" s="2">
        <v>9.5000000000000001E-2</v>
      </c>
      <c r="W15" s="7">
        <v>-0.45208608752866197</v>
      </c>
      <c r="X15" s="2">
        <v>-0.24686969881335599</v>
      </c>
      <c r="Y15" s="2">
        <v>-0.36116359415010302</v>
      </c>
      <c r="Z15" s="8">
        <v>0.72309708673670703</v>
      </c>
      <c r="AA15" s="2">
        <f t="shared" ref="AA15:AD15" si="41">W16-W15</f>
        <v>0</v>
      </c>
      <c r="AB15" s="2">
        <f t="shared" si="41"/>
        <v>2.4076353075528995E-2</v>
      </c>
      <c r="AC15" s="2">
        <f t="shared" si="41"/>
        <v>-2.7566669781780961E-2</v>
      </c>
      <c r="AD15" s="2">
        <f t="shared" si="41"/>
        <v>1.4894800604766001E-2</v>
      </c>
    </row>
    <row r="16" spans="1:30" ht="14.25" customHeight="1" x14ac:dyDescent="0.3">
      <c r="A16" s="3"/>
      <c r="B16" s="2">
        <v>1.7500000000000002E-2</v>
      </c>
      <c r="C16" s="7">
        <v>-0.45208608752866197</v>
      </c>
      <c r="D16" s="2">
        <v>-0.94215926665961602</v>
      </c>
      <c r="E16" s="2">
        <v>0.43492117248364698</v>
      </c>
      <c r="F16" s="8">
        <v>0.292957212846361</v>
      </c>
      <c r="G16" s="2">
        <f t="shared" ref="G16:J16" si="42">C17-C16</f>
        <v>0</v>
      </c>
      <c r="H16" s="2">
        <f t="shared" si="42"/>
        <v>2.0978570623513049E-2</v>
      </c>
      <c r="I16" s="2">
        <f t="shared" si="42"/>
        <v>-2.4019805950591E-2</v>
      </c>
      <c r="J16" s="2">
        <f t="shared" si="42"/>
        <v>1.2978362023094991E-2</v>
      </c>
      <c r="L16" s="2">
        <v>5.7500000000000002E-2</v>
      </c>
      <c r="M16" s="7">
        <v>-0.45208608752866197</v>
      </c>
      <c r="N16" s="2">
        <v>-0.595256581313507</v>
      </c>
      <c r="O16" s="2">
        <v>3.7728468782022802E-2</v>
      </c>
      <c r="P16" s="8">
        <v>0.50756805159261997</v>
      </c>
      <c r="Q16" s="2">
        <f t="shared" ref="Q16:T16" si="43">M17-M16</f>
        <v>0</v>
      </c>
      <c r="R16" s="2">
        <f t="shared" si="43"/>
        <v>2.2504150517748012E-2</v>
      </c>
      <c r="S16" s="2">
        <f t="shared" si="43"/>
        <v>-2.5766547121800702E-2</v>
      </c>
      <c r="T16" s="2">
        <f t="shared" si="43"/>
        <v>1.3922159792615019E-2</v>
      </c>
      <c r="V16" s="2">
        <v>9.75000000000001E-2</v>
      </c>
      <c r="W16" s="7">
        <v>-0.45208608752866197</v>
      </c>
      <c r="X16" s="2">
        <v>-0.222793345737827</v>
      </c>
      <c r="Y16" s="2">
        <v>-0.38873026393188398</v>
      </c>
      <c r="Z16" s="8">
        <v>0.73799188734147303</v>
      </c>
      <c r="AA16" s="2">
        <f t="shared" ref="AA16:AD16" si="44">W17-W16</f>
        <v>0</v>
      </c>
      <c r="AB16" s="2">
        <f t="shared" si="44"/>
        <v>2.4186439175962998E-2</v>
      </c>
      <c r="AC16" s="2">
        <f t="shared" si="44"/>
        <v>-2.7692714916949024E-2</v>
      </c>
      <c r="AD16" s="2">
        <f t="shared" si="44"/>
        <v>1.4962905209755961E-2</v>
      </c>
    </row>
    <row r="17" spans="1:30" ht="14.25" customHeight="1" x14ac:dyDescent="0.3">
      <c r="A17" s="3"/>
      <c r="B17" s="2">
        <v>0.02</v>
      </c>
      <c r="C17" s="7">
        <v>-0.45208608752866197</v>
      </c>
      <c r="D17" s="2">
        <v>-0.92118069603610298</v>
      </c>
      <c r="E17" s="2">
        <v>0.41090136653305598</v>
      </c>
      <c r="F17" s="8">
        <v>0.305935574869456</v>
      </c>
      <c r="G17" s="9">
        <f t="shared" ref="G17:J17" si="45">AVERAGE(G10:G16)</f>
        <v>0</v>
      </c>
      <c r="H17" s="9">
        <f t="shared" si="45"/>
        <v>2.0709617499533865E-2</v>
      </c>
      <c r="I17" s="9">
        <f t="shared" si="45"/>
        <v>-2.3711863051907867E-2</v>
      </c>
      <c r="J17" s="9">
        <f t="shared" si="45"/>
        <v>1.2811974566453142E-2</v>
      </c>
      <c r="L17" s="2">
        <v>0.06</v>
      </c>
      <c r="M17" s="7">
        <v>-0.45208608752866197</v>
      </c>
      <c r="N17" s="2">
        <v>-0.57275243079575899</v>
      </c>
      <c r="O17" s="2">
        <v>1.19619216602221E-2</v>
      </c>
      <c r="P17" s="8">
        <v>0.52149021138523499</v>
      </c>
      <c r="Q17" s="9">
        <f t="shared" ref="Q17:T17" si="46">AVERAGE(Q10:Q16)</f>
        <v>0</v>
      </c>
      <c r="R17" s="9">
        <f t="shared" si="46"/>
        <v>2.2207907012382861E-2</v>
      </c>
      <c r="S17" s="9">
        <f t="shared" si="46"/>
        <v>-2.5427357591658983E-2</v>
      </c>
      <c r="T17" s="9">
        <f t="shared" si="46"/>
        <v>1.3738889181474716E-2</v>
      </c>
      <c r="V17" s="2">
        <v>0.1</v>
      </c>
      <c r="W17" s="7">
        <v>-0.45208608752866197</v>
      </c>
      <c r="X17" s="2">
        <v>-0.198606906561864</v>
      </c>
      <c r="Y17" s="2">
        <v>-0.416422978848833</v>
      </c>
      <c r="Z17" s="8">
        <v>0.75295479255122899</v>
      </c>
      <c r="AA17" s="9">
        <f t="shared" ref="AA17:AD17" si="47">AVERAGE(AA10:AA16)</f>
        <v>0</v>
      </c>
      <c r="AB17" s="9">
        <f t="shared" si="47"/>
        <v>2.3859563607958573E-2</v>
      </c>
      <c r="AC17" s="9">
        <f t="shared" si="47"/>
        <v>-2.7318452635007144E-2</v>
      </c>
      <c r="AD17" s="9">
        <f t="shared" si="47"/>
        <v>1.4760684117838136E-2</v>
      </c>
    </row>
    <row r="18" spans="1:30" ht="14.25" customHeight="1" x14ac:dyDescent="0.3">
      <c r="A18" s="3" t="s">
        <v>2</v>
      </c>
      <c r="B18" s="2">
        <v>2.5000000000000001E-3</v>
      </c>
      <c r="C18" s="7">
        <v>-0.45208608752866197</v>
      </c>
      <c r="D18" s="2">
        <v>-1.06703893269651</v>
      </c>
      <c r="E18" s="2">
        <v>0.60019135802822399</v>
      </c>
      <c r="F18" s="8">
        <v>0.19122872046105299</v>
      </c>
      <c r="G18" s="2">
        <f t="shared" ref="G18:J18" si="48">C19-C18</f>
        <v>0</v>
      </c>
      <c r="H18" s="2">
        <f t="shared" si="48"/>
        <v>1.9546724135769855E-2</v>
      </c>
      <c r="I18" s="2">
        <f t="shared" si="48"/>
        <v>0</v>
      </c>
      <c r="J18" s="2">
        <f t="shared" si="48"/>
        <v>-1.2481989852332981E-2</v>
      </c>
      <c r="K18" s="3" t="s">
        <v>2</v>
      </c>
      <c r="L18" s="5">
        <v>4.2500000000000003E-2</v>
      </c>
      <c r="M18" s="7">
        <v>-0.45208608752866197</v>
      </c>
      <c r="N18" s="2">
        <v>-0.74413904107920803</v>
      </c>
      <c r="O18" s="2">
        <v>0.60019135802822399</v>
      </c>
      <c r="P18" s="8">
        <v>-1.49660947159071E-2</v>
      </c>
      <c r="Q18" s="2">
        <f t="shared" ref="Q18:T18" si="49">M19-M18</f>
        <v>0</v>
      </c>
      <c r="R18" s="2">
        <f t="shared" si="49"/>
        <v>2.0924726092161006E-2</v>
      </c>
      <c r="S18" s="2">
        <f t="shared" si="49"/>
        <v>0</v>
      </c>
      <c r="T18" s="2">
        <f t="shared" si="49"/>
        <v>-1.3361943256129698E-2</v>
      </c>
      <c r="U18" s="3" t="s">
        <v>2</v>
      </c>
      <c r="V18" s="5">
        <v>8.2500000000000004E-2</v>
      </c>
      <c r="W18" s="7">
        <v>-0.45208608752866197</v>
      </c>
      <c r="X18" s="2">
        <v>-0.39811416076716499</v>
      </c>
      <c r="Y18" s="2">
        <v>0.60019135802822399</v>
      </c>
      <c r="Z18" s="8">
        <v>-0.23592787914145</v>
      </c>
      <c r="AA18" s="2">
        <f t="shared" ref="AA18:AD18" si="50">W19-W18</f>
        <v>0</v>
      </c>
      <c r="AB18" s="2">
        <f t="shared" si="50"/>
        <v>2.2449737555817972E-2</v>
      </c>
      <c r="AC18" s="2">
        <f t="shared" si="50"/>
        <v>0</v>
      </c>
      <c r="AD18" s="2">
        <f t="shared" si="50"/>
        <v>-1.4335772808434982E-2</v>
      </c>
    </row>
    <row r="19" spans="1:30" ht="14.25" customHeight="1" x14ac:dyDescent="0.3">
      <c r="A19" s="3"/>
      <c r="B19" s="2">
        <v>5.0000000000000001E-3</v>
      </c>
      <c r="C19" s="7">
        <v>-0.45208608752866197</v>
      </c>
      <c r="D19" s="2">
        <v>-1.0474922085607401</v>
      </c>
      <c r="E19" s="2">
        <v>0.60019135802822399</v>
      </c>
      <c r="F19" s="8">
        <v>0.17874673060872001</v>
      </c>
      <c r="G19" s="2">
        <f t="shared" ref="G19:J19" si="51">C20-C19</f>
        <v>0</v>
      </c>
      <c r="H19" s="2">
        <f t="shared" si="51"/>
        <v>1.9628894023710153E-2</v>
      </c>
      <c r="I19" s="2">
        <f t="shared" si="51"/>
        <v>0</v>
      </c>
      <c r="J19" s="2">
        <f t="shared" si="51"/>
        <v>-1.2534461238361022E-2</v>
      </c>
      <c r="L19" s="2">
        <v>4.4999999999999998E-2</v>
      </c>
      <c r="M19" s="7">
        <v>-0.45208608752866197</v>
      </c>
      <c r="N19" s="2">
        <v>-0.72321431498704702</v>
      </c>
      <c r="O19" s="2">
        <v>0.60019135802822399</v>
      </c>
      <c r="P19" s="8">
        <v>-2.8328037972036799E-2</v>
      </c>
      <c r="Q19" s="2">
        <f t="shared" ref="Q19:T19" si="52">M20-M19</f>
        <v>0</v>
      </c>
      <c r="R19" s="2">
        <f t="shared" si="52"/>
        <v>2.1015531880721028E-2</v>
      </c>
      <c r="S19" s="2">
        <f t="shared" si="52"/>
        <v>0</v>
      </c>
      <c r="T19" s="2">
        <f t="shared" si="52"/>
        <v>-1.3419929286074501E-2</v>
      </c>
      <c r="V19" s="2">
        <v>8.5000000000000006E-2</v>
      </c>
      <c r="W19" s="7">
        <v>-0.45208608752866197</v>
      </c>
      <c r="X19" s="2">
        <v>-0.37566442321134702</v>
      </c>
      <c r="Y19" s="2">
        <v>0.60019135802822399</v>
      </c>
      <c r="Z19" s="8">
        <v>-0.25026365194988498</v>
      </c>
      <c r="AA19" s="2">
        <f t="shared" ref="AA19:AD19" si="53">W20-W19</f>
        <v>0</v>
      </c>
      <c r="AB19" s="2">
        <f t="shared" si="53"/>
        <v>2.2550391150999993E-2</v>
      </c>
      <c r="AC19" s="2">
        <f t="shared" si="53"/>
        <v>0</v>
      </c>
      <c r="AD19" s="2">
        <f t="shared" si="53"/>
        <v>-1.4400047371523006E-2</v>
      </c>
    </row>
    <row r="20" spans="1:30" ht="14.25" customHeight="1" x14ac:dyDescent="0.3">
      <c r="A20" s="3"/>
      <c r="B20" s="2">
        <v>7.4999999999999997E-3</v>
      </c>
      <c r="C20" s="7">
        <v>-0.45208608752866197</v>
      </c>
      <c r="D20" s="2">
        <v>-1.0278633145370299</v>
      </c>
      <c r="E20" s="2">
        <v>0.60019135802822399</v>
      </c>
      <c r="F20" s="8">
        <v>0.16621226937035899</v>
      </c>
      <c r="G20" s="2">
        <f t="shared" ref="G20:J20" si="54">C21-C20</f>
        <v>0</v>
      </c>
      <c r="H20" s="2">
        <f t="shared" si="54"/>
        <v>1.9711571622689883E-2</v>
      </c>
      <c r="I20" s="2">
        <f t="shared" si="54"/>
        <v>0</v>
      </c>
      <c r="J20" s="2">
        <f t="shared" si="54"/>
        <v>-1.2587256834404981E-2</v>
      </c>
      <c r="L20" s="2">
        <v>4.7500000000000001E-2</v>
      </c>
      <c r="M20" s="7">
        <v>-0.45208608752866197</v>
      </c>
      <c r="N20" s="2">
        <v>-0.702198783106326</v>
      </c>
      <c r="O20" s="2">
        <v>0.60019135802822399</v>
      </c>
      <c r="P20" s="8">
        <v>-4.17479672581113E-2</v>
      </c>
      <c r="Q20" s="2">
        <f t="shared" ref="Q20:T20" si="55">M21-M20</f>
        <v>0</v>
      </c>
      <c r="R20" s="2">
        <f t="shared" si="55"/>
        <v>2.1106915661761039E-2</v>
      </c>
      <c r="S20" s="2">
        <f t="shared" si="55"/>
        <v>0</v>
      </c>
      <c r="T20" s="2">
        <f t="shared" si="55"/>
        <v>-1.3478284405871802E-2</v>
      </c>
      <c r="V20" s="2">
        <v>8.7499999999999994E-2</v>
      </c>
      <c r="W20" s="7">
        <v>-0.45208608752866197</v>
      </c>
      <c r="X20" s="2">
        <v>-0.35311403206034703</v>
      </c>
      <c r="Y20" s="2">
        <v>0.60019135802822399</v>
      </c>
      <c r="Z20" s="8">
        <v>-0.26466369932140799</v>
      </c>
      <c r="AA20" s="2">
        <f t="shared" ref="AA20:AD20" si="56">W21-W20</f>
        <v>0</v>
      </c>
      <c r="AB20" s="2">
        <f t="shared" si="56"/>
        <v>2.2651705056902005E-2</v>
      </c>
      <c r="AC20" s="2">
        <f t="shared" si="56"/>
        <v>0</v>
      </c>
      <c r="AD20" s="2">
        <f t="shared" si="56"/>
        <v>-1.4464743590515028E-2</v>
      </c>
    </row>
    <row r="21" spans="1:30" ht="14.25" customHeight="1" x14ac:dyDescent="0.3">
      <c r="A21" s="3"/>
      <c r="B21" s="2">
        <v>0.01</v>
      </c>
      <c r="C21" s="7">
        <v>-0.45208608752866197</v>
      </c>
      <c r="D21" s="2">
        <v>-1.0081517429143401</v>
      </c>
      <c r="E21" s="2">
        <v>0.60019135802822399</v>
      </c>
      <c r="F21" s="8">
        <v>0.15362501253595401</v>
      </c>
      <c r="G21" s="2">
        <f t="shared" ref="G21:J21" si="57">C22-C21</f>
        <v>0</v>
      </c>
      <c r="H21" s="2">
        <f t="shared" si="57"/>
        <v>1.9794761011671103E-2</v>
      </c>
      <c r="I21" s="2">
        <f t="shared" si="57"/>
        <v>0</v>
      </c>
      <c r="J21" s="2">
        <f t="shared" si="57"/>
        <v>-1.2640379245200006E-2</v>
      </c>
      <c r="L21" s="2">
        <v>0.05</v>
      </c>
      <c r="M21" s="7">
        <v>-0.45208608752866197</v>
      </c>
      <c r="N21" s="2">
        <v>-0.68109186744456496</v>
      </c>
      <c r="O21" s="2">
        <v>0.60019135802822399</v>
      </c>
      <c r="P21" s="8">
        <v>-5.5226251663983102E-2</v>
      </c>
      <c r="Q21" s="2">
        <f t="shared" ref="Q21:T21" si="58">M22-M21</f>
        <v>0</v>
      </c>
      <c r="R21" s="2">
        <f t="shared" si="58"/>
        <v>2.1198882205055947E-2</v>
      </c>
      <c r="S21" s="2">
        <f t="shared" si="58"/>
        <v>0</v>
      </c>
      <c r="T21" s="2">
        <f t="shared" si="58"/>
        <v>-1.3537011661208694E-2</v>
      </c>
      <c r="V21" s="2">
        <v>0.09</v>
      </c>
      <c r="W21" s="7">
        <v>-0.45208608752866197</v>
      </c>
      <c r="X21" s="2">
        <v>-0.33046232700344502</v>
      </c>
      <c r="Y21" s="2">
        <v>0.60019135802822399</v>
      </c>
      <c r="Z21" s="8">
        <v>-0.27912844291192301</v>
      </c>
      <c r="AA21" s="2">
        <f t="shared" ref="AA21:AD21" si="59">W22-W21</f>
        <v>0</v>
      </c>
      <c r="AB21" s="2">
        <f t="shared" si="59"/>
        <v>2.2753684870025048E-2</v>
      </c>
      <c r="AC21" s="2">
        <f t="shared" si="59"/>
        <v>0</v>
      </c>
      <c r="AD21" s="2">
        <f t="shared" si="59"/>
        <v>-1.4529865039192014E-2</v>
      </c>
    </row>
    <row r="22" spans="1:30" ht="14.25" customHeight="1" x14ac:dyDescent="0.3">
      <c r="A22" s="3"/>
      <c r="B22" s="2">
        <v>1.2500000000000001E-2</v>
      </c>
      <c r="C22" s="7">
        <v>-0.45208608752866197</v>
      </c>
      <c r="D22" s="2">
        <v>-0.98835698190266896</v>
      </c>
      <c r="E22" s="2">
        <v>0.60019135802822399</v>
      </c>
      <c r="F22" s="8">
        <v>0.140984633290754</v>
      </c>
      <c r="G22" s="2">
        <f t="shared" ref="G22:J22" si="60">C23-C22</f>
        <v>0</v>
      </c>
      <c r="H22" s="2">
        <f t="shared" si="60"/>
        <v>1.987846630949297E-2</v>
      </c>
      <c r="I22" s="2">
        <f t="shared" si="60"/>
        <v>0</v>
      </c>
      <c r="J22" s="2">
        <f t="shared" si="60"/>
        <v>-1.2693831100872993E-2</v>
      </c>
      <c r="L22" s="2">
        <v>5.2500000000000005E-2</v>
      </c>
      <c r="M22" s="7">
        <v>-0.45208608752866197</v>
      </c>
      <c r="N22" s="2">
        <v>-0.65989298523950901</v>
      </c>
      <c r="O22" s="2">
        <v>0.60019135802822399</v>
      </c>
      <c r="P22" s="8">
        <v>-6.8763263325191795E-2</v>
      </c>
      <c r="Q22" s="2">
        <f t="shared" ref="Q22:T22" si="61">M23-M22</f>
        <v>0</v>
      </c>
      <c r="R22" s="2">
        <f t="shared" si="61"/>
        <v>2.1291436327771973E-2</v>
      </c>
      <c r="S22" s="2">
        <f t="shared" si="61"/>
        <v>0</v>
      </c>
      <c r="T22" s="2">
        <f t="shared" si="61"/>
        <v>-1.3596114128334003E-2</v>
      </c>
      <c r="V22" s="2">
        <v>9.2499999999999999E-2</v>
      </c>
      <c r="W22" s="7">
        <v>-0.45208608752866197</v>
      </c>
      <c r="X22" s="2">
        <v>-0.30770864213341997</v>
      </c>
      <c r="Y22" s="2">
        <v>0.60019135802822399</v>
      </c>
      <c r="Z22" s="8">
        <v>-0.29365830795111503</v>
      </c>
      <c r="AA22" s="2">
        <f t="shared" ref="AA22:AD22" si="62">W23-W22</f>
        <v>0</v>
      </c>
      <c r="AB22" s="2">
        <f t="shared" si="62"/>
        <v>2.2856336243776976E-2</v>
      </c>
      <c r="AC22" s="2">
        <f t="shared" si="62"/>
        <v>0</v>
      </c>
      <c r="AD22" s="2">
        <f t="shared" si="62"/>
        <v>-1.4595415327658956E-2</v>
      </c>
    </row>
    <row r="23" spans="1:30" ht="14.25" customHeight="1" x14ac:dyDescent="0.3">
      <c r="A23" s="3"/>
      <c r="B23" s="2">
        <v>1.5000000000000001E-2</v>
      </c>
      <c r="C23" s="7">
        <v>-0.45208608752866197</v>
      </c>
      <c r="D23" s="2">
        <v>-0.96847851559317599</v>
      </c>
      <c r="E23" s="2">
        <v>0.60019135802822399</v>
      </c>
      <c r="F23" s="8">
        <v>0.12829080218988101</v>
      </c>
      <c r="G23" s="2">
        <f t="shared" ref="G23:J23" si="63">C24-C23</f>
        <v>0</v>
      </c>
      <c r="H23" s="2">
        <f t="shared" si="63"/>
        <v>1.9962691674904942E-2</v>
      </c>
      <c r="I23" s="2">
        <f t="shared" si="63"/>
        <v>0</v>
      </c>
      <c r="J23" s="2">
        <f t="shared" si="63"/>
        <v>-1.2747615057197015E-2</v>
      </c>
      <c r="L23" s="2">
        <v>5.5E-2</v>
      </c>
      <c r="M23" s="7">
        <v>-0.45208608752866197</v>
      </c>
      <c r="N23" s="2">
        <v>-0.63860154891173704</v>
      </c>
      <c r="O23" s="2">
        <v>0.60019135802822399</v>
      </c>
      <c r="P23" s="8">
        <v>-8.2359377453525798E-2</v>
      </c>
      <c r="Q23" s="2">
        <f t="shared" ref="Q23:T23" si="64">M24-M23</f>
        <v>0</v>
      </c>
      <c r="R23" s="2">
        <f t="shared" si="64"/>
        <v>2.1384582894939053E-2</v>
      </c>
      <c r="S23" s="2">
        <f t="shared" si="64"/>
        <v>0</v>
      </c>
      <c r="T23" s="2">
        <f t="shared" si="64"/>
        <v>-1.3655594913874303E-2</v>
      </c>
      <c r="V23" s="2">
        <v>9.5000000000000001E-2</v>
      </c>
      <c r="W23" s="7">
        <v>-0.45208608752866197</v>
      </c>
      <c r="X23" s="2">
        <v>-0.284852305889643</v>
      </c>
      <c r="Y23" s="2">
        <v>0.60019135802822399</v>
      </c>
      <c r="Z23" s="8">
        <v>-0.30825372327877398</v>
      </c>
      <c r="AA23" s="2">
        <f t="shared" ref="AA23:AD23" si="65">W24-W23</f>
        <v>0</v>
      </c>
      <c r="AB23" s="2">
        <f t="shared" si="65"/>
        <v>2.2959664889000975E-2</v>
      </c>
      <c r="AC23" s="2">
        <f t="shared" si="65"/>
        <v>0</v>
      </c>
      <c r="AD23" s="2">
        <f t="shared" si="65"/>
        <v>-1.4661398102676027E-2</v>
      </c>
    </row>
    <row r="24" spans="1:30" ht="14.25" customHeight="1" x14ac:dyDescent="0.3">
      <c r="A24" s="3"/>
      <c r="B24" s="2">
        <v>1.7500000000000002E-2</v>
      </c>
      <c r="C24" s="7">
        <v>-0.45208608752866197</v>
      </c>
      <c r="D24" s="2">
        <v>-0.94851582391827105</v>
      </c>
      <c r="E24" s="2">
        <v>0.60019135802822399</v>
      </c>
      <c r="F24" s="8">
        <v>0.11554318713268399</v>
      </c>
      <c r="G24" s="2">
        <f t="shared" ref="G24:J24" si="66">C25-C24</f>
        <v>0</v>
      </c>
      <c r="H24" s="2">
        <f t="shared" si="66"/>
        <v>2.0047441307327052E-2</v>
      </c>
      <c r="I24" s="2">
        <f t="shared" si="66"/>
        <v>0</v>
      </c>
      <c r="J24" s="2">
        <f t="shared" si="66"/>
        <v>-1.2801733795680989E-2</v>
      </c>
      <c r="L24" s="2">
        <v>5.7500000000000002E-2</v>
      </c>
      <c r="M24" s="7">
        <v>-0.45208608752866197</v>
      </c>
      <c r="N24" s="2">
        <v>-0.61721696601679799</v>
      </c>
      <c r="O24" s="2">
        <v>0.60019135802822399</v>
      </c>
      <c r="P24" s="8">
        <v>-9.60149723674001E-2</v>
      </c>
      <c r="Q24" s="2">
        <f t="shared" ref="Q24:T24" si="67">M25-M24</f>
        <v>0</v>
      </c>
      <c r="R24" s="2">
        <f t="shared" si="67"/>
        <v>2.147832682030093E-2</v>
      </c>
      <c r="S24" s="2">
        <f t="shared" si="67"/>
        <v>0</v>
      </c>
      <c r="T24" s="2">
        <f t="shared" si="67"/>
        <v>-1.3715457155586905E-2</v>
      </c>
      <c r="V24" s="2">
        <v>9.75000000000001E-2</v>
      </c>
      <c r="W24" s="7">
        <v>-0.45208608752866197</v>
      </c>
      <c r="X24" s="2">
        <v>-0.26189264100064202</v>
      </c>
      <c r="Y24" s="2">
        <v>0.60019135802822399</v>
      </c>
      <c r="Z24" s="8">
        <v>-0.32291512138145001</v>
      </c>
      <c r="AA24" s="2">
        <f t="shared" ref="AA24:AD24" si="68">W25-W24</f>
        <v>0</v>
      </c>
      <c r="AB24" s="2">
        <f t="shared" si="68"/>
        <v>2.3063676574594016E-2</v>
      </c>
      <c r="AC24" s="2">
        <f t="shared" si="68"/>
        <v>0</v>
      </c>
      <c r="AD24" s="2">
        <f t="shared" si="68"/>
        <v>-1.4727817048129976E-2</v>
      </c>
    </row>
    <row r="25" spans="1:30" ht="14.25" customHeight="1" x14ac:dyDescent="0.3">
      <c r="A25" s="3"/>
      <c r="B25" s="2">
        <v>0.02</v>
      </c>
      <c r="C25" s="7">
        <v>-0.45208608752866197</v>
      </c>
      <c r="D25" s="2">
        <v>-0.928468382610944</v>
      </c>
      <c r="E25" s="2">
        <v>0.60019135802822399</v>
      </c>
      <c r="F25" s="8">
        <v>0.10274145333700301</v>
      </c>
      <c r="G25" s="9">
        <f t="shared" ref="G25:J25" si="69">AVERAGE(G18:G24)</f>
        <v>0</v>
      </c>
      <c r="H25" s="9">
        <f t="shared" si="69"/>
        <v>1.9795792869366564E-2</v>
      </c>
      <c r="I25" s="9">
        <f t="shared" si="69"/>
        <v>0</v>
      </c>
      <c r="J25" s="9">
        <f t="shared" si="69"/>
        <v>-1.264103816057857E-2</v>
      </c>
      <c r="L25" s="2">
        <v>0.06</v>
      </c>
      <c r="M25" s="7">
        <v>-0.45208608752866197</v>
      </c>
      <c r="N25" s="2">
        <v>-0.59573863919649706</v>
      </c>
      <c r="O25" s="2">
        <v>0.60019135802822399</v>
      </c>
      <c r="P25" s="8">
        <v>-0.10973042952298701</v>
      </c>
      <c r="Q25" s="9">
        <f t="shared" ref="Q25:T25" si="70">AVERAGE(Q18:Q24)</f>
        <v>0</v>
      </c>
      <c r="R25" s="9">
        <f t="shared" si="70"/>
        <v>2.1200057411815854E-2</v>
      </c>
      <c r="S25" s="9">
        <f t="shared" si="70"/>
        <v>0</v>
      </c>
      <c r="T25" s="9">
        <f t="shared" si="70"/>
        <v>-1.3537762115297128E-2</v>
      </c>
      <c r="V25" s="2">
        <v>0.1</v>
      </c>
      <c r="W25" s="7">
        <v>-0.45208608752866197</v>
      </c>
      <c r="X25" s="2">
        <v>-0.23882896442604801</v>
      </c>
      <c r="Y25" s="2">
        <v>0.60019135802822399</v>
      </c>
      <c r="Z25" s="8">
        <v>-0.33764293842957999</v>
      </c>
      <c r="AA25" s="9">
        <f t="shared" ref="AA25:AD25" si="71">AVERAGE(AA18:AA24)</f>
        <v>0</v>
      </c>
      <c r="AB25" s="9">
        <f t="shared" si="71"/>
        <v>2.2755028048730998E-2</v>
      </c>
      <c r="AC25" s="9">
        <f t="shared" si="71"/>
        <v>0</v>
      </c>
      <c r="AD25" s="9">
        <f t="shared" si="71"/>
        <v>-1.4530722755447142E-2</v>
      </c>
    </row>
    <row r="26" spans="1:30" ht="14.25" customHeight="1" x14ac:dyDescent="0.3">
      <c r="A26" s="3" t="s">
        <v>3</v>
      </c>
      <c r="B26" s="2">
        <v>2.5000000000000001E-3</v>
      </c>
      <c r="C26" s="7">
        <v>-0.43169106716535799</v>
      </c>
      <c r="D26" s="2">
        <v>-1.0894473247155401</v>
      </c>
      <c r="E26" s="2">
        <v>0.59655059508658903</v>
      </c>
      <c r="F26" s="8">
        <v>0.201837671222871</v>
      </c>
      <c r="G26" s="2">
        <f t="shared" ref="G26:J26" si="72">C27-C26</f>
        <v>2.0503349571709961E-2</v>
      </c>
      <c r="H26" s="2">
        <f t="shared" si="72"/>
        <v>-2.9589677718100393E-3</v>
      </c>
      <c r="I26" s="2">
        <f t="shared" si="72"/>
        <v>-3.6601010428070069E-3</v>
      </c>
      <c r="J26" s="2">
        <f t="shared" si="72"/>
        <v>-1.8305610828409924E-3</v>
      </c>
      <c r="K26" s="3" t="s">
        <v>3</v>
      </c>
      <c r="L26" s="2">
        <v>4.2500000000000003E-2</v>
      </c>
      <c r="M26" s="7">
        <v>-9.0042506059070507E-2</v>
      </c>
      <c r="N26" s="2">
        <v>-1.1387527846877401</v>
      </c>
      <c r="O26" s="2">
        <v>0.53556210877078203</v>
      </c>
      <c r="P26" s="8">
        <v>0.17133492054844801</v>
      </c>
      <c r="Q26" s="2">
        <f t="shared" ref="Q26:T26" si="73">M27-M26</f>
        <v>2.23575915565591E-2</v>
      </c>
      <c r="R26" s="2">
        <f t="shared" si="73"/>
        <v>-3.2265651346499169E-3</v>
      </c>
      <c r="S26" s="2">
        <f t="shared" si="73"/>
        <v>-3.9911061304770401E-3</v>
      </c>
      <c r="T26" s="2">
        <f t="shared" si="73"/>
        <v>-1.9961097998540123E-3</v>
      </c>
      <c r="U26" s="3" t="s">
        <v>3</v>
      </c>
      <c r="V26" s="5">
        <v>8.2500000000000004E-2</v>
      </c>
      <c r="W26" s="7">
        <v>0.28313451906993498</v>
      </c>
      <c r="X26" s="2">
        <v>-1.1926083162768999</v>
      </c>
      <c r="Y26" s="2">
        <v>0.46894540236126298</v>
      </c>
      <c r="Z26" s="8">
        <v>0.13801727472525699</v>
      </c>
      <c r="AA26" s="2">
        <f t="shared" ref="AA26:AD26" si="74">W27-W26</f>
        <v>2.4467513671068031E-2</v>
      </c>
      <c r="AB26" s="2">
        <f t="shared" si="74"/>
        <v>-3.5310613105401512E-3</v>
      </c>
      <c r="AC26" s="2">
        <f t="shared" si="74"/>
        <v>-4.3677532780299622E-3</v>
      </c>
      <c r="AD26" s="2">
        <f t="shared" si="74"/>
        <v>-2.1844859135699835E-3</v>
      </c>
    </row>
    <row r="27" spans="1:30" ht="14.25" customHeight="1" x14ac:dyDescent="0.3">
      <c r="A27" s="3"/>
      <c r="B27" s="2">
        <v>5.0000000000000001E-3</v>
      </c>
      <c r="C27" s="7">
        <v>-0.41118771759364803</v>
      </c>
      <c r="D27" s="2">
        <v>-1.0924062924873501</v>
      </c>
      <c r="E27" s="2">
        <v>0.59289049404378202</v>
      </c>
      <c r="F27" s="8">
        <v>0.20000711014003</v>
      </c>
      <c r="G27" s="2">
        <f t="shared" ref="G27:J27" si="75">C28-C27</f>
        <v>2.0612523369112012E-2</v>
      </c>
      <c r="H27" s="2">
        <f t="shared" si="75"/>
        <v>-2.974723331519824E-3</v>
      </c>
      <c r="I27" s="2">
        <f t="shared" si="75"/>
        <v>-3.6795899135759758E-3</v>
      </c>
      <c r="J27" s="2">
        <f t="shared" si="75"/>
        <v>-1.8403082368179946E-3</v>
      </c>
      <c r="L27" s="2">
        <v>4.4999999999999998E-2</v>
      </c>
      <c r="M27" s="7">
        <v>-6.7684914502511406E-2</v>
      </c>
      <c r="N27" s="2">
        <v>-1.14197934982239</v>
      </c>
      <c r="O27" s="2">
        <v>0.53157100264030499</v>
      </c>
      <c r="P27" s="8">
        <v>0.169338810748594</v>
      </c>
      <c r="Q27" s="2">
        <f t="shared" ref="Q27:T27" si="76">M28-M27</f>
        <v>2.2481524614698607E-2</v>
      </c>
      <c r="R27" s="2">
        <f t="shared" si="76"/>
        <v>-3.244450696390011E-3</v>
      </c>
      <c r="S27" s="2">
        <f t="shared" si="76"/>
        <v>-4.0132297114929827E-3</v>
      </c>
      <c r="T27" s="2">
        <f t="shared" si="76"/>
        <v>-2.0071746764679932E-3</v>
      </c>
      <c r="V27" s="2">
        <v>8.5000000000000006E-2</v>
      </c>
      <c r="W27" s="7">
        <v>0.30760203274100301</v>
      </c>
      <c r="X27" s="2">
        <v>-1.19613937758744</v>
      </c>
      <c r="Y27" s="2">
        <v>0.46457764908323301</v>
      </c>
      <c r="Z27" s="8">
        <v>0.13583278881168701</v>
      </c>
      <c r="AA27" s="2">
        <f t="shared" ref="AA27:AD27" si="77">W28-W27</f>
        <v>2.4608908209274971E-2</v>
      </c>
      <c r="AB27" s="2">
        <f t="shared" si="77"/>
        <v>-3.5514668487099943E-3</v>
      </c>
      <c r="AC27" s="2">
        <f t="shared" si="77"/>
        <v>-4.3929939488410175E-3</v>
      </c>
      <c r="AD27" s="2">
        <f t="shared" si="77"/>
        <v>-2.1971097699159947E-3</v>
      </c>
    </row>
    <row r="28" spans="1:30" ht="14.25" customHeight="1" x14ac:dyDescent="0.3">
      <c r="A28" s="3"/>
      <c r="B28" s="2">
        <v>7.4999999999999997E-3</v>
      </c>
      <c r="C28" s="7">
        <v>-0.39057519422453602</v>
      </c>
      <c r="D28" s="2">
        <v>-1.0953810158188699</v>
      </c>
      <c r="E28" s="2">
        <v>0.58921090413020605</v>
      </c>
      <c r="F28" s="8">
        <v>0.19816680190321201</v>
      </c>
      <c r="G28" s="2">
        <f t="shared" ref="G28:J28" si="78">C29-C28</f>
        <v>2.0722550352154034E-2</v>
      </c>
      <c r="H28" s="2">
        <f t="shared" si="78"/>
        <v>-2.9906020198100514E-3</v>
      </c>
      <c r="I28" s="2">
        <f t="shared" si="78"/>
        <v>-3.6992310884900181E-3</v>
      </c>
      <c r="J28" s="2">
        <f t="shared" si="78"/>
        <v>-1.8501315640870042E-3</v>
      </c>
      <c r="L28" s="2">
        <v>4.7500000000000001E-2</v>
      </c>
      <c r="M28" s="7">
        <v>-4.5203389887812799E-2</v>
      </c>
      <c r="N28" s="2">
        <v>-1.14522380051878</v>
      </c>
      <c r="O28" s="2">
        <v>0.52755777292881201</v>
      </c>
      <c r="P28" s="8">
        <v>0.16733163607212601</v>
      </c>
      <c r="Q28" s="2">
        <f t="shared" ref="Q28:T28" si="79">M29-M28</f>
        <v>2.2606464093719098E-2</v>
      </c>
      <c r="R28" s="2">
        <f t="shared" si="79"/>
        <v>-3.2624815011099706E-3</v>
      </c>
      <c r="S28" s="2">
        <f t="shared" si="79"/>
        <v>-4.0355329510689542E-3</v>
      </c>
      <c r="T28" s="2">
        <f t="shared" si="79"/>
        <v>-2.0183294074120062E-3</v>
      </c>
      <c r="V28" s="2">
        <v>8.7499999999999994E-2</v>
      </c>
      <c r="W28" s="7">
        <v>0.33221094095027798</v>
      </c>
      <c r="X28" s="2">
        <v>-1.19969084443615</v>
      </c>
      <c r="Y28" s="2">
        <v>0.460184655134392</v>
      </c>
      <c r="Z28" s="8">
        <v>0.13363567904177101</v>
      </c>
      <c r="AA28" s="2">
        <f t="shared" ref="AA28:AD28" si="80">W29-W28</f>
        <v>2.4751497274828005E-2</v>
      </c>
      <c r="AB28" s="2">
        <f t="shared" si="80"/>
        <v>-3.572044776619876E-3</v>
      </c>
      <c r="AC28" s="2">
        <f t="shared" si="80"/>
        <v>-4.4184478575249875E-3</v>
      </c>
      <c r="AD28" s="2">
        <f t="shared" si="80"/>
        <v>-2.2098402748960133E-3</v>
      </c>
    </row>
    <row r="29" spans="1:30" ht="14.25" customHeight="1" x14ac:dyDescent="0.3">
      <c r="A29" s="3"/>
      <c r="B29" s="2">
        <v>0.01</v>
      </c>
      <c r="C29" s="7">
        <v>-0.36985264387238198</v>
      </c>
      <c r="D29" s="2">
        <v>-1.09837161783868</v>
      </c>
      <c r="E29" s="2">
        <v>0.58551167304171603</v>
      </c>
      <c r="F29" s="8">
        <v>0.196316670339125</v>
      </c>
      <c r="G29" s="2">
        <f t="shared" ref="G29:J29" si="81">C30-C29</f>
        <v>2.0833439224582972E-2</v>
      </c>
      <c r="H29" s="2">
        <f t="shared" si="81"/>
        <v>-3.0066050928099219E-3</v>
      </c>
      <c r="I29" s="2">
        <f t="shared" si="81"/>
        <v>-3.7190261213020381E-3</v>
      </c>
      <c r="J29" s="2">
        <f t="shared" si="81"/>
        <v>-1.860031841796006E-3</v>
      </c>
      <c r="L29" s="2">
        <v>0.05</v>
      </c>
      <c r="M29" s="7">
        <v>-2.2596925794093701E-2</v>
      </c>
      <c r="N29" s="2">
        <v>-1.14848628201989</v>
      </c>
      <c r="O29" s="2">
        <v>0.52352223997774305</v>
      </c>
      <c r="P29" s="8">
        <v>0.165313306664714</v>
      </c>
      <c r="Q29" s="2">
        <f t="shared" ref="Q29:T29" si="82">M30-M29</f>
        <v>2.2732420641825103E-2</v>
      </c>
      <c r="R29" s="2">
        <f t="shared" si="82"/>
        <v>-3.280659085459936E-3</v>
      </c>
      <c r="S29" s="2">
        <f t="shared" si="82"/>
        <v>-4.0580177500260106E-3</v>
      </c>
      <c r="T29" s="2">
        <f t="shared" si="82"/>
        <v>-2.0295749433620058E-3</v>
      </c>
      <c r="V29" s="2">
        <v>0.09</v>
      </c>
      <c r="W29" s="7">
        <v>0.35696243822510598</v>
      </c>
      <c r="X29" s="2">
        <v>-1.2032628892127699</v>
      </c>
      <c r="Y29" s="2">
        <v>0.45576620727686701</v>
      </c>
      <c r="Z29" s="8">
        <v>0.131425838766875</v>
      </c>
      <c r="AA29" s="2">
        <f t="shared" ref="AA29:AD29" si="83">W30-W29</f>
        <v>2.4895293986904043E-2</v>
      </c>
      <c r="AB29" s="2">
        <f t="shared" si="83"/>
        <v>-3.5927969876101695E-3</v>
      </c>
      <c r="AC29" s="2">
        <f t="shared" si="83"/>
        <v>-4.4441173459939809E-3</v>
      </c>
      <c r="AD29" s="2">
        <f t="shared" si="83"/>
        <v>-2.2226785998709919E-3</v>
      </c>
    </row>
    <row r="30" spans="1:30" ht="14.25" customHeight="1" x14ac:dyDescent="0.3">
      <c r="A30" s="3"/>
      <c r="B30" s="2">
        <v>1.2500000000000001E-2</v>
      </c>
      <c r="C30" s="7">
        <v>-0.34901920464779901</v>
      </c>
      <c r="D30" s="2">
        <v>-1.1013782229314899</v>
      </c>
      <c r="E30" s="2">
        <v>0.58179264692041399</v>
      </c>
      <c r="F30" s="8">
        <v>0.194456638497329</v>
      </c>
      <c r="G30" s="2">
        <f t="shared" ref="G30:J30" si="84">C31-C30</f>
        <v>2.0945198798766995E-2</v>
      </c>
      <c r="H30" s="2">
        <f t="shared" si="84"/>
        <v>-3.0227338222601485E-3</v>
      </c>
      <c r="I30" s="2">
        <f t="shared" si="84"/>
        <v>-3.7389765851369994E-3</v>
      </c>
      <c r="J30" s="2">
        <f t="shared" si="84"/>
        <v>-1.8700098566589995E-3</v>
      </c>
      <c r="L30" s="2">
        <v>5.2500000000000005E-2</v>
      </c>
      <c r="M30" s="7">
        <v>1.35494847731402E-4</v>
      </c>
      <c r="N30" s="2">
        <v>-1.1517669411053499</v>
      </c>
      <c r="O30" s="2">
        <v>0.51946422222771704</v>
      </c>
      <c r="P30" s="8">
        <v>0.16328373172135199</v>
      </c>
      <c r="Q30" s="2">
        <f t="shared" ref="Q30:T30" si="85">M31-M30</f>
        <v>2.2859405044796798E-2</v>
      </c>
      <c r="R30" s="2">
        <f t="shared" si="85"/>
        <v>-3.2989850060400894E-3</v>
      </c>
      <c r="S30" s="2">
        <f t="shared" si="85"/>
        <v>-4.0806860337740947E-3</v>
      </c>
      <c r="T30" s="2">
        <f t="shared" si="85"/>
        <v>-2.0409122473599994E-3</v>
      </c>
      <c r="V30" s="2">
        <v>9.2499999999999999E-2</v>
      </c>
      <c r="W30" s="7">
        <v>0.38185773221201003</v>
      </c>
      <c r="X30" s="2">
        <v>-1.2068556862003801</v>
      </c>
      <c r="Y30" s="2">
        <v>0.45132208993087303</v>
      </c>
      <c r="Z30" s="8">
        <v>0.12920316016700401</v>
      </c>
      <c r="AA30" s="2">
        <f t="shared" ref="AA30:AD30" si="86">W31-W30</f>
        <v>2.504031164016296E-2</v>
      </c>
      <c r="AB30" s="2">
        <f t="shared" si="86"/>
        <v>-3.6137254003498764E-3</v>
      </c>
      <c r="AC30" s="2">
        <f t="shared" si="86"/>
        <v>-4.470004787557047E-3</v>
      </c>
      <c r="AD30" s="2">
        <f t="shared" si="86"/>
        <v>-2.235625931783003E-3</v>
      </c>
    </row>
    <row r="31" spans="1:30" ht="14.25" customHeight="1" x14ac:dyDescent="0.3">
      <c r="A31" s="3"/>
      <c r="B31" s="2">
        <v>1.5000000000000001E-2</v>
      </c>
      <c r="C31" s="7">
        <v>-0.32807400584903201</v>
      </c>
      <c r="D31" s="2">
        <v>-1.1044009567537501</v>
      </c>
      <c r="E31" s="2">
        <v>0.57805367033527699</v>
      </c>
      <c r="F31" s="8">
        <v>0.19258662864067</v>
      </c>
      <c r="G31" s="2">
        <f t="shared" ref="G31:J31" si="87">C32-C31</f>
        <v>2.1057837997279005E-2</v>
      </c>
      <c r="H31" s="2">
        <f t="shared" si="87"/>
        <v>-3.0389894958500197E-3</v>
      </c>
      <c r="I31" s="2">
        <f t="shared" si="87"/>
        <v>-3.7590840727620423E-3</v>
      </c>
      <c r="J31" s="2">
        <f t="shared" si="87"/>
        <v>-1.8800664053519878E-3</v>
      </c>
      <c r="L31" s="2">
        <v>5.5E-2</v>
      </c>
      <c r="M31" s="7">
        <v>2.29948998925282E-2</v>
      </c>
      <c r="N31" s="2">
        <v>-1.15506592611139</v>
      </c>
      <c r="O31" s="2">
        <v>0.51538353619394295</v>
      </c>
      <c r="P31" s="8">
        <v>0.16124281947399199</v>
      </c>
      <c r="Q31" s="2">
        <f t="shared" ref="Q31:T31" si="88">M32-M31</f>
        <v>2.2987428227983799E-2</v>
      </c>
      <c r="R31" s="2">
        <f t="shared" si="88"/>
        <v>-3.3174608395398764E-3</v>
      </c>
      <c r="S31" s="2">
        <f t="shared" si="88"/>
        <v>-4.103539752588925E-3</v>
      </c>
      <c r="T31" s="2">
        <f t="shared" si="88"/>
        <v>-2.0523422947059944E-3</v>
      </c>
      <c r="V31" s="2">
        <v>9.5000000000000001E-2</v>
      </c>
      <c r="W31" s="7">
        <v>0.40689804385217299</v>
      </c>
      <c r="X31" s="2">
        <v>-1.21046941160073</v>
      </c>
      <c r="Y31" s="2">
        <v>0.44685208514331598</v>
      </c>
      <c r="Z31" s="8">
        <v>0.126967534235221</v>
      </c>
      <c r="AA31" s="2">
        <f t="shared" ref="AA31:AD31" si="89">W32-W31</f>
        <v>2.5186563707497001E-2</v>
      </c>
      <c r="AB31" s="2">
        <f t="shared" si="89"/>
        <v>-3.6348319591901213E-3</v>
      </c>
      <c r="AC31" s="2">
        <f t="shared" si="89"/>
        <v>-4.4961125872839958E-3</v>
      </c>
      <c r="AD31" s="2">
        <f t="shared" si="89"/>
        <v>-2.2486834735370026E-3</v>
      </c>
    </row>
    <row r="32" spans="1:30" ht="14.25" customHeight="1" x14ac:dyDescent="0.3">
      <c r="A32" s="3"/>
      <c r="B32" s="2">
        <v>1.7500000000000002E-2</v>
      </c>
      <c r="C32" s="7">
        <v>-0.30701616785175301</v>
      </c>
      <c r="D32" s="2">
        <v>-1.1074399462496001</v>
      </c>
      <c r="E32" s="2">
        <v>0.57429458626251495</v>
      </c>
      <c r="F32" s="8">
        <v>0.19070656223531801</v>
      </c>
      <c r="G32" s="2">
        <f t="shared" ref="G32:J32" si="90">C33-C32</f>
        <v>2.1171365854500024E-2</v>
      </c>
      <c r="H32" s="2">
        <f t="shared" si="90"/>
        <v>-3.0553734173999203E-3</v>
      </c>
      <c r="I32" s="2">
        <f t="shared" si="90"/>
        <v>-3.7793501969319854E-3</v>
      </c>
      <c r="J32" s="2">
        <f t="shared" si="90"/>
        <v>-1.890202294453025E-3</v>
      </c>
      <c r="L32" s="2">
        <v>5.7500000000000002E-2</v>
      </c>
      <c r="M32" s="7">
        <v>4.5982328120511999E-2</v>
      </c>
      <c r="N32" s="2">
        <v>-1.1583833869509299</v>
      </c>
      <c r="O32" s="2">
        <v>0.51127999644135402</v>
      </c>
      <c r="P32" s="8">
        <v>0.159190477179286</v>
      </c>
      <c r="Q32" s="2">
        <f t="shared" ref="Q32:T32" si="91">M33-M32</f>
        <v>2.3116501258489498E-2</v>
      </c>
      <c r="R32" s="2">
        <f t="shared" si="91"/>
        <v>-3.336088183160113E-3</v>
      </c>
      <c r="S32" s="2">
        <f t="shared" si="91"/>
        <v>-4.1265808821480121E-3</v>
      </c>
      <c r="T32" s="2">
        <f t="shared" si="91"/>
        <v>-2.0638660735740055E-3</v>
      </c>
      <c r="V32" s="2">
        <v>9.75000000000001E-2</v>
      </c>
      <c r="W32" s="7">
        <v>0.43208460755966999</v>
      </c>
      <c r="X32" s="2">
        <v>-1.2141042435599201</v>
      </c>
      <c r="Y32" s="2">
        <v>0.44235597255603198</v>
      </c>
      <c r="Z32" s="8">
        <v>0.124718850761684</v>
      </c>
      <c r="AA32" s="2">
        <f t="shared" ref="AA32:AD32" si="92">W33-W32</f>
        <v>2.533406384266601E-2</v>
      </c>
      <c r="AB32" s="2">
        <f t="shared" si="92"/>
        <v>-3.6561186345598351E-3</v>
      </c>
      <c r="AC32" s="2">
        <f t="shared" si="92"/>
        <v>-4.5224431825179878E-3</v>
      </c>
      <c r="AD32" s="2">
        <f t="shared" si="92"/>
        <v>-2.2618524441079951E-3</v>
      </c>
    </row>
    <row r="33" spans="1:30" ht="14.25" customHeight="1" x14ac:dyDescent="0.3">
      <c r="A33" s="3"/>
      <c r="B33" s="2">
        <v>0.02</v>
      </c>
      <c r="C33" s="7">
        <v>-0.28584480199725298</v>
      </c>
      <c r="D33" s="2">
        <v>-1.110495319667</v>
      </c>
      <c r="E33" s="2">
        <v>0.57051523606558296</v>
      </c>
      <c r="F33" s="8">
        <v>0.18881635994086499</v>
      </c>
      <c r="G33" s="9">
        <f t="shared" ref="G33:J33" si="93">AVERAGE(G26:G32)</f>
        <v>2.0835180738300714E-2</v>
      </c>
      <c r="H33" s="9">
        <f t="shared" si="93"/>
        <v>-3.0068564216371324E-3</v>
      </c>
      <c r="I33" s="9">
        <f t="shared" si="93"/>
        <v>-3.7193370030008666E-3</v>
      </c>
      <c r="J33" s="9">
        <f t="shared" si="93"/>
        <v>-1.8601873260008586E-3</v>
      </c>
      <c r="L33" s="2">
        <v>0.06</v>
      </c>
      <c r="M33" s="7">
        <v>6.9098829379001497E-2</v>
      </c>
      <c r="N33" s="2">
        <v>-1.16171947513409</v>
      </c>
      <c r="O33" s="2">
        <v>0.50715341555920601</v>
      </c>
      <c r="P33" s="8">
        <v>0.15712661110571199</v>
      </c>
      <c r="Q33" s="9">
        <f t="shared" ref="Q33:T33" si="94">AVERAGE(Q26:Q32)</f>
        <v>2.2734476491153146E-2</v>
      </c>
      <c r="R33" s="9">
        <f t="shared" si="94"/>
        <v>-3.2809557780499876E-3</v>
      </c>
      <c r="S33" s="9">
        <f t="shared" si="94"/>
        <v>-4.05838474451086E-3</v>
      </c>
      <c r="T33" s="9">
        <f t="shared" si="94"/>
        <v>-2.0297584918194311E-3</v>
      </c>
      <c r="V33" s="2">
        <v>0.1</v>
      </c>
      <c r="W33" s="7">
        <v>0.457418671402336</v>
      </c>
      <c r="X33" s="2">
        <v>-1.2177603621944799</v>
      </c>
      <c r="Y33" s="2">
        <v>0.437833529373514</v>
      </c>
      <c r="Z33" s="8">
        <v>0.122456998317576</v>
      </c>
      <c r="AA33" s="9">
        <f t="shared" ref="AA33:AD33" si="95">AVERAGE(AA26:AA32)</f>
        <v>2.4897736047485859E-2</v>
      </c>
      <c r="AB33" s="9">
        <f t="shared" si="95"/>
        <v>-3.5931494167971462E-3</v>
      </c>
      <c r="AC33" s="9">
        <f t="shared" si="95"/>
        <v>-4.4445532839641399E-3</v>
      </c>
      <c r="AD33" s="9">
        <f t="shared" si="95"/>
        <v>-2.2228966296687119E-3</v>
      </c>
    </row>
    <row r="34" spans="1:30" ht="14.25" customHeight="1" x14ac:dyDescent="0.3">
      <c r="A34" s="3" t="s">
        <v>4</v>
      </c>
      <c r="B34" s="2">
        <v>2.5000000000000001E-3</v>
      </c>
      <c r="C34" s="7">
        <v>-0.45208608752866197</v>
      </c>
      <c r="D34" s="2">
        <v>-1.07453387524635</v>
      </c>
      <c r="E34" s="2">
        <v>0.58648595104261003</v>
      </c>
      <c r="F34" s="8">
        <v>0.21106385491756699</v>
      </c>
      <c r="G34" s="2">
        <f t="shared" ref="G34:J34" si="96">C35-C34</f>
        <v>0</v>
      </c>
      <c r="H34" s="2">
        <f t="shared" si="96"/>
        <v>1.2029880970960027E-2</v>
      </c>
      <c r="I34" s="2">
        <f t="shared" si="96"/>
        <v>-1.3773836726837074E-2</v>
      </c>
      <c r="J34" s="2">
        <f t="shared" si="96"/>
        <v>7.4422682621060054E-3</v>
      </c>
      <c r="K34" s="3" t="s">
        <v>4</v>
      </c>
      <c r="L34" s="2">
        <v>4.2500000000000003E-2</v>
      </c>
      <c r="M34" s="7">
        <v>-0.45208608752866197</v>
      </c>
      <c r="N34" s="2">
        <v>-0.87458047307411801</v>
      </c>
      <c r="O34" s="2">
        <v>0.35754557157023997</v>
      </c>
      <c r="P34" s="8">
        <v>0.33476473462547401</v>
      </c>
      <c r="Q34" s="2">
        <f t="shared" ref="Q34:T34" si="97">M35-M34</f>
        <v>0</v>
      </c>
      <c r="R34" s="2">
        <f t="shared" si="97"/>
        <v>1.3047687083967974E-2</v>
      </c>
      <c r="S34" s="2">
        <f t="shared" si="97"/>
        <v>-1.4939192830821957E-2</v>
      </c>
      <c r="T34" s="2">
        <f t="shared" si="97"/>
        <v>8.0719325248089779E-3</v>
      </c>
      <c r="U34" s="3" t="s">
        <v>4</v>
      </c>
      <c r="V34" s="5">
        <v>8.2500000000000004E-2</v>
      </c>
      <c r="W34" s="7">
        <v>-0.45208608752866197</v>
      </c>
      <c r="X34" s="2">
        <v>-0.65740302502068504</v>
      </c>
      <c r="Y34" s="2">
        <v>0.10888419932028</v>
      </c>
      <c r="Z34" s="8">
        <v>0.46912124511779302</v>
      </c>
      <c r="AA34" s="2">
        <f t="shared" ref="AA34:AD34" si="98">W35-W34</f>
        <v>0</v>
      </c>
      <c r="AB34" s="2">
        <f t="shared" si="98"/>
        <v>1.4194173049091985E-2</v>
      </c>
      <c r="AC34" s="2">
        <f t="shared" si="98"/>
        <v>-1.6251883333048903E-2</v>
      </c>
      <c r="AD34" s="2">
        <f t="shared" si="98"/>
        <v>8.781204389749997E-3</v>
      </c>
    </row>
    <row r="35" spans="1:30" ht="14.25" customHeight="1" x14ac:dyDescent="0.3">
      <c r="A35" s="3"/>
      <c r="B35" s="2">
        <v>5.0000000000000001E-3</v>
      </c>
      <c r="C35" s="7">
        <v>-0.45208608752866197</v>
      </c>
      <c r="D35" s="2">
        <v>-1.06250399427539</v>
      </c>
      <c r="E35" s="2">
        <v>0.57271211431577296</v>
      </c>
      <c r="F35" s="8">
        <v>0.218506123179673</v>
      </c>
      <c r="G35" s="2">
        <f t="shared" ref="G35:J35" si="99">C36-C35</f>
        <v>0</v>
      </c>
      <c r="H35" s="2">
        <f t="shared" si="99"/>
        <v>1.2090078372990032E-2</v>
      </c>
      <c r="I35" s="2">
        <f t="shared" si="99"/>
        <v>-1.3842760865726E-2</v>
      </c>
      <c r="J35" s="2">
        <f t="shared" si="99"/>
        <v>7.4795092968190091E-3</v>
      </c>
      <c r="L35" s="2">
        <v>4.4999999999999998E-2</v>
      </c>
      <c r="M35" s="7">
        <v>-0.45208608752866197</v>
      </c>
      <c r="N35" s="2">
        <v>-0.86153278599015004</v>
      </c>
      <c r="O35" s="2">
        <v>0.34260637873941802</v>
      </c>
      <c r="P35" s="8">
        <v>0.34283666715028299</v>
      </c>
      <c r="Q35" s="2">
        <f t="shared" ref="Q35:T35" si="100">M36-M35</f>
        <v>0</v>
      </c>
      <c r="R35" s="2">
        <f t="shared" si="100"/>
        <v>1.3115369349308015E-2</v>
      </c>
      <c r="S35" s="2">
        <f t="shared" si="100"/>
        <v>-1.5016686903724041E-2</v>
      </c>
      <c r="T35" s="2">
        <f t="shared" si="100"/>
        <v>8.1138040592310112E-3</v>
      </c>
      <c r="V35" s="2">
        <v>8.5000000000000006E-2</v>
      </c>
      <c r="W35" s="7">
        <v>-0.45208608752866197</v>
      </c>
      <c r="X35" s="2">
        <v>-0.64320885197159305</v>
      </c>
      <c r="Y35" s="2">
        <v>9.2632315987231095E-2</v>
      </c>
      <c r="Z35" s="8">
        <v>0.47790244950754301</v>
      </c>
      <c r="AA35" s="2">
        <f t="shared" ref="AA35:AD35" si="101">W36-W35</f>
        <v>0</v>
      </c>
      <c r="AB35" s="2">
        <f t="shared" si="101"/>
        <v>1.4270569063939087E-2</v>
      </c>
      <c r="AC35" s="2">
        <f t="shared" si="101"/>
        <v>-1.6339354376039394E-2</v>
      </c>
      <c r="AD35" s="2">
        <f t="shared" si="101"/>
        <v>8.8284666725430005E-3</v>
      </c>
    </row>
    <row r="36" spans="1:30" ht="14.25" customHeight="1" x14ac:dyDescent="0.3">
      <c r="A36" s="3"/>
      <c r="B36" s="2">
        <v>7.4999999999999997E-3</v>
      </c>
      <c r="C36" s="7">
        <v>-0.45208608752866197</v>
      </c>
      <c r="D36" s="2">
        <v>-1.0504139159024</v>
      </c>
      <c r="E36" s="2">
        <v>0.55886935345004696</v>
      </c>
      <c r="F36" s="8">
        <v>0.225985632476492</v>
      </c>
      <c r="G36" s="2">
        <f t="shared" ref="G36:J36" si="102">C37-C36</f>
        <v>0</v>
      </c>
      <c r="H36" s="2">
        <f t="shared" si="102"/>
        <v>1.2150711578689855E-2</v>
      </c>
      <c r="I36" s="2">
        <f t="shared" si="102"/>
        <v>-1.3912183986194981E-2</v>
      </c>
      <c r="J36" s="2">
        <f t="shared" si="102"/>
        <v>7.5170199408229887E-3</v>
      </c>
      <c r="L36" s="2">
        <v>4.7500000000000001E-2</v>
      </c>
      <c r="M36" s="7">
        <v>-0.45208608752866197</v>
      </c>
      <c r="N36" s="2">
        <v>-0.84841741664084203</v>
      </c>
      <c r="O36" s="2">
        <v>0.32758969183569397</v>
      </c>
      <c r="P36" s="8">
        <v>0.350950471209514</v>
      </c>
      <c r="Q36" s="2">
        <f t="shared" ref="Q36:T36" si="103">M37-M36</f>
        <v>0</v>
      </c>
      <c r="R36" s="2">
        <f t="shared" si="103"/>
        <v>1.3183557914216992E-2</v>
      </c>
      <c r="S36" s="2">
        <f t="shared" si="103"/>
        <v>-1.5094760673690977E-2</v>
      </c>
      <c r="T36" s="2">
        <f t="shared" si="103"/>
        <v>8.1559888151869764E-3</v>
      </c>
      <c r="V36" s="2">
        <v>8.7499999999999994E-2</v>
      </c>
      <c r="W36" s="7">
        <v>-0.45208608752866197</v>
      </c>
      <c r="X36" s="2">
        <v>-0.62893828290765397</v>
      </c>
      <c r="Y36" s="2">
        <v>7.6292961611191701E-2</v>
      </c>
      <c r="Z36" s="8">
        <v>0.48673091618008602</v>
      </c>
      <c r="AA36" s="2">
        <f t="shared" ref="AA36:AD36" si="104">W37-W36</f>
        <v>0</v>
      </c>
      <c r="AB36" s="2">
        <f t="shared" si="104"/>
        <v>1.4347555836777937E-2</v>
      </c>
      <c r="AC36" s="2">
        <f t="shared" si="104"/>
        <v>-1.6427501818360099E-2</v>
      </c>
      <c r="AD36" s="2">
        <f t="shared" si="104"/>
        <v>8.8760944269359876E-3</v>
      </c>
    </row>
    <row r="37" spans="1:30" ht="14.25" customHeight="1" x14ac:dyDescent="0.3">
      <c r="A37" s="3"/>
      <c r="B37" s="2">
        <v>0.01</v>
      </c>
      <c r="C37" s="7">
        <v>-0.45208608752866197</v>
      </c>
      <c r="D37" s="2">
        <v>-1.0382632043237101</v>
      </c>
      <c r="E37" s="2">
        <v>0.54495716946385198</v>
      </c>
      <c r="F37" s="8">
        <v>0.23350265241731499</v>
      </c>
      <c r="G37" s="2">
        <f t="shared" ref="G37:J37" si="105">C38-C37</f>
        <v>0</v>
      </c>
      <c r="H37" s="2">
        <f t="shared" si="105"/>
        <v>1.2211784636060097E-2</v>
      </c>
      <c r="I37" s="2">
        <f t="shared" si="105"/>
        <v>-1.3982110723012031E-2</v>
      </c>
      <c r="J37" s="2">
        <f t="shared" si="105"/>
        <v>7.5548026983830174E-3</v>
      </c>
      <c r="L37" s="2">
        <v>0.05</v>
      </c>
      <c r="M37" s="7">
        <v>-0.45208608752866197</v>
      </c>
      <c r="N37" s="2">
        <v>-0.83523385872662503</v>
      </c>
      <c r="O37" s="2">
        <v>0.312494931162003</v>
      </c>
      <c r="P37" s="8">
        <v>0.35910646002470098</v>
      </c>
      <c r="Q37" s="2">
        <f t="shared" ref="Q37:T37" si="106">M38-M37</f>
        <v>0</v>
      </c>
      <c r="R37" s="2">
        <f t="shared" si="106"/>
        <v>1.325225761878801E-2</v>
      </c>
      <c r="S37" s="2">
        <f t="shared" si="106"/>
        <v>-1.5173419682545985E-2</v>
      </c>
      <c r="T37" s="2">
        <f t="shared" si="106"/>
        <v>8.1984897868510043E-3</v>
      </c>
      <c r="V37" s="2">
        <v>0.09</v>
      </c>
      <c r="W37" s="7">
        <v>-0.45208608752866197</v>
      </c>
      <c r="X37" s="2">
        <v>-0.61459072707087603</v>
      </c>
      <c r="Y37" s="2">
        <v>5.9865459792831602E-2</v>
      </c>
      <c r="Z37" s="8">
        <v>0.495607010607022</v>
      </c>
      <c r="AA37" s="2">
        <f t="shared" ref="AA37:AD37" si="107">W38-W37</f>
        <v>0</v>
      </c>
      <c r="AB37" s="2">
        <f t="shared" si="107"/>
        <v>1.4425139178456003E-2</v>
      </c>
      <c r="AC37" s="2">
        <f t="shared" si="107"/>
        <v>-1.6516332313350202E-2</v>
      </c>
      <c r="AD37" s="2">
        <f t="shared" si="107"/>
        <v>8.9240912477440149E-3</v>
      </c>
    </row>
    <row r="38" spans="1:30" ht="14.25" customHeight="1" x14ac:dyDescent="0.3">
      <c r="A38" s="3"/>
      <c r="B38" s="2">
        <v>1.2500000000000001E-2</v>
      </c>
      <c r="C38" s="7">
        <v>-0.45208608752866197</v>
      </c>
      <c r="D38" s="2">
        <v>-1.02605141968765</v>
      </c>
      <c r="E38" s="2">
        <v>0.53097505874083994</v>
      </c>
      <c r="F38" s="8">
        <v>0.24105745511569801</v>
      </c>
      <c r="G38" s="2">
        <f t="shared" ref="G38:J38" si="108">C39-C38</f>
        <v>0</v>
      </c>
      <c r="H38" s="2">
        <f t="shared" si="108"/>
        <v>1.2273301637959921E-2</v>
      </c>
      <c r="I38" s="2">
        <f t="shared" si="108"/>
        <v>-1.4052545762389901E-2</v>
      </c>
      <c r="J38" s="2">
        <f t="shared" si="108"/>
        <v>7.5928601016109765E-3</v>
      </c>
      <c r="L38" s="2">
        <v>5.2500000000000005E-2</v>
      </c>
      <c r="M38" s="7">
        <v>-0.45208608752866197</v>
      </c>
      <c r="N38" s="2">
        <v>-0.82198160110783702</v>
      </c>
      <c r="O38" s="2">
        <v>0.29732151147945701</v>
      </c>
      <c r="P38" s="8">
        <v>0.36730494981155198</v>
      </c>
      <c r="Q38" s="2">
        <f t="shared" ref="Q38:T38" si="109">M39-M38</f>
        <v>0</v>
      </c>
      <c r="R38" s="2">
        <f t="shared" si="109"/>
        <v>1.3321473358119063E-2</v>
      </c>
      <c r="S38" s="2">
        <f t="shared" si="109"/>
        <v>-1.5252669535052998E-2</v>
      </c>
      <c r="T38" s="2">
        <f t="shared" si="109"/>
        <v>8.2413100027590169E-3</v>
      </c>
      <c r="V38" s="2">
        <v>9.2499999999999999E-2</v>
      </c>
      <c r="W38" s="7">
        <v>-0.45208608752866197</v>
      </c>
      <c r="X38" s="2">
        <v>-0.60016558789242003</v>
      </c>
      <c r="Y38" s="2">
        <v>4.33491274794814E-2</v>
      </c>
      <c r="Z38" s="8">
        <v>0.50453110185476602</v>
      </c>
      <c r="AA38" s="2">
        <f t="shared" ref="AA38:AD38" si="110">W39-W38</f>
        <v>0</v>
      </c>
      <c r="AB38" s="2">
        <f t="shared" si="110"/>
        <v>1.4503324967294007E-2</v>
      </c>
      <c r="AC38" s="2">
        <f t="shared" si="110"/>
        <v>-1.66058525913724E-2</v>
      </c>
      <c r="AD38" s="2">
        <f t="shared" si="110"/>
        <v>8.9724607716379357E-3</v>
      </c>
    </row>
    <row r="39" spans="1:30" ht="14.25" customHeight="1" x14ac:dyDescent="0.3">
      <c r="A39" s="3"/>
      <c r="B39" s="2">
        <v>1.5000000000000001E-2</v>
      </c>
      <c r="C39" s="7">
        <v>-0.45208608752866197</v>
      </c>
      <c r="D39" s="2">
        <v>-1.0137781180496901</v>
      </c>
      <c r="E39" s="2">
        <v>0.51692251297845004</v>
      </c>
      <c r="F39" s="8">
        <v>0.24865031521730899</v>
      </c>
      <c r="G39" s="2">
        <f t="shared" ref="G39:J39" si="111">C40-C39</f>
        <v>0</v>
      </c>
      <c r="H39" s="2">
        <f t="shared" si="111"/>
        <v>1.2335266722879989E-2</v>
      </c>
      <c r="I39" s="2">
        <f t="shared" si="111"/>
        <v>-1.4123493842838064E-2</v>
      </c>
      <c r="J39" s="2">
        <f t="shared" si="111"/>
        <v>7.6311947107489952E-3</v>
      </c>
      <c r="L39" s="2">
        <v>5.5E-2</v>
      </c>
      <c r="M39" s="7">
        <v>-0.45208608752866197</v>
      </c>
      <c r="N39" s="2">
        <v>-0.80866012774971796</v>
      </c>
      <c r="O39" s="2">
        <v>0.28206884194440401</v>
      </c>
      <c r="P39" s="8">
        <v>0.375546259814311</v>
      </c>
      <c r="Q39" s="2">
        <f t="shared" ref="Q39:T39" si="112">M40-M39</f>
        <v>0</v>
      </c>
      <c r="R39" s="2">
        <f t="shared" si="112"/>
        <v>1.3391210083099958E-2</v>
      </c>
      <c r="S39" s="2">
        <f t="shared" si="112"/>
        <v>-1.5332515899736998E-2</v>
      </c>
      <c r="T39" s="2">
        <f t="shared" si="112"/>
        <v>8.2844525256149937E-3</v>
      </c>
      <c r="V39" s="2">
        <v>9.5000000000000001E-2</v>
      </c>
      <c r="W39" s="7">
        <v>-0.45208608752866197</v>
      </c>
      <c r="X39" s="2">
        <v>-0.58566226292512602</v>
      </c>
      <c r="Y39" s="2">
        <v>2.6743274888109E-2</v>
      </c>
      <c r="Z39" s="8">
        <v>0.51350356262640395</v>
      </c>
      <c r="AA39" s="2">
        <f t="shared" ref="AA39:AD39" si="113">W40-W39</f>
        <v>0</v>
      </c>
      <c r="AB39" s="2">
        <f t="shared" si="113"/>
        <v>1.4582119150119977E-2</v>
      </c>
      <c r="AC39" s="2">
        <f t="shared" si="113"/>
        <v>-1.6696069461557703E-2</v>
      </c>
      <c r="AD39" s="2">
        <f t="shared" si="113"/>
        <v>9.0212066775600119E-3</v>
      </c>
    </row>
    <row r="40" spans="1:30" ht="14.25" customHeight="1" x14ac:dyDescent="0.3">
      <c r="A40" s="3"/>
      <c r="B40" s="2">
        <v>1.7500000000000002E-2</v>
      </c>
      <c r="C40" s="7">
        <v>-0.45208608752866197</v>
      </c>
      <c r="D40" s="2">
        <v>-1.0014428513268101</v>
      </c>
      <c r="E40" s="2">
        <v>0.50279901913561198</v>
      </c>
      <c r="F40" s="8">
        <v>0.25628150992805798</v>
      </c>
      <c r="G40" s="2">
        <f t="shared" ref="G40:J40" si="114">C41-C40</f>
        <v>0</v>
      </c>
      <c r="H40" s="2">
        <f t="shared" si="114"/>
        <v>1.2397684075377113E-2</v>
      </c>
      <c r="I40" s="2">
        <f t="shared" si="114"/>
        <v>-1.4194959755419956E-2</v>
      </c>
      <c r="J40" s="2">
        <f t="shared" si="114"/>
        <v>7.669809114545012E-3</v>
      </c>
      <c r="L40" s="2">
        <v>5.7500000000000002E-2</v>
      </c>
      <c r="M40" s="7">
        <v>-0.45208608752866197</v>
      </c>
      <c r="N40" s="2">
        <v>-0.795268917666618</v>
      </c>
      <c r="O40" s="2">
        <v>0.26673632604466702</v>
      </c>
      <c r="P40" s="8">
        <v>0.38383071233992599</v>
      </c>
      <c r="Q40" s="2">
        <f t="shared" ref="Q40:T40" si="115">M41-M40</f>
        <v>0</v>
      </c>
      <c r="R40" s="2">
        <f t="shared" si="115"/>
        <v>1.3461472801011953E-2</v>
      </c>
      <c r="S40" s="2">
        <f t="shared" si="115"/>
        <v>-1.5412964509908034E-2</v>
      </c>
      <c r="T40" s="2">
        <f t="shared" si="115"/>
        <v>8.3279204532560325E-3</v>
      </c>
      <c r="V40" s="2">
        <v>9.75000000000001E-2</v>
      </c>
      <c r="W40" s="7">
        <v>-0.45208608752866197</v>
      </c>
      <c r="X40" s="2">
        <v>-0.57108014377500604</v>
      </c>
      <c r="Y40" s="2">
        <v>1.00472054265513E-2</v>
      </c>
      <c r="Z40" s="8">
        <v>0.52252476930396397</v>
      </c>
      <c r="AA40" s="2">
        <f t="shared" ref="AA40:AD40" si="116">W41-W40</f>
        <v>0</v>
      </c>
      <c r="AB40" s="2">
        <f t="shared" si="116"/>
        <v>1.4661527742930058E-2</v>
      </c>
      <c r="AC40" s="2">
        <f t="shared" si="116"/>
        <v>-1.6786989811866458E-2</v>
      </c>
      <c r="AD40" s="2">
        <f t="shared" si="116"/>
        <v>9.0703326873150525E-3</v>
      </c>
    </row>
    <row r="41" spans="1:30" ht="14.25" customHeight="1" x14ac:dyDescent="0.3">
      <c r="A41" s="3"/>
      <c r="B41" s="2">
        <v>0.02</v>
      </c>
      <c r="C41" s="7">
        <v>-0.45208608752866197</v>
      </c>
      <c r="D41" s="2">
        <v>-0.98904516725143299</v>
      </c>
      <c r="E41" s="2">
        <v>0.48860405938019202</v>
      </c>
      <c r="F41" s="8">
        <v>0.26395131904260299</v>
      </c>
      <c r="G41" s="9">
        <f t="shared" ref="G41:J41" si="117">AVERAGE(G34:G40)</f>
        <v>0</v>
      </c>
      <c r="H41" s="9">
        <f t="shared" si="117"/>
        <v>1.2212672570702434E-2</v>
      </c>
      <c r="I41" s="9">
        <f t="shared" si="117"/>
        <v>-1.398312738034543E-2</v>
      </c>
      <c r="J41" s="9">
        <f t="shared" si="117"/>
        <v>7.5553520178622867E-3</v>
      </c>
      <c r="L41" s="2">
        <v>0.06</v>
      </c>
      <c r="M41" s="7">
        <v>-0.45208608752866197</v>
      </c>
      <c r="N41" s="2">
        <v>-0.78180744486560605</v>
      </c>
      <c r="O41" s="2">
        <v>0.25132336153475898</v>
      </c>
      <c r="P41" s="8">
        <v>0.39215863279318203</v>
      </c>
      <c r="Q41" s="9">
        <f t="shared" ref="Q41:T41" si="118">AVERAGE(Q34:Q40)</f>
        <v>0</v>
      </c>
      <c r="R41" s="9">
        <f t="shared" si="118"/>
        <v>1.3253289744073138E-2</v>
      </c>
      <c r="S41" s="9">
        <f t="shared" si="118"/>
        <v>-1.5174601433640142E-2</v>
      </c>
      <c r="T41" s="9">
        <f t="shared" si="118"/>
        <v>8.199128309672574E-3</v>
      </c>
      <c r="V41" s="2">
        <v>0.1</v>
      </c>
      <c r="W41" s="7">
        <v>-0.45208608752866197</v>
      </c>
      <c r="X41" s="2">
        <v>-0.55641861603207599</v>
      </c>
      <c r="Y41" s="2">
        <v>-6.7397843853151604E-3</v>
      </c>
      <c r="Z41" s="8">
        <v>0.53159510199127902</v>
      </c>
      <c r="AA41" s="9">
        <f t="shared" ref="AA41:AD41" si="119">AVERAGE(AA34:AA40)</f>
        <v>0</v>
      </c>
      <c r="AB41" s="9">
        <f t="shared" si="119"/>
        <v>1.4426344141229865E-2</v>
      </c>
      <c r="AC41" s="9">
        <f t="shared" si="119"/>
        <v>-1.6517711957942164E-2</v>
      </c>
      <c r="AD41" s="9">
        <f t="shared" si="119"/>
        <v>8.924836696212286E-3</v>
      </c>
    </row>
    <row r="42" spans="1:30" ht="14.25" customHeight="1" x14ac:dyDescent="0.3">
      <c r="A42" s="3" t="s">
        <v>5</v>
      </c>
      <c r="B42" s="2">
        <v>2.5000000000000001E-3</v>
      </c>
      <c r="C42" s="7">
        <v>-0.45208608752866197</v>
      </c>
      <c r="D42" s="2">
        <v>-1.0790036062694</v>
      </c>
      <c r="E42" s="2">
        <v>0.60019135802822399</v>
      </c>
      <c r="F42" s="8">
        <v>0.19886902545978799</v>
      </c>
      <c r="G42" s="2">
        <f t="shared" ref="G42:J42" si="120">C43-C42</f>
        <v>0</v>
      </c>
      <c r="H42" s="2">
        <f t="shared" si="120"/>
        <v>7.5368123032899526E-3</v>
      </c>
      <c r="I42" s="2">
        <f t="shared" si="120"/>
        <v>0</v>
      </c>
      <c r="J42" s="2">
        <f t="shared" si="120"/>
        <v>-4.8127969697189799E-3</v>
      </c>
      <c r="K42" s="3" t="s">
        <v>5</v>
      </c>
      <c r="L42" s="2">
        <v>4.2500000000000003E-2</v>
      </c>
      <c r="M42" s="7">
        <v>-0.45208608752866197</v>
      </c>
      <c r="N42" s="2">
        <v>-0.953856996729328</v>
      </c>
      <c r="O42" s="2">
        <v>0.60019135802822399</v>
      </c>
      <c r="P42" s="8">
        <v>0.118953910298588</v>
      </c>
      <c r="Q42" s="2">
        <f t="shared" ref="Q42:T42" si="121">M43-M42</f>
        <v>0</v>
      </c>
      <c r="R42" s="2">
        <f t="shared" si="121"/>
        <v>8.1574696204990138E-3</v>
      </c>
      <c r="S42" s="2">
        <f t="shared" si="121"/>
        <v>0</v>
      </c>
      <c r="T42" s="2">
        <f t="shared" si="121"/>
        <v>-5.2091313263829958E-3</v>
      </c>
      <c r="U42" s="3" t="s">
        <v>5</v>
      </c>
      <c r="V42" s="5">
        <v>8.2500000000000004E-2</v>
      </c>
      <c r="W42" s="7">
        <v>-0.45208608752866197</v>
      </c>
      <c r="X42" s="2">
        <v>-0.81820084735163301</v>
      </c>
      <c r="Y42" s="2">
        <v>0.60019135802822399</v>
      </c>
      <c r="Z42" s="8">
        <v>3.2327697733294601E-2</v>
      </c>
      <c r="AA42" s="2">
        <f t="shared" ref="AA42:AD42" si="122">W43-W42</f>
        <v>0</v>
      </c>
      <c r="AB42" s="2">
        <f t="shared" si="122"/>
        <v>8.857576423821012E-3</v>
      </c>
      <c r="AC42" s="2">
        <f t="shared" si="122"/>
        <v>0</v>
      </c>
      <c r="AD42" s="2">
        <f t="shared" si="122"/>
        <v>-5.6561998967448006E-3</v>
      </c>
    </row>
    <row r="43" spans="1:30" ht="14.25" customHeight="1" x14ac:dyDescent="0.3">
      <c r="A43" s="3"/>
      <c r="B43" s="2">
        <v>5.0000000000000001E-3</v>
      </c>
      <c r="C43" s="7">
        <v>-0.45208608752866197</v>
      </c>
      <c r="D43" s="2">
        <v>-1.07146679396611</v>
      </c>
      <c r="E43" s="2">
        <v>0.60019135802822399</v>
      </c>
      <c r="F43" s="8">
        <v>0.19405622849006901</v>
      </c>
      <c r="G43" s="2">
        <f t="shared" ref="G43:J43" si="123">C44-C43</f>
        <v>0</v>
      </c>
      <c r="H43" s="2">
        <f t="shared" si="123"/>
        <v>7.5735049322800396E-3</v>
      </c>
      <c r="I43" s="2">
        <f t="shared" si="123"/>
        <v>0</v>
      </c>
      <c r="J43" s="2">
        <f t="shared" si="123"/>
        <v>-4.8362278535720171E-3</v>
      </c>
      <c r="L43" s="2">
        <v>4.4999999999999998E-2</v>
      </c>
      <c r="M43" s="7">
        <v>-0.45208608752866197</v>
      </c>
      <c r="N43" s="2">
        <v>-0.94569952710882899</v>
      </c>
      <c r="O43" s="2">
        <v>0.60019135802822399</v>
      </c>
      <c r="P43" s="8">
        <v>0.113744778972205</v>
      </c>
      <c r="Q43" s="2">
        <f t="shared" ref="Q43:T43" si="124">M44-M43</f>
        <v>0</v>
      </c>
      <c r="R43" s="2">
        <f t="shared" si="124"/>
        <v>8.1987667398240038E-3</v>
      </c>
      <c r="S43" s="2">
        <f t="shared" si="124"/>
        <v>0</v>
      </c>
      <c r="T43" s="2">
        <f t="shared" si="124"/>
        <v>-5.2355025086369966E-3</v>
      </c>
      <c r="V43" s="2">
        <v>8.5000000000000006E-2</v>
      </c>
      <c r="W43" s="7">
        <v>-0.45208608752866197</v>
      </c>
      <c r="X43" s="2">
        <v>-0.809343270927812</v>
      </c>
      <c r="Y43" s="2">
        <v>0.60019135802822399</v>
      </c>
      <c r="Z43" s="8">
        <v>2.6671497836549801E-2</v>
      </c>
      <c r="AA43" s="2">
        <f t="shared" ref="AA43:AD43" si="125">W44-W43</f>
        <v>0</v>
      </c>
      <c r="AB43" s="2">
        <f t="shared" si="125"/>
        <v>8.9042764716249501E-3</v>
      </c>
      <c r="AC43" s="2">
        <f t="shared" si="125"/>
        <v>0</v>
      </c>
      <c r="AD43" s="2">
        <f t="shared" si="125"/>
        <v>-5.6860212376029021E-3</v>
      </c>
    </row>
    <row r="44" spans="1:30" ht="14.25" customHeight="1" x14ac:dyDescent="0.3">
      <c r="A44" s="3"/>
      <c r="B44" s="2">
        <v>7.4999999999999997E-3</v>
      </c>
      <c r="C44" s="7">
        <v>-0.45208608752866197</v>
      </c>
      <c r="D44" s="2">
        <v>-1.06389328903383</v>
      </c>
      <c r="E44" s="2">
        <v>0.60019135802822399</v>
      </c>
      <c r="F44" s="8">
        <v>0.18922000063649699</v>
      </c>
      <c r="G44" s="2">
        <f t="shared" ref="G44:J44" si="126">C45-C44</f>
        <v>0</v>
      </c>
      <c r="H44" s="2">
        <f t="shared" si="126"/>
        <v>7.6104647897199396E-3</v>
      </c>
      <c r="I44" s="2">
        <f t="shared" si="126"/>
        <v>0</v>
      </c>
      <c r="J44" s="2">
        <f t="shared" si="126"/>
        <v>-4.8598293819890059E-3</v>
      </c>
      <c r="L44" s="2">
        <v>4.7500000000000001E-2</v>
      </c>
      <c r="M44" s="7">
        <v>-0.45208608752866197</v>
      </c>
      <c r="N44" s="2">
        <v>-0.93750076036900498</v>
      </c>
      <c r="O44" s="2">
        <v>0.60019135802822399</v>
      </c>
      <c r="P44" s="8">
        <v>0.10850927646356801</v>
      </c>
      <c r="Q44" s="2">
        <f t="shared" ref="Q44:T44" si="127">M45-M44</f>
        <v>0</v>
      </c>
      <c r="R44" s="2">
        <f t="shared" si="127"/>
        <v>8.2403765004809282E-3</v>
      </c>
      <c r="S44" s="2">
        <f t="shared" si="127"/>
        <v>0</v>
      </c>
      <c r="T44" s="2">
        <f t="shared" si="127"/>
        <v>-5.2620733348410081E-3</v>
      </c>
      <c r="V44" s="2">
        <v>8.7499999999999994E-2</v>
      </c>
      <c r="W44" s="7">
        <v>-0.45208608752866197</v>
      </c>
      <c r="X44" s="2">
        <v>-0.80043899445618705</v>
      </c>
      <c r="Y44" s="2">
        <v>0.60019135802822399</v>
      </c>
      <c r="Z44" s="8">
        <v>2.0985476598946898E-2</v>
      </c>
      <c r="AA44" s="2">
        <f t="shared" ref="AA44:AD44" si="128">W45-W44</f>
        <v>0</v>
      </c>
      <c r="AB44" s="2">
        <f t="shared" si="128"/>
        <v>8.9513445710880379E-3</v>
      </c>
      <c r="AC44" s="2">
        <f t="shared" si="128"/>
        <v>0</v>
      </c>
      <c r="AD44" s="2">
        <f t="shared" si="128"/>
        <v>-5.7160776059022988E-3</v>
      </c>
    </row>
    <row r="45" spans="1:30" ht="14.25" customHeight="1" x14ac:dyDescent="0.3">
      <c r="A45" s="3"/>
      <c r="B45" s="2">
        <v>0.01</v>
      </c>
      <c r="C45" s="7">
        <v>-0.45208608752866197</v>
      </c>
      <c r="D45" s="2">
        <v>-1.05628282424411</v>
      </c>
      <c r="E45" s="2">
        <v>0.60019135802822399</v>
      </c>
      <c r="F45" s="8">
        <v>0.18436017125450799</v>
      </c>
      <c r="G45" s="2">
        <f t="shared" ref="G45:J45" si="129">C46-C45</f>
        <v>0</v>
      </c>
      <c r="H45" s="2">
        <f t="shared" si="129"/>
        <v>7.6476944630801125E-3</v>
      </c>
      <c r="I45" s="2">
        <f t="shared" si="129"/>
        <v>0</v>
      </c>
      <c r="J45" s="2">
        <f t="shared" si="129"/>
        <v>-4.8836032073199809E-3</v>
      </c>
      <c r="L45" s="2">
        <v>0.05</v>
      </c>
      <c r="M45" s="7">
        <v>-0.45208608752866197</v>
      </c>
      <c r="N45" s="2">
        <v>-0.92926038386852405</v>
      </c>
      <c r="O45" s="2">
        <v>0.60019135802822399</v>
      </c>
      <c r="P45" s="8">
        <v>0.103247203128727</v>
      </c>
      <c r="Q45" s="2">
        <f t="shared" ref="Q45:T45" si="130">M46-M45</f>
        <v>0</v>
      </c>
      <c r="R45" s="2">
        <f t="shared" si="130"/>
        <v>8.2823020479740883E-3</v>
      </c>
      <c r="S45" s="2">
        <f t="shared" si="130"/>
        <v>0</v>
      </c>
      <c r="T45" s="2">
        <f t="shared" si="130"/>
        <v>-5.2888458137088923E-3</v>
      </c>
      <c r="V45" s="2">
        <v>0.09</v>
      </c>
      <c r="W45" s="7">
        <v>-0.45208608752866197</v>
      </c>
      <c r="X45" s="2">
        <v>-0.79148764988509901</v>
      </c>
      <c r="Y45" s="2">
        <v>0.60019135802822399</v>
      </c>
      <c r="Z45" s="8">
        <v>1.52693989930446E-2</v>
      </c>
      <c r="AA45" s="2">
        <f t="shared" ref="AA45:AD45" si="131">W46-W45</f>
        <v>0</v>
      </c>
      <c r="AB45" s="2">
        <f t="shared" si="131"/>
        <v>8.9987845755820084E-3</v>
      </c>
      <c r="AC45" s="2">
        <f t="shared" si="131"/>
        <v>0</v>
      </c>
      <c r="AD45" s="2">
        <f t="shared" si="131"/>
        <v>-5.7463714623107905E-3</v>
      </c>
    </row>
    <row r="46" spans="1:30" ht="14.25" customHeight="1" x14ac:dyDescent="0.3">
      <c r="A46" s="3"/>
      <c r="B46" s="2">
        <v>1.2500000000000001E-2</v>
      </c>
      <c r="C46" s="7">
        <v>-0.45208608752866197</v>
      </c>
      <c r="D46" s="2">
        <v>-1.0486351297810299</v>
      </c>
      <c r="E46" s="2">
        <v>0.60019135802822399</v>
      </c>
      <c r="F46" s="8">
        <v>0.17947656804718801</v>
      </c>
      <c r="G46" s="2">
        <f t="shared" ref="G46:J46" si="132">C47-C46</f>
        <v>0</v>
      </c>
      <c r="H46" s="2">
        <f t="shared" si="132"/>
        <v>7.6851965710598158E-3</v>
      </c>
      <c r="I46" s="2">
        <f t="shared" si="132"/>
        <v>0</v>
      </c>
      <c r="J46" s="2">
        <f t="shared" si="132"/>
        <v>-4.9075510017360102E-3</v>
      </c>
      <c r="L46" s="2">
        <v>5.2500000000000005E-2</v>
      </c>
      <c r="M46" s="7">
        <v>-0.45208608752866197</v>
      </c>
      <c r="N46" s="2">
        <v>-0.92097808182054997</v>
      </c>
      <c r="O46" s="2">
        <v>0.60019135802822399</v>
      </c>
      <c r="P46" s="8">
        <v>9.7958357315018105E-2</v>
      </c>
      <c r="Q46" s="2">
        <f t="shared" ref="Q46:T46" si="133">M47-M46</f>
        <v>0</v>
      </c>
      <c r="R46" s="2">
        <f t="shared" si="133"/>
        <v>8.3245465673800201E-3</v>
      </c>
      <c r="S46" s="2">
        <f t="shared" si="133"/>
        <v>0</v>
      </c>
      <c r="T46" s="2">
        <f t="shared" si="133"/>
        <v>-5.315821979031507E-3</v>
      </c>
      <c r="V46" s="2">
        <v>9.2499999999999999E-2</v>
      </c>
      <c r="W46" s="7">
        <v>-0.45208608752866197</v>
      </c>
      <c r="X46" s="2">
        <v>-0.782488865309517</v>
      </c>
      <c r="Y46" s="2">
        <v>0.60019135802822399</v>
      </c>
      <c r="Z46" s="8">
        <v>9.5230275307338092E-3</v>
      </c>
      <c r="AA46" s="2">
        <f t="shared" ref="AA46:AD46" si="134">W47-W46</f>
        <v>0</v>
      </c>
      <c r="AB46" s="2">
        <f t="shared" si="134"/>
        <v>9.046600388685988E-3</v>
      </c>
      <c r="AC46" s="2">
        <f t="shared" si="134"/>
        <v>0</v>
      </c>
      <c r="AD46" s="2">
        <f t="shared" si="134"/>
        <v>-5.7769052996129991E-3</v>
      </c>
    </row>
    <row r="47" spans="1:30" ht="14.25" customHeight="1" x14ac:dyDescent="0.3">
      <c r="A47" s="3"/>
      <c r="B47" s="2">
        <v>1.5000000000000001E-2</v>
      </c>
      <c r="C47" s="7">
        <v>-0.45208608752866197</v>
      </c>
      <c r="D47" s="2">
        <v>-1.0409499332099701</v>
      </c>
      <c r="E47" s="2">
        <v>0.60019135802822399</v>
      </c>
      <c r="F47" s="8">
        <v>0.174569017045452</v>
      </c>
      <c r="G47" s="2">
        <f t="shared" ref="G47:J47" si="135">C48-C47</f>
        <v>0</v>
      </c>
      <c r="H47" s="2">
        <f t="shared" si="135"/>
        <v>7.7229737640001073E-3</v>
      </c>
      <c r="I47" s="2">
        <f t="shared" si="135"/>
        <v>0</v>
      </c>
      <c r="J47" s="2">
        <f t="shared" si="135"/>
        <v>-4.9316744576969884E-3</v>
      </c>
      <c r="L47" s="2">
        <v>5.5E-2</v>
      </c>
      <c r="M47" s="7">
        <v>-0.45208608752866197</v>
      </c>
      <c r="N47" s="2">
        <v>-0.91265353525316995</v>
      </c>
      <c r="O47" s="2">
        <v>0.60019135802822399</v>
      </c>
      <c r="P47" s="8">
        <v>9.2642535335986598E-2</v>
      </c>
      <c r="Q47" s="2">
        <f t="shared" ref="Q47:T47" si="136">M48-M47</f>
        <v>0</v>
      </c>
      <c r="R47" s="2">
        <f t="shared" si="136"/>
        <v>8.3671132836679041E-3</v>
      </c>
      <c r="S47" s="2">
        <f t="shared" si="136"/>
        <v>0</v>
      </c>
      <c r="T47" s="2">
        <f t="shared" si="136"/>
        <v>-5.3430038903122951E-3</v>
      </c>
      <c r="V47" s="2">
        <v>9.5000000000000001E-2</v>
      </c>
      <c r="W47" s="7">
        <v>-0.45208608752866197</v>
      </c>
      <c r="X47" s="2">
        <v>-0.77344226492083101</v>
      </c>
      <c r="Y47" s="2">
        <v>0.60019135802822399</v>
      </c>
      <c r="Z47" s="8">
        <v>3.7461222311208102E-3</v>
      </c>
      <c r="AA47" s="2">
        <f t="shared" ref="AA47:AD47" si="137">W48-W47</f>
        <v>0</v>
      </c>
      <c r="AB47" s="2">
        <f t="shared" si="137"/>
        <v>9.0947959649549937E-3</v>
      </c>
      <c r="AC47" s="2">
        <f t="shared" si="137"/>
        <v>0</v>
      </c>
      <c r="AD47" s="2">
        <f t="shared" si="137"/>
        <v>-5.8076816429942302E-3</v>
      </c>
    </row>
    <row r="48" spans="1:30" ht="14.25" customHeight="1" x14ac:dyDescent="0.3">
      <c r="A48" s="3"/>
      <c r="B48" s="2">
        <v>1.7500000000000002E-2</v>
      </c>
      <c r="C48" s="7">
        <v>-0.45208608752866197</v>
      </c>
      <c r="D48" s="2">
        <v>-1.03322695944597</v>
      </c>
      <c r="E48" s="2">
        <v>0.60019135802822399</v>
      </c>
      <c r="F48" s="8">
        <v>0.16963734258775501</v>
      </c>
      <c r="G48" s="2">
        <f t="shared" ref="G48:J48" si="138">C49-C48</f>
        <v>0</v>
      </c>
      <c r="H48" s="2">
        <f t="shared" si="138"/>
        <v>7.7610287244900267E-3</v>
      </c>
      <c r="I48" s="2">
        <f t="shared" si="138"/>
        <v>0</v>
      </c>
      <c r="J48" s="2">
        <f t="shared" si="138"/>
        <v>-4.9559752882629982E-3</v>
      </c>
      <c r="L48" s="2">
        <v>5.7500000000000002E-2</v>
      </c>
      <c r="M48" s="7">
        <v>-0.45208608752866197</v>
      </c>
      <c r="N48" s="2">
        <v>-0.90428642196950204</v>
      </c>
      <c r="O48" s="2">
        <v>0.60019135802822399</v>
      </c>
      <c r="P48" s="8">
        <v>8.7299531445674303E-2</v>
      </c>
      <c r="Q48" s="2">
        <f t="shared" ref="Q48:T48" si="139">M49-M48</f>
        <v>0</v>
      </c>
      <c r="R48" s="2">
        <f t="shared" si="139"/>
        <v>8.4100054624510756E-3</v>
      </c>
      <c r="S48" s="2">
        <f t="shared" si="139"/>
        <v>0</v>
      </c>
      <c r="T48" s="2">
        <f t="shared" si="139"/>
        <v>-5.3703936327852975E-3</v>
      </c>
      <c r="V48" s="2">
        <v>9.75000000000001E-2</v>
      </c>
      <c r="W48" s="7">
        <v>-0.45208608752866197</v>
      </c>
      <c r="X48" s="2">
        <v>-0.76434746895587602</v>
      </c>
      <c r="Y48" s="2">
        <v>0.60019135802822399</v>
      </c>
      <c r="Z48" s="8">
        <v>-2.0615594118734201E-3</v>
      </c>
      <c r="AA48" s="2">
        <f t="shared" ref="AA48:AD48" si="140">W49-W48</f>
        <v>0</v>
      </c>
      <c r="AB48" s="2">
        <f t="shared" si="140"/>
        <v>9.1433753108990379E-3</v>
      </c>
      <c r="AC48" s="2">
        <f t="shared" si="140"/>
        <v>0</v>
      </c>
      <c r="AD48" s="2">
        <f t="shared" si="140"/>
        <v>-5.8387030509098794E-3</v>
      </c>
    </row>
    <row r="49" spans="1:30" ht="14.25" customHeight="1" x14ac:dyDescent="0.3">
      <c r="A49" s="3"/>
      <c r="B49" s="2">
        <v>0.02</v>
      </c>
      <c r="C49" s="7">
        <v>-0.45208608752866197</v>
      </c>
      <c r="D49" s="2">
        <v>-1.02546593072148</v>
      </c>
      <c r="E49" s="2">
        <v>0.60019135802822399</v>
      </c>
      <c r="F49" s="8">
        <v>0.16468136729949201</v>
      </c>
      <c r="G49" s="9">
        <f t="shared" ref="G49:J49" si="141">AVERAGE(G42:G48)</f>
        <v>0</v>
      </c>
      <c r="H49" s="9">
        <f t="shared" si="141"/>
        <v>7.6482393639885704E-3</v>
      </c>
      <c r="I49" s="9">
        <f t="shared" si="141"/>
        <v>0</v>
      </c>
      <c r="J49" s="9">
        <f t="shared" si="141"/>
        <v>-4.8839511657565683E-3</v>
      </c>
      <c r="L49" s="2">
        <v>0.06</v>
      </c>
      <c r="M49" s="7">
        <v>-0.45208608752866197</v>
      </c>
      <c r="N49" s="2">
        <v>-0.89587641650705097</v>
      </c>
      <c r="O49" s="2">
        <v>0.60019135802822399</v>
      </c>
      <c r="P49" s="8">
        <v>8.1929137812889005E-2</v>
      </c>
      <c r="Q49" s="9">
        <f t="shared" ref="Q49:T49" si="142">AVERAGE(Q42:Q48)</f>
        <v>0</v>
      </c>
      <c r="R49" s="9">
        <f t="shared" si="142"/>
        <v>8.2829400317538625E-3</v>
      </c>
      <c r="S49" s="9">
        <f t="shared" si="142"/>
        <v>0</v>
      </c>
      <c r="T49" s="9">
        <f t="shared" si="142"/>
        <v>-5.2892532122427128E-3</v>
      </c>
      <c r="V49" s="2">
        <v>0.1</v>
      </c>
      <c r="W49" s="7">
        <v>-0.45208608752866197</v>
      </c>
      <c r="X49" s="2">
        <v>-0.75520409364497698</v>
      </c>
      <c r="Y49" s="2">
        <v>0.60019135802822399</v>
      </c>
      <c r="Z49" s="8">
        <v>-7.9002624627832994E-3</v>
      </c>
      <c r="AA49" s="9">
        <f t="shared" ref="AA49:AD49" si="143">AVERAGE(AA42:AA48)</f>
        <v>0</v>
      </c>
      <c r="AB49" s="9">
        <f t="shared" si="143"/>
        <v>8.999536243808004E-3</v>
      </c>
      <c r="AC49" s="9">
        <f t="shared" si="143"/>
        <v>0</v>
      </c>
      <c r="AD49" s="9">
        <f t="shared" si="143"/>
        <v>-5.7468514565825581E-3</v>
      </c>
    </row>
    <row r="50" spans="1:30" ht="14.25" customHeight="1" x14ac:dyDescent="0.3">
      <c r="A50" s="1">
        <v>0.02</v>
      </c>
      <c r="K50" s="2">
        <v>0.06</v>
      </c>
      <c r="U50" s="2">
        <v>0.1</v>
      </c>
    </row>
    <row r="51" spans="1:30" ht="14.25" customHeight="1" x14ac:dyDescent="0.3">
      <c r="A51" s="3" t="s">
        <v>0</v>
      </c>
      <c r="B51" s="2">
        <f t="shared" ref="B51:B98" si="144">B2+0.02</f>
        <v>2.2499999999999999E-2</v>
      </c>
      <c r="C51" s="4">
        <v>0.21638339067168999</v>
      </c>
      <c r="D51" s="5">
        <v>-1.1829750396762799</v>
      </c>
      <c r="E51" s="5">
        <v>0.48086130292205098</v>
      </c>
      <c r="F51" s="6">
        <v>0.14397688720006299</v>
      </c>
      <c r="G51" s="2">
        <f t="shared" ref="G51:J51" si="145">C52-C51</f>
        <v>7.5659748494876E-2</v>
      </c>
      <c r="H51" s="2">
        <f t="shared" si="145"/>
        <v>-1.0918935788410078E-2</v>
      </c>
      <c r="I51" s="2">
        <f t="shared" si="145"/>
        <v>-1.3506199238162986E-2</v>
      </c>
      <c r="J51" s="2">
        <f t="shared" si="145"/>
        <v>-6.7549836503089933E-3</v>
      </c>
      <c r="K51" s="3" t="s">
        <v>0</v>
      </c>
      <c r="L51" s="5">
        <v>6.25E-2</v>
      </c>
      <c r="M51" s="4">
        <v>1.46156715642315</v>
      </c>
      <c r="N51" s="5">
        <v>-1.3626753671751399</v>
      </c>
      <c r="O51" s="5">
        <v>0.25858062709456198</v>
      </c>
      <c r="P51" s="6">
        <v>3.2805542507169203E-2</v>
      </c>
      <c r="Q51" s="2">
        <f t="shared" ref="Q51:T51" si="146">M52-M51</f>
        <v>8.0341371717399968E-2</v>
      </c>
      <c r="R51" s="2">
        <f t="shared" si="146"/>
        <v>-1.1594570381050051E-2</v>
      </c>
      <c r="S51" s="2">
        <f t="shared" si="146"/>
        <v>-1.4341926784981973E-2</v>
      </c>
      <c r="T51" s="2">
        <f t="shared" si="146"/>
        <v>-7.1729640025604037E-3</v>
      </c>
      <c r="U51" s="3" t="s">
        <v>0</v>
      </c>
      <c r="V51" s="5">
        <v>0.10249999999999999</v>
      </c>
      <c r="W51" s="4">
        <v>2.7844628106093001</v>
      </c>
      <c r="X51" s="5">
        <v>-1.5535907877280399</v>
      </c>
      <c r="Y51" s="5">
        <v>2.2427419712930202E-2</v>
      </c>
      <c r="Z51" s="6">
        <v>-8.5304003095145395E-2</v>
      </c>
      <c r="AA51" s="2">
        <f t="shared" ref="AA51:AD51" si="147">W52-W51</f>
        <v>8.5402296040530068E-2</v>
      </c>
      <c r="AB51" s="2">
        <f t="shared" si="147"/>
        <v>-1.2324944309230146E-2</v>
      </c>
      <c r="AC51" s="2">
        <f t="shared" si="147"/>
        <v>-1.5245364261277542E-2</v>
      </c>
      <c r="AD51" s="2">
        <f t="shared" si="147"/>
        <v>-7.6248087646370033E-3</v>
      </c>
    </row>
    <row r="52" spans="1:30" ht="14.25" customHeight="1" x14ac:dyDescent="0.3">
      <c r="A52" s="3"/>
      <c r="B52" s="2">
        <f t="shared" si="144"/>
        <v>2.5000000000000001E-2</v>
      </c>
      <c r="C52" s="7">
        <v>0.29204313916656599</v>
      </c>
      <c r="D52" s="2">
        <v>-1.19389397546469</v>
      </c>
      <c r="E52" s="2">
        <v>0.467355103683888</v>
      </c>
      <c r="F52" s="8">
        <v>0.137221903549754</v>
      </c>
      <c r="G52" s="2">
        <f t="shared" ref="G52:J52" si="148">C53-C52</f>
        <v>7.5941788265478982E-2</v>
      </c>
      <c r="H52" s="2">
        <f t="shared" si="148"/>
        <v>-1.0959638727640053E-2</v>
      </c>
      <c r="I52" s="2">
        <f t="shared" si="148"/>
        <v>-1.3556546819444015E-2</v>
      </c>
      <c r="J52" s="2">
        <f t="shared" si="148"/>
        <v>-6.7801644641470038E-3</v>
      </c>
      <c r="L52" s="2">
        <v>6.5000000000000002E-2</v>
      </c>
      <c r="M52" s="7">
        <v>1.54190852814055</v>
      </c>
      <c r="N52" s="2">
        <v>-1.37426993755619</v>
      </c>
      <c r="O52" s="2">
        <v>0.24423870030958</v>
      </c>
      <c r="P52" s="8">
        <v>2.5632578504608799E-2</v>
      </c>
      <c r="Q52" s="2">
        <f t="shared" ref="Q52:T52" si="149">M53-M52</f>
        <v>8.0646263478979963E-2</v>
      </c>
      <c r="R52" s="2">
        <f t="shared" si="149"/>
        <v>-1.1638571235299988E-2</v>
      </c>
      <c r="S52" s="2">
        <f t="shared" si="149"/>
        <v>-1.4396353728756001E-2</v>
      </c>
      <c r="T52" s="2">
        <f t="shared" si="149"/>
        <v>-7.2001850666684984E-3</v>
      </c>
      <c r="V52" s="2">
        <v>0.105</v>
      </c>
      <c r="W52" s="7">
        <v>2.8698651066498302</v>
      </c>
      <c r="X52" s="2">
        <v>-1.5659157320372701</v>
      </c>
      <c r="Y52" s="2">
        <v>7.1820554516526603E-3</v>
      </c>
      <c r="Z52" s="8">
        <v>-9.2928811859782398E-2</v>
      </c>
      <c r="AA52" s="2">
        <f t="shared" ref="AA52:AD52" si="150">W53-W52</f>
        <v>8.5731867717069754E-2</v>
      </c>
      <c r="AB52" s="2">
        <f t="shared" si="150"/>
        <v>-1.2372506877770029E-2</v>
      </c>
      <c r="AC52" s="2">
        <f t="shared" si="150"/>
        <v>-1.5304196874593251E-2</v>
      </c>
      <c r="AD52" s="2">
        <f t="shared" si="150"/>
        <v>-7.6542332780936001E-3</v>
      </c>
    </row>
    <row r="53" spans="1:30" ht="14.25" customHeight="1" x14ac:dyDescent="0.3">
      <c r="A53" s="3"/>
      <c r="B53" s="2">
        <f t="shared" si="144"/>
        <v>2.75E-2</v>
      </c>
      <c r="C53" s="7">
        <v>0.36798492743204497</v>
      </c>
      <c r="D53" s="2">
        <v>-1.2048536141923301</v>
      </c>
      <c r="E53" s="2">
        <v>0.45379855686444398</v>
      </c>
      <c r="F53" s="8">
        <v>0.13044173908560699</v>
      </c>
      <c r="G53" s="2">
        <f t="shared" ref="G53:J53" si="151">C54-C53</f>
        <v>7.6225203523268004E-2</v>
      </c>
      <c r="H53" s="2">
        <f t="shared" si="151"/>
        <v>-1.1000540172110052E-2</v>
      </c>
      <c r="I53" s="2">
        <f t="shared" si="151"/>
        <v>-1.3607139942105995E-2</v>
      </c>
      <c r="J53" s="2">
        <f t="shared" si="151"/>
        <v>-6.8054680828889963E-3</v>
      </c>
      <c r="L53" s="2">
        <v>6.7500000000000004E-2</v>
      </c>
      <c r="M53" s="7">
        <v>1.62255479161953</v>
      </c>
      <c r="N53" s="2">
        <v>-1.38590850879149</v>
      </c>
      <c r="O53" s="2">
        <v>0.229842346580824</v>
      </c>
      <c r="P53" s="8">
        <v>1.84323934379403E-2</v>
      </c>
      <c r="Q53" s="2">
        <f t="shared" ref="Q53:T53" si="152">M54-M53</f>
        <v>8.0952643873110075E-2</v>
      </c>
      <c r="R53" s="2">
        <f t="shared" si="152"/>
        <v>-1.168278692350011E-2</v>
      </c>
      <c r="S53" s="2">
        <f t="shared" si="152"/>
        <v>-1.4451046411818991E-2</v>
      </c>
      <c r="T53" s="2">
        <f t="shared" si="152"/>
        <v>-7.2275390374778002E-3</v>
      </c>
      <c r="V53" s="2">
        <v>0.1075</v>
      </c>
      <c r="W53" s="7">
        <v>2.9555969743668999</v>
      </c>
      <c r="X53" s="2">
        <v>-1.5782882389150401</v>
      </c>
      <c r="Y53" s="2">
        <v>-8.1221414229405899E-3</v>
      </c>
      <c r="Z53" s="8">
        <v>-0.100583045137876</v>
      </c>
      <c r="AA53" s="2">
        <f t="shared" ref="AA53:AD53" si="153">W54-W53</f>
        <v>8.606304293466005E-2</v>
      </c>
      <c r="AB53" s="2">
        <f t="shared" si="153"/>
        <v>-1.2420300863439815E-2</v>
      </c>
      <c r="AC53" s="2">
        <f t="shared" si="153"/>
        <v>-1.5363315739774308E-2</v>
      </c>
      <c r="AD53" s="2">
        <f t="shared" si="153"/>
        <v>-7.6838009573860083E-3</v>
      </c>
    </row>
    <row r="54" spans="1:30" ht="14.25" customHeight="1" x14ac:dyDescent="0.3">
      <c r="A54" s="3"/>
      <c r="B54" s="2">
        <f t="shared" si="144"/>
        <v>0.03</v>
      </c>
      <c r="C54" s="7">
        <v>0.44421013095531298</v>
      </c>
      <c r="D54" s="2">
        <v>-1.2158541543644401</v>
      </c>
      <c r="E54" s="2">
        <v>0.44019141692233799</v>
      </c>
      <c r="F54" s="8">
        <v>0.123636271002718</v>
      </c>
      <c r="G54" s="2">
        <f t="shared" ref="G54:J54" si="154">C55-C54</f>
        <v>7.6510001232331037E-2</v>
      </c>
      <c r="H54" s="2">
        <f t="shared" si="154"/>
        <v>-1.1041641126829926E-2</v>
      </c>
      <c r="I54" s="2">
        <f t="shared" si="154"/>
        <v>-1.3657979849435009E-2</v>
      </c>
      <c r="J54" s="2">
        <f t="shared" si="154"/>
        <v>-6.830895128422998E-3</v>
      </c>
      <c r="L54" s="2">
        <v>7.0000000000000007E-2</v>
      </c>
      <c r="M54" s="7">
        <v>1.7035074354926401</v>
      </c>
      <c r="N54" s="2">
        <v>-1.3975912957149901</v>
      </c>
      <c r="O54" s="2">
        <v>0.21539130016900501</v>
      </c>
      <c r="P54" s="8">
        <v>1.12048544004625E-2</v>
      </c>
      <c r="Q54" s="2">
        <f t="shared" ref="Q54:T54" si="155">M55-M54</f>
        <v>8.1260520064180053E-2</v>
      </c>
      <c r="R54" s="2">
        <f t="shared" si="155"/>
        <v>-1.1727218479629986E-2</v>
      </c>
      <c r="S54" s="2">
        <f t="shared" si="155"/>
        <v>-1.4506006113148007E-2</v>
      </c>
      <c r="T54" s="2">
        <f t="shared" si="155"/>
        <v>-7.2550265546771605E-3</v>
      </c>
      <c r="V54" s="2">
        <v>0.11</v>
      </c>
      <c r="W54" s="7">
        <v>3.04166001730156</v>
      </c>
      <c r="X54" s="2">
        <v>-1.5907085397784799</v>
      </c>
      <c r="Y54" s="2">
        <v>-2.3485457162714898E-2</v>
      </c>
      <c r="Z54" s="8">
        <v>-0.10826684609526201</v>
      </c>
      <c r="AA54" s="2">
        <f t="shared" ref="AA54:AD54" si="156">W55-W54</f>
        <v>8.6395828848639944E-2</v>
      </c>
      <c r="AB54" s="2">
        <f t="shared" si="156"/>
        <v>-1.2468327298890136E-2</v>
      </c>
      <c r="AC54" s="2">
        <f t="shared" si="156"/>
        <v>-1.5422722134153299E-2</v>
      </c>
      <c r="AD54" s="2">
        <f t="shared" si="156"/>
        <v>-7.7135124413979933E-3</v>
      </c>
    </row>
    <row r="55" spans="1:30" ht="14.25" customHeight="1" x14ac:dyDescent="0.3">
      <c r="A55" s="3"/>
      <c r="B55" s="2">
        <f t="shared" si="144"/>
        <v>3.2500000000000001E-2</v>
      </c>
      <c r="C55" s="7">
        <v>0.52072013218764401</v>
      </c>
      <c r="D55" s="2">
        <v>-1.22689579549127</v>
      </c>
      <c r="E55" s="2">
        <v>0.42653343707290298</v>
      </c>
      <c r="F55" s="8">
        <v>0.116805375874295</v>
      </c>
      <c r="G55" s="2">
        <f t="shared" ref="G55:J55" si="157">C56-C55</f>
        <v>7.679618837365898E-2</v>
      </c>
      <c r="H55" s="2">
        <f t="shared" si="157"/>
        <v>-1.1082942599289991E-2</v>
      </c>
      <c r="I55" s="2">
        <f t="shared" si="157"/>
        <v>-1.3709067787580964E-2</v>
      </c>
      <c r="J55" s="2">
        <f t="shared" si="157"/>
        <v>-6.8564462239359969E-3</v>
      </c>
      <c r="L55" s="2">
        <v>7.2499999999999995E-2</v>
      </c>
      <c r="M55" s="7">
        <v>1.7847679555568201</v>
      </c>
      <c r="N55" s="2">
        <v>-1.4093185141946201</v>
      </c>
      <c r="O55" s="2">
        <v>0.20088529405585701</v>
      </c>
      <c r="P55" s="8">
        <v>3.9498278457853397E-3</v>
      </c>
      <c r="Q55" s="2">
        <f t="shared" ref="Q55:T55" si="158">M56-M55</f>
        <v>8.156989922336999E-2</v>
      </c>
      <c r="R55" s="2">
        <f t="shared" si="158"/>
        <v>-1.1771866938560027E-2</v>
      </c>
      <c r="S55" s="2">
        <f t="shared" si="158"/>
        <v>-1.4561234112774019E-2</v>
      </c>
      <c r="T55" s="2">
        <f t="shared" si="158"/>
        <v>-7.2826482584740495E-3</v>
      </c>
      <c r="V55" s="2">
        <v>0.1125</v>
      </c>
      <c r="W55" s="7">
        <v>3.1280558461501999</v>
      </c>
      <c r="X55" s="2">
        <v>-1.6031768670773701</v>
      </c>
      <c r="Y55" s="2">
        <v>-3.8908179296868198E-2</v>
      </c>
      <c r="Z55" s="8">
        <v>-0.11598035853666</v>
      </c>
      <c r="AA55" s="2">
        <f t="shared" ref="AA55:AD55" si="159">W56-W55</f>
        <v>8.6730232604439905E-2</v>
      </c>
      <c r="AB55" s="2">
        <f t="shared" si="159"/>
        <v>-1.2516587215259944E-2</v>
      </c>
      <c r="AC55" s="2">
        <f t="shared" si="159"/>
        <v>-1.54824173332965E-2</v>
      </c>
      <c r="AD55" s="2">
        <f t="shared" si="159"/>
        <v>-7.7433683680839943E-3</v>
      </c>
    </row>
    <row r="56" spans="1:30" ht="14.25" customHeight="1" x14ac:dyDescent="0.3">
      <c r="A56" s="3"/>
      <c r="B56" s="2">
        <f t="shared" si="144"/>
        <v>3.5000000000000003E-2</v>
      </c>
      <c r="C56" s="7">
        <v>0.59751632056130299</v>
      </c>
      <c r="D56" s="2">
        <v>-1.23797873809056</v>
      </c>
      <c r="E56" s="2">
        <v>0.41282436928532201</v>
      </c>
      <c r="F56" s="8">
        <v>0.109948929650359</v>
      </c>
      <c r="G56" s="2">
        <f t="shared" ref="G56:J56" si="160">C57-C56</f>
        <v>7.7083771944928992E-2</v>
      </c>
      <c r="H56" s="2">
        <f t="shared" si="160"/>
        <v>-1.1124445599409949E-2</v>
      </c>
      <c r="I56" s="2">
        <f t="shared" si="160"/>
        <v>-1.3760405005700027E-2</v>
      </c>
      <c r="J56" s="2">
        <f t="shared" si="160"/>
        <v>-6.8821219942170053E-3</v>
      </c>
      <c r="L56" s="2">
        <v>7.4999999999999997E-2</v>
      </c>
      <c r="M56" s="7">
        <v>1.8663378547801901</v>
      </c>
      <c r="N56" s="2">
        <v>-1.4210903811331801</v>
      </c>
      <c r="O56" s="2">
        <v>0.18632405994308299</v>
      </c>
      <c r="P56" s="8">
        <v>-3.3328204126887098E-3</v>
      </c>
      <c r="Q56" s="2">
        <f t="shared" ref="Q56:T56" si="161">M57-M56</f>
        <v>8.1880788527339821E-2</v>
      </c>
      <c r="R56" s="2">
        <f t="shared" si="161"/>
        <v>-1.1816733336039942E-2</v>
      </c>
      <c r="S56" s="2">
        <f t="shared" si="161"/>
        <v>-1.4616731691947993E-2</v>
      </c>
      <c r="T56" s="2">
        <f t="shared" si="161"/>
        <v>-7.3104047896275903E-3</v>
      </c>
      <c r="V56" s="2">
        <v>0.115</v>
      </c>
      <c r="W56" s="7">
        <v>3.2147860787546398</v>
      </c>
      <c r="X56" s="2">
        <v>-1.61569345429263</v>
      </c>
      <c r="Y56" s="2">
        <v>-5.4390596630164698E-2</v>
      </c>
      <c r="Z56" s="8">
        <v>-0.12372372690474399</v>
      </c>
      <c r="AA56" s="2">
        <f t="shared" ref="AA56:AD56" si="162">W57-W56</f>
        <v>8.706626133628026E-2</v>
      </c>
      <c r="AB56" s="2">
        <f t="shared" si="162"/>
        <v>-1.2565081642220033E-2</v>
      </c>
      <c r="AC56" s="2">
        <f t="shared" si="162"/>
        <v>-1.5542402610679198E-2</v>
      </c>
      <c r="AD56" s="2">
        <f t="shared" si="162"/>
        <v>-7.7733693743530091E-3</v>
      </c>
    </row>
    <row r="57" spans="1:30" ht="14.25" customHeight="1" x14ac:dyDescent="0.3">
      <c r="A57" s="3"/>
      <c r="B57" s="2">
        <f t="shared" si="144"/>
        <v>3.7500000000000006E-2</v>
      </c>
      <c r="C57" s="7">
        <v>0.67460009250623199</v>
      </c>
      <c r="D57" s="2">
        <v>-1.24910318368997</v>
      </c>
      <c r="E57" s="2">
        <v>0.39906396427962199</v>
      </c>
      <c r="F57" s="8">
        <v>0.103066807656142</v>
      </c>
      <c r="G57" s="2">
        <f t="shared" ref="G57:J57" si="163">C58-C57</f>
        <v>7.7372758959583066E-2</v>
      </c>
      <c r="H57" s="2">
        <f t="shared" si="163"/>
        <v>-1.1166151139250013E-2</v>
      </c>
      <c r="I57" s="2">
        <f t="shared" si="163"/>
        <v>-1.3811992755767E-2</v>
      </c>
      <c r="J57" s="2">
        <f t="shared" si="163"/>
        <v>-6.9079230654355006E-3</v>
      </c>
      <c r="L57" s="2">
        <v>7.7499999999999999E-2</v>
      </c>
      <c r="M57" s="7">
        <v>1.9482186433075299</v>
      </c>
      <c r="N57" s="2">
        <v>-1.43290711446922</v>
      </c>
      <c r="O57" s="2">
        <v>0.17170732825113499</v>
      </c>
      <c r="P57" s="8">
        <v>-1.06432252023163E-2</v>
      </c>
      <c r="Q57" s="2">
        <f t="shared" ref="Q57:T57" si="164">M58-M57</f>
        <v>8.2193195157800103E-2</v>
      </c>
      <c r="R57" s="2">
        <f t="shared" si="164"/>
        <v>-1.1861818708440053E-2</v>
      </c>
      <c r="S57" s="2">
        <f t="shared" si="164"/>
        <v>-1.4672500132592997E-2</v>
      </c>
      <c r="T57" s="2">
        <f t="shared" si="164"/>
        <v>-7.3382967892979007E-3</v>
      </c>
      <c r="V57" s="2">
        <v>0.11749999999999999</v>
      </c>
      <c r="W57" s="7">
        <v>3.3018523400909201</v>
      </c>
      <c r="X57" s="2">
        <v>-1.62825853593485</v>
      </c>
      <c r="Y57" s="2">
        <v>-6.9932999240843896E-2</v>
      </c>
      <c r="Z57" s="8">
        <v>-0.131497096279097</v>
      </c>
      <c r="AA57" s="2">
        <f t="shared" ref="AA57:AD57" si="165">W58-W57</f>
        <v>8.7403922165790071E-2</v>
      </c>
      <c r="AB57" s="2">
        <f t="shared" si="165"/>
        <v>-1.2613811607479875E-2</v>
      </c>
      <c r="AC57" s="2">
        <f t="shared" si="165"/>
        <v>-1.5602679237685699E-2</v>
      </c>
      <c r="AD57" s="2">
        <f t="shared" si="165"/>
        <v>-7.8035160960689964E-3</v>
      </c>
    </row>
    <row r="58" spans="1:30" ht="14.25" customHeight="1" x14ac:dyDescent="0.3">
      <c r="A58" s="3"/>
      <c r="B58" s="2">
        <f t="shared" si="144"/>
        <v>0.04</v>
      </c>
      <c r="C58" s="7">
        <v>0.75197285146581505</v>
      </c>
      <c r="D58" s="2">
        <v>-1.26026933482922</v>
      </c>
      <c r="E58" s="2">
        <v>0.38525197152385499</v>
      </c>
      <c r="F58" s="8">
        <v>9.6158884590706498E-2</v>
      </c>
      <c r="G58" s="9">
        <f t="shared" ref="G58:J58" si="166">AVERAGE(G51:G57)</f>
        <v>7.6512780113446435E-2</v>
      </c>
      <c r="H58" s="9">
        <f t="shared" si="166"/>
        <v>-1.1042042164705723E-2</v>
      </c>
      <c r="I58" s="9">
        <f t="shared" si="166"/>
        <v>-1.3658475914027999E-2</v>
      </c>
      <c r="J58" s="9">
        <f t="shared" si="166"/>
        <v>-6.8311432299080705E-3</v>
      </c>
      <c r="L58" s="2">
        <v>0.08</v>
      </c>
      <c r="M58" s="7">
        <v>2.03041183846533</v>
      </c>
      <c r="N58" s="2">
        <v>-1.4447689331776601</v>
      </c>
      <c r="O58" s="2">
        <v>0.157034828118542</v>
      </c>
      <c r="P58" s="8">
        <v>-1.7981521991614201E-2</v>
      </c>
      <c r="Q58" s="9">
        <f t="shared" ref="Q58:T58" si="167">AVERAGE(Q51:Q57)</f>
        <v>8.126352600602571E-2</v>
      </c>
      <c r="R58" s="9">
        <f t="shared" si="167"/>
        <v>-1.1727652286074308E-2</v>
      </c>
      <c r="S58" s="9">
        <f t="shared" si="167"/>
        <v>-1.4506542710859997E-2</v>
      </c>
      <c r="T58" s="9">
        <f t="shared" si="167"/>
        <v>-7.2552949283976294E-3</v>
      </c>
      <c r="V58" s="2">
        <v>0.12</v>
      </c>
      <c r="W58" s="7">
        <v>3.3892562622567102</v>
      </c>
      <c r="X58" s="2">
        <v>-1.6408723475423299</v>
      </c>
      <c r="Y58" s="2">
        <v>-8.5535678478529595E-2</v>
      </c>
      <c r="Z58" s="8">
        <v>-0.139300612375166</v>
      </c>
      <c r="AA58" s="9">
        <f t="shared" ref="AA58:AD58" si="168">AVERAGE(AA51:AA57)</f>
        <v>8.6399064521058583E-2</v>
      </c>
      <c r="AB58" s="9">
        <f t="shared" si="168"/>
        <v>-1.2468794259184282E-2</v>
      </c>
      <c r="AC58" s="9">
        <f t="shared" si="168"/>
        <v>-1.5423299741637114E-2</v>
      </c>
      <c r="AD58" s="9">
        <f t="shared" si="168"/>
        <v>-7.7138013257172294E-3</v>
      </c>
    </row>
    <row r="59" spans="1:30" ht="14.25" customHeight="1" x14ac:dyDescent="0.3">
      <c r="A59" s="3" t="s">
        <v>1</v>
      </c>
      <c r="B59" s="2">
        <f t="shared" si="144"/>
        <v>2.2499999999999999E-2</v>
      </c>
      <c r="C59" s="7">
        <v>-0.45208608752866197</v>
      </c>
      <c r="D59" s="2">
        <v>-0.90011103449930396</v>
      </c>
      <c r="E59" s="2">
        <v>0.38677726434130499</v>
      </c>
      <c r="F59" s="8">
        <v>0.318970290152783</v>
      </c>
      <c r="G59" s="2">
        <f t="shared" ref="G59:J59" si="169">C60-C59</f>
        <v>0</v>
      </c>
      <c r="H59" s="2">
        <f t="shared" si="169"/>
        <v>2.1161301191767956E-2</v>
      </c>
      <c r="I59" s="2">
        <f t="shared" si="169"/>
        <v>-2.4229026724924996E-2</v>
      </c>
      <c r="J59" s="2">
        <f t="shared" si="169"/>
        <v>1.3091408021821016E-2</v>
      </c>
      <c r="K59" s="3" t="s">
        <v>1</v>
      </c>
      <c r="L59" s="2">
        <v>6.25E-2</v>
      </c>
      <c r="M59" s="7">
        <v>-0.45208608752866197</v>
      </c>
      <c r="N59" s="2">
        <v>-0.55014791647290895</v>
      </c>
      <c r="O59" s="2">
        <v>-1.3919538873312E-2</v>
      </c>
      <c r="P59" s="8">
        <v>0.53547446109908703</v>
      </c>
      <c r="Q59" s="2">
        <f t="shared" ref="Q59:T59" si="170">M60-M59</f>
        <v>0</v>
      </c>
      <c r="R59" s="2">
        <f t="shared" si="170"/>
        <v>2.2705494019745975E-2</v>
      </c>
      <c r="S59" s="2">
        <f t="shared" si="170"/>
        <v>-2.5997079122004996E-2</v>
      </c>
      <c r="T59" s="2">
        <f t="shared" si="170"/>
        <v>1.4046720655571998E-2</v>
      </c>
      <c r="U59" s="3" t="s">
        <v>1</v>
      </c>
      <c r="V59" s="2">
        <v>0.10249999999999999</v>
      </c>
      <c r="W59" s="7">
        <v>-0.45208608752866197</v>
      </c>
      <c r="X59" s="2">
        <v>-0.17430969492687601</v>
      </c>
      <c r="Y59" s="2">
        <v>-0.44424252476003601</v>
      </c>
      <c r="Z59" s="8">
        <v>0.76798622698066399</v>
      </c>
      <c r="AA59" s="2">
        <f t="shared" ref="AA59:AD59" si="171">W60-W59</f>
        <v>0</v>
      </c>
      <c r="AB59" s="2">
        <f t="shared" si="171"/>
        <v>2.4408675420091008E-2</v>
      </c>
      <c r="AC59" s="2">
        <f t="shared" si="171"/>
        <v>-2.7947168452198967E-2</v>
      </c>
      <c r="AD59" s="2">
        <f t="shared" si="171"/>
        <v>1.5100391337040997E-2</v>
      </c>
    </row>
    <row r="60" spans="1:30" ht="14.25" customHeight="1" x14ac:dyDescent="0.3">
      <c r="A60" s="3"/>
      <c r="B60" s="2">
        <f t="shared" si="144"/>
        <v>2.5000000000000001E-2</v>
      </c>
      <c r="C60" s="7">
        <v>-0.45208608752866197</v>
      </c>
      <c r="D60" s="2">
        <v>-0.87894973330753601</v>
      </c>
      <c r="E60" s="2">
        <v>0.36254823761638</v>
      </c>
      <c r="F60" s="8">
        <v>0.33206169817460401</v>
      </c>
      <c r="G60" s="2">
        <f t="shared" ref="G60:J60" si="172">C61-C60</f>
        <v>0</v>
      </c>
      <c r="H60" s="2">
        <f t="shared" si="172"/>
        <v>2.1253493554369007E-2</v>
      </c>
      <c r="I60" s="2">
        <f t="shared" si="172"/>
        <v>-2.4334584091028011E-2</v>
      </c>
      <c r="J60" s="2">
        <f t="shared" si="172"/>
        <v>1.3148442692036966E-2</v>
      </c>
      <c r="L60" s="2">
        <v>6.5000000000000002E-2</v>
      </c>
      <c r="M60" s="7">
        <v>-0.45208608752866197</v>
      </c>
      <c r="N60" s="2">
        <v>-0.52744242245316297</v>
      </c>
      <c r="O60" s="2">
        <v>-3.9916617995316997E-2</v>
      </c>
      <c r="P60" s="8">
        <v>0.54952118175465903</v>
      </c>
      <c r="Q60" s="2">
        <f t="shared" ref="Q60:T60" si="173">M61-M60</f>
        <v>0</v>
      </c>
      <c r="R60" s="2">
        <f t="shared" si="173"/>
        <v>2.2807094074266954E-2</v>
      </c>
      <c r="S60" s="2">
        <f t="shared" si="173"/>
        <v>-2.6113408000542501E-2</v>
      </c>
      <c r="T60" s="2">
        <f t="shared" si="173"/>
        <v>1.4109575380649941E-2</v>
      </c>
      <c r="V60" s="2">
        <v>0.105</v>
      </c>
      <c r="W60" s="7">
        <v>-0.45208608752866197</v>
      </c>
      <c r="X60" s="2">
        <v>-0.149901019506785</v>
      </c>
      <c r="Y60" s="2">
        <v>-0.47218969321223497</v>
      </c>
      <c r="Z60" s="8">
        <v>0.78308661831770499</v>
      </c>
      <c r="AA60" s="2">
        <f t="shared" ref="AA60:AD60" si="174">W61-W60</f>
        <v>0</v>
      </c>
      <c r="AB60" s="2">
        <f t="shared" si="174"/>
        <v>2.4520835532925001E-2</v>
      </c>
      <c r="AC60" s="2">
        <f t="shared" si="174"/>
        <v>-2.8075588266563034E-2</v>
      </c>
      <c r="AD60" s="2">
        <f t="shared" si="174"/>
        <v>1.5169779026728003E-2</v>
      </c>
    </row>
    <row r="61" spans="1:30" ht="14.25" customHeight="1" x14ac:dyDescent="0.3">
      <c r="A61" s="3"/>
      <c r="B61" s="2">
        <f t="shared" si="144"/>
        <v>2.75E-2</v>
      </c>
      <c r="C61" s="7">
        <v>-0.45208608752866197</v>
      </c>
      <c r="D61" s="2">
        <v>-0.857696239753167</v>
      </c>
      <c r="E61" s="2">
        <v>0.33821365352535199</v>
      </c>
      <c r="F61" s="8">
        <v>0.34521014086664098</v>
      </c>
      <c r="G61" s="2">
        <f t="shared" ref="G61:J61" si="175">C62-C61</f>
        <v>0</v>
      </c>
      <c r="H61" s="2">
        <f t="shared" si="175"/>
        <v>2.134624262043805E-2</v>
      </c>
      <c r="I61" s="2">
        <f t="shared" si="175"/>
        <v>-2.4440778865185975E-2</v>
      </c>
      <c r="J61" s="2">
        <f t="shared" si="175"/>
        <v>1.3205821766077042E-2</v>
      </c>
      <c r="L61" s="2">
        <v>6.7500000000000004E-2</v>
      </c>
      <c r="M61" s="7">
        <v>-0.45208608752866197</v>
      </c>
      <c r="N61" s="2">
        <v>-0.50463532837889602</v>
      </c>
      <c r="O61" s="2">
        <v>-6.6030025995859498E-2</v>
      </c>
      <c r="P61" s="8">
        <v>0.56363075713530897</v>
      </c>
      <c r="Q61" s="2">
        <f t="shared" ref="Q61:T61" si="176">M62-M61</f>
        <v>0</v>
      </c>
      <c r="R61" s="2">
        <f t="shared" si="176"/>
        <v>2.2909318984929039E-2</v>
      </c>
      <c r="S61" s="2">
        <f t="shared" si="176"/>
        <v>-2.6230452319830608E-2</v>
      </c>
      <c r="T61" s="2">
        <f t="shared" si="176"/>
        <v>1.4172816672075039E-2</v>
      </c>
      <c r="V61" s="2">
        <v>0.1075</v>
      </c>
      <c r="W61" s="7">
        <v>-0.45208608752866197</v>
      </c>
      <c r="X61" s="2">
        <v>-0.12538018397386</v>
      </c>
      <c r="Y61" s="2">
        <v>-0.50026528147879801</v>
      </c>
      <c r="Z61" s="8">
        <v>0.79825639734443299</v>
      </c>
      <c r="AA61" s="2">
        <f t="shared" ref="AA61:AD61" si="177">W62-W61</f>
        <v>0</v>
      </c>
      <c r="AB61" s="2">
        <f t="shared" si="177"/>
        <v>2.4633697009462996E-2</v>
      </c>
      <c r="AC61" s="2">
        <f t="shared" si="177"/>
        <v>-2.8204811120428941E-2</v>
      </c>
      <c r="AD61" s="2">
        <f t="shared" si="177"/>
        <v>1.5239600614069038E-2</v>
      </c>
    </row>
    <row r="62" spans="1:30" ht="14.25" customHeight="1" x14ac:dyDescent="0.3">
      <c r="A62" s="3"/>
      <c r="B62" s="2">
        <f t="shared" si="144"/>
        <v>0.03</v>
      </c>
      <c r="C62" s="7">
        <v>-0.45208608752866197</v>
      </c>
      <c r="D62" s="2">
        <v>-0.83634999713272895</v>
      </c>
      <c r="E62" s="2">
        <v>0.31377287466016601</v>
      </c>
      <c r="F62" s="8">
        <v>0.35841596263271802</v>
      </c>
      <c r="G62" s="2">
        <f t="shared" ref="G62:J62" si="178">C63-C62</f>
        <v>0</v>
      </c>
      <c r="H62" s="2">
        <f t="shared" si="178"/>
        <v>2.1439552416183005E-2</v>
      </c>
      <c r="I62" s="2">
        <f t="shared" si="178"/>
        <v>-2.454761565723701E-2</v>
      </c>
      <c r="J62" s="2">
        <f t="shared" si="178"/>
        <v>1.3263547734706005E-2</v>
      </c>
      <c r="L62" s="2">
        <v>7.0000000000000007E-2</v>
      </c>
      <c r="M62" s="7">
        <v>-0.45208608752866197</v>
      </c>
      <c r="N62" s="2">
        <v>-0.48172600939396698</v>
      </c>
      <c r="O62" s="2">
        <v>-9.2260478315690106E-2</v>
      </c>
      <c r="P62" s="8">
        <v>0.57780357380738401</v>
      </c>
      <c r="Q62" s="2">
        <f t="shared" ref="Q62:T62" si="179">M63-M62</f>
        <v>0</v>
      </c>
      <c r="R62" s="2">
        <f t="shared" si="179"/>
        <v>2.3012173282950965E-2</v>
      </c>
      <c r="S62" s="2">
        <f t="shared" si="179"/>
        <v>-2.6348217267866889E-2</v>
      </c>
      <c r="T62" s="2">
        <f t="shared" si="179"/>
        <v>1.4236447333058955E-2</v>
      </c>
      <c r="V62" s="2">
        <v>0.11</v>
      </c>
      <c r="W62" s="7">
        <v>-0.45208608752866197</v>
      </c>
      <c r="X62" s="2">
        <v>-0.100746486964397</v>
      </c>
      <c r="Y62" s="2">
        <v>-0.52847009259922695</v>
      </c>
      <c r="Z62" s="8">
        <v>0.81349599795850203</v>
      </c>
      <c r="AA62" s="2">
        <f t="shared" ref="AA62:AD62" si="180">W63-W62</f>
        <v>0</v>
      </c>
      <c r="AB62" s="2">
        <f t="shared" si="180"/>
        <v>2.4747264920151404E-2</v>
      </c>
      <c r="AC62" s="2">
        <f t="shared" si="180"/>
        <v>-2.8334842819240036E-2</v>
      </c>
      <c r="AD62" s="2">
        <f t="shared" si="180"/>
        <v>1.5309859235848933E-2</v>
      </c>
    </row>
    <row r="63" spans="1:30" ht="14.25" customHeight="1" x14ac:dyDescent="0.3">
      <c r="A63" s="3"/>
      <c r="B63" s="2">
        <f t="shared" si="144"/>
        <v>3.2500000000000001E-2</v>
      </c>
      <c r="C63" s="7">
        <v>-0.45208608752866197</v>
      </c>
      <c r="D63" s="2">
        <v>-0.81491044471654595</v>
      </c>
      <c r="E63" s="2">
        <v>0.289225259002929</v>
      </c>
      <c r="F63" s="8">
        <v>0.37167951036742403</v>
      </c>
      <c r="G63" s="2">
        <f t="shared" ref="G63:J63" si="181">C64-C63</f>
        <v>0</v>
      </c>
      <c r="H63" s="2">
        <f t="shared" si="181"/>
        <v>2.1533426998075922E-2</v>
      </c>
      <c r="I63" s="2">
        <f t="shared" si="181"/>
        <v>-2.4655099111713985E-2</v>
      </c>
      <c r="J63" s="2">
        <f t="shared" si="181"/>
        <v>1.3321623107424962E-2</v>
      </c>
      <c r="L63" s="2">
        <v>7.2499999999999995E-2</v>
      </c>
      <c r="M63" s="7">
        <v>-0.45208608752866197</v>
      </c>
      <c r="N63" s="2">
        <v>-0.45871383611101602</v>
      </c>
      <c r="O63" s="2">
        <v>-0.11860869558355699</v>
      </c>
      <c r="P63" s="8">
        <v>0.59204002114044296</v>
      </c>
      <c r="Q63" s="2">
        <f t="shared" ref="Q63:T63" si="182">M64-M63</f>
        <v>0</v>
      </c>
      <c r="R63" s="2">
        <f t="shared" si="182"/>
        <v>2.3115661532371989E-2</v>
      </c>
      <c r="S63" s="2">
        <f t="shared" si="182"/>
        <v>-2.6466708070387007E-2</v>
      </c>
      <c r="T63" s="2">
        <f t="shared" si="182"/>
        <v>1.4300470187151082E-2</v>
      </c>
      <c r="V63" s="2">
        <v>0.1125</v>
      </c>
      <c r="W63" s="7">
        <v>-0.45208608752866197</v>
      </c>
      <c r="X63" s="2">
        <v>-7.5999222044245598E-2</v>
      </c>
      <c r="Y63" s="2">
        <v>-0.55680493541846698</v>
      </c>
      <c r="Z63" s="8">
        <v>0.82880585719435096</v>
      </c>
      <c r="AA63" s="2">
        <f t="shared" ref="AA63:AD63" si="183">W64-W63</f>
        <v>0</v>
      </c>
      <c r="AB63" s="2">
        <f t="shared" si="183"/>
        <v>2.4861544369798601E-2</v>
      </c>
      <c r="AC63" s="2">
        <f t="shared" si="183"/>
        <v>-2.8465689207878064E-2</v>
      </c>
      <c r="AD63" s="2">
        <f t="shared" si="183"/>
        <v>1.5380558050206994E-2</v>
      </c>
    </row>
    <row r="64" spans="1:30" ht="14.25" customHeight="1" x14ac:dyDescent="0.3">
      <c r="A64" s="3"/>
      <c r="B64" s="2">
        <f t="shared" si="144"/>
        <v>3.5000000000000003E-2</v>
      </c>
      <c r="C64" s="7">
        <v>-0.45208608752866197</v>
      </c>
      <c r="D64" s="2">
        <v>-0.79337701771847002</v>
      </c>
      <c r="E64" s="2">
        <v>0.26457015989121502</v>
      </c>
      <c r="F64" s="8">
        <v>0.38500113347484899</v>
      </c>
      <c r="G64" s="2">
        <f t="shared" ref="G64:J64" si="184">C65-C64</f>
        <v>0</v>
      </c>
      <c r="H64" s="2">
        <f t="shared" si="184"/>
        <v>2.1627870453074016E-2</v>
      </c>
      <c r="I64" s="2">
        <f t="shared" si="184"/>
        <v>-2.4763233908069004E-2</v>
      </c>
      <c r="J64" s="2">
        <f t="shared" si="184"/>
        <v>1.338005041269702E-2</v>
      </c>
      <c r="L64" s="2">
        <v>7.4999999999999997E-2</v>
      </c>
      <c r="M64" s="7">
        <v>-0.45208608752866197</v>
      </c>
      <c r="N64" s="2">
        <v>-0.43559817457864403</v>
      </c>
      <c r="O64" s="2">
        <v>-0.145075403653944</v>
      </c>
      <c r="P64" s="8">
        <v>0.60634049132759404</v>
      </c>
      <c r="Q64" s="2">
        <f t="shared" ref="Q64:T64" si="185">M65-M64</f>
        <v>0</v>
      </c>
      <c r="R64" s="2">
        <f t="shared" si="185"/>
        <v>2.3219788330124003E-2</v>
      </c>
      <c r="S64" s="2">
        <f t="shared" si="185"/>
        <v>-2.6585929990788987E-2</v>
      </c>
      <c r="T64" s="2">
        <f t="shared" si="185"/>
        <v>1.4364888078245985E-2</v>
      </c>
      <c r="V64" s="2">
        <v>0.115</v>
      </c>
      <c r="W64" s="7">
        <v>-0.45208608752866197</v>
      </c>
      <c r="X64" s="2">
        <v>-5.1137677674446998E-2</v>
      </c>
      <c r="Y64" s="2">
        <v>-0.58527062462634505</v>
      </c>
      <c r="Z64" s="8">
        <v>0.84418641524455795</v>
      </c>
      <c r="AA64" s="2">
        <f t="shared" ref="AA64:AD64" si="186">W65-W64</f>
        <v>0</v>
      </c>
      <c r="AB64" s="2">
        <f t="shared" si="186"/>
        <v>2.4976540497817699E-2</v>
      </c>
      <c r="AC64" s="2">
        <f t="shared" si="186"/>
        <v>-2.8597356170770971E-2</v>
      </c>
      <c r="AD64" s="2">
        <f t="shared" si="186"/>
        <v>1.5451700236510102E-2</v>
      </c>
    </row>
    <row r="65" spans="1:30" ht="14.25" customHeight="1" x14ac:dyDescent="0.3">
      <c r="A65" s="3"/>
      <c r="B65" s="2">
        <f t="shared" si="144"/>
        <v>3.7500000000000006E-2</v>
      </c>
      <c r="C65" s="7">
        <v>-0.45208608752866197</v>
      </c>
      <c r="D65" s="2">
        <v>-0.77174914726539601</v>
      </c>
      <c r="E65" s="2">
        <v>0.23980692598314601</v>
      </c>
      <c r="F65" s="8">
        <v>0.39838118388754601</v>
      </c>
      <c r="G65" s="2">
        <f t="shared" ref="G65:J65" si="187">C66-C65</f>
        <v>0</v>
      </c>
      <c r="H65" s="2">
        <f t="shared" si="187"/>
        <v>2.172288689887103E-2</v>
      </c>
      <c r="I65" s="2">
        <f t="shared" si="187"/>
        <v>-2.4872024760957012E-2</v>
      </c>
      <c r="J65" s="2">
        <f t="shared" si="187"/>
        <v>1.3438832197875006E-2</v>
      </c>
      <c r="L65" s="2">
        <v>7.7499999999999999E-2</v>
      </c>
      <c r="M65" s="7">
        <v>-0.45208608752866197</v>
      </c>
      <c r="N65" s="2">
        <v>-0.41237838624852002</v>
      </c>
      <c r="O65" s="2">
        <v>-0.17166133364473299</v>
      </c>
      <c r="P65" s="8">
        <v>0.62070537940584003</v>
      </c>
      <c r="Q65" s="2">
        <f t="shared" ref="Q65:T65" si="188">M66-M65</f>
        <v>0</v>
      </c>
      <c r="R65" s="2">
        <f t="shared" si="188"/>
        <v>2.3324558306428045E-2</v>
      </c>
      <c r="S65" s="2">
        <f t="shared" si="188"/>
        <v>-2.6705888330412014E-2</v>
      </c>
      <c r="T65" s="2">
        <f t="shared" si="188"/>
        <v>1.4429703870796007E-2</v>
      </c>
      <c r="V65" s="2">
        <v>0.11749999999999999</v>
      </c>
      <c r="W65" s="7">
        <v>-0.45208608752866197</v>
      </c>
      <c r="X65" s="2">
        <v>-2.6161137176629299E-2</v>
      </c>
      <c r="Y65" s="2">
        <v>-0.61386798079711602</v>
      </c>
      <c r="Z65" s="8">
        <v>0.85963811548106805</v>
      </c>
      <c r="AA65" s="2">
        <f t="shared" ref="AA65:AD65" si="189">W66-W65</f>
        <v>0</v>
      </c>
      <c r="AB65" s="2">
        <f t="shared" si="189"/>
        <v>2.509225847813926E-2</v>
      </c>
      <c r="AC65" s="2">
        <f t="shared" si="189"/>
        <v>-2.8729849631962012E-2</v>
      </c>
      <c r="AD65" s="2">
        <f t="shared" si="189"/>
        <v>1.552328899576394E-2</v>
      </c>
    </row>
    <row r="66" spans="1:30" ht="14.25" customHeight="1" x14ac:dyDescent="0.3">
      <c r="A66" s="3"/>
      <c r="B66" s="2">
        <f t="shared" si="144"/>
        <v>0.04</v>
      </c>
      <c r="C66" s="7">
        <v>-0.45208608752866197</v>
      </c>
      <c r="D66" s="2">
        <v>-0.75002626036652498</v>
      </c>
      <c r="E66" s="2">
        <v>0.214934901222189</v>
      </c>
      <c r="F66" s="8">
        <v>0.41182001608542101</v>
      </c>
      <c r="G66" s="9">
        <f t="shared" ref="G66:J66" si="190">AVERAGE(G59:G65)</f>
        <v>0</v>
      </c>
      <c r="H66" s="9">
        <f t="shared" si="190"/>
        <v>2.1440682018968427E-2</v>
      </c>
      <c r="I66" s="9">
        <f t="shared" si="190"/>
        <v>-2.4548909017016569E-2</v>
      </c>
      <c r="J66" s="9">
        <f t="shared" si="190"/>
        <v>1.3264246561805431E-2</v>
      </c>
      <c r="L66" s="2">
        <v>0.08</v>
      </c>
      <c r="M66" s="7">
        <v>-0.45208608752866197</v>
      </c>
      <c r="N66" s="2">
        <v>-0.38905382794209198</v>
      </c>
      <c r="O66" s="2">
        <v>-0.198367221975145</v>
      </c>
      <c r="P66" s="8">
        <v>0.63513508327663604</v>
      </c>
      <c r="Q66" s="9">
        <f t="shared" ref="Q66:T66" si="191">AVERAGE(Q59:Q65)</f>
        <v>0</v>
      </c>
      <c r="R66" s="9">
        <f t="shared" si="191"/>
        <v>2.301344121868814E-2</v>
      </c>
      <c r="S66" s="9">
        <f t="shared" si="191"/>
        <v>-2.6349669014547574E-2</v>
      </c>
      <c r="T66" s="9">
        <f t="shared" si="191"/>
        <v>1.4237231739649858E-2</v>
      </c>
      <c r="V66" s="2">
        <v>0.12</v>
      </c>
      <c r="W66" s="7">
        <v>-0.45208608752866197</v>
      </c>
      <c r="X66" s="2">
        <v>-1.06887869849004E-3</v>
      </c>
      <c r="Y66" s="2">
        <v>-0.64259783042907803</v>
      </c>
      <c r="Z66" s="8">
        <v>0.87516140447683199</v>
      </c>
      <c r="AA66" s="9">
        <f t="shared" ref="AA66:AD66" si="192">AVERAGE(AA59:AA65)</f>
        <v>0</v>
      </c>
      <c r="AB66" s="9">
        <f t="shared" si="192"/>
        <v>2.4748688032626566E-2</v>
      </c>
      <c r="AC66" s="9">
        <f t="shared" si="192"/>
        <v>-2.8336472238434576E-2</v>
      </c>
      <c r="AD66" s="9">
        <f t="shared" si="192"/>
        <v>1.5310739642309714E-2</v>
      </c>
    </row>
    <row r="67" spans="1:30" ht="14.25" customHeight="1" x14ac:dyDescent="0.3">
      <c r="A67" s="3" t="s">
        <v>2</v>
      </c>
      <c r="B67" s="2">
        <f t="shared" si="144"/>
        <v>2.2499999999999999E-2</v>
      </c>
      <c r="C67" s="7">
        <v>-0.45208608752866197</v>
      </c>
      <c r="D67" s="2">
        <v>-0.908335663163783</v>
      </c>
      <c r="E67" s="2">
        <v>0.60019135802822399</v>
      </c>
      <c r="F67" s="8">
        <v>8.9885263312844604E-2</v>
      </c>
      <c r="G67" s="2">
        <f t="shared" ref="G67:J67" si="193">C68-C67</f>
        <v>0</v>
      </c>
      <c r="H67" s="2">
        <f t="shared" si="193"/>
        <v>2.0218530376170052E-2</v>
      </c>
      <c r="I67" s="2">
        <f t="shared" si="193"/>
        <v>0</v>
      </c>
      <c r="J67" s="2">
        <f t="shared" si="193"/>
        <v>-1.2910986476914701E-2</v>
      </c>
      <c r="K67" s="3" t="s">
        <v>2</v>
      </c>
      <c r="L67" s="5">
        <v>6.25E-2</v>
      </c>
      <c r="M67" s="7">
        <v>-0.45208608752866197</v>
      </c>
      <c r="N67" s="2">
        <v>-0.57416596613010995</v>
      </c>
      <c r="O67" s="2">
        <v>0.60019135802822399</v>
      </c>
      <c r="P67" s="8">
        <v>-0.123506133545444</v>
      </c>
      <c r="Q67" s="2">
        <f t="shared" ref="Q67:T67" si="194">M68-M67</f>
        <v>0</v>
      </c>
      <c r="R67" s="2">
        <f t="shared" si="194"/>
        <v>2.1667626645480942E-2</v>
      </c>
      <c r="S67" s="2">
        <f t="shared" si="194"/>
        <v>0</v>
      </c>
      <c r="T67" s="2">
        <f t="shared" si="194"/>
        <v>-1.3836338715090005E-2</v>
      </c>
      <c r="U67" s="3" t="s">
        <v>2</v>
      </c>
      <c r="V67" s="5">
        <v>0.10249999999999999</v>
      </c>
      <c r="W67" s="7">
        <v>-0.45208608752866197</v>
      </c>
      <c r="X67" s="2">
        <v>-0.21566058729760601</v>
      </c>
      <c r="Y67" s="2">
        <v>0.60019135802822399</v>
      </c>
      <c r="Z67" s="8">
        <v>-0.35243761431508902</v>
      </c>
      <c r="AA67" s="2">
        <f t="shared" ref="AA67:AD67" si="195">W68-W67</f>
        <v>0</v>
      </c>
      <c r="AB67" s="2">
        <f t="shared" si="195"/>
        <v>2.327377243763401E-2</v>
      </c>
      <c r="AC67" s="2">
        <f t="shared" si="195"/>
        <v>0</v>
      </c>
      <c r="AD67" s="2">
        <f t="shared" si="195"/>
        <v>-1.4861978374218987E-2</v>
      </c>
    </row>
    <row r="68" spans="1:30" ht="14.25" customHeight="1" x14ac:dyDescent="0.3">
      <c r="A68" s="3"/>
      <c r="B68" s="2">
        <f t="shared" si="144"/>
        <v>2.5000000000000001E-2</v>
      </c>
      <c r="C68" s="7">
        <v>-0.45208608752866197</v>
      </c>
      <c r="D68" s="2">
        <v>-0.88811713278761295</v>
      </c>
      <c r="E68" s="2">
        <v>0.60019135802822399</v>
      </c>
      <c r="F68" s="8">
        <v>7.6974276835929903E-2</v>
      </c>
      <c r="G68" s="2">
        <f t="shared" ref="G68:J68" si="196">C69-C68</f>
        <v>0</v>
      </c>
      <c r="H68" s="2">
        <f t="shared" si="196"/>
        <v>2.030487841814399E-2</v>
      </c>
      <c r="I68" s="2">
        <f t="shared" si="196"/>
        <v>0</v>
      </c>
      <c r="J68" s="2">
        <f t="shared" si="196"/>
        <v>-1.2966125914886203E-2</v>
      </c>
      <c r="L68" s="2">
        <v>6.5000000000000002E-2</v>
      </c>
      <c r="M68" s="7">
        <v>-0.45208608752866197</v>
      </c>
      <c r="N68" s="2">
        <v>-0.55249833948462901</v>
      </c>
      <c r="O68" s="2">
        <v>0.60019135802822399</v>
      </c>
      <c r="P68" s="8">
        <v>-0.137342472260534</v>
      </c>
      <c r="Q68" s="2">
        <f t="shared" ref="Q68:T68" si="197">M69-M68</f>
        <v>0</v>
      </c>
      <c r="R68" s="2">
        <f t="shared" si="197"/>
        <v>2.1763192619986049E-2</v>
      </c>
      <c r="S68" s="2">
        <f t="shared" si="197"/>
        <v>0</v>
      </c>
      <c r="T68" s="2">
        <f t="shared" si="197"/>
        <v>-1.3897364466318007E-2</v>
      </c>
      <c r="V68" s="2">
        <v>0.105</v>
      </c>
      <c r="W68" s="7">
        <v>-0.45208608752866197</v>
      </c>
      <c r="X68" s="2">
        <v>-0.192386814859972</v>
      </c>
      <c r="Y68" s="2">
        <v>0.60019135802822399</v>
      </c>
      <c r="Z68" s="8">
        <v>-0.36729959268930801</v>
      </c>
      <c r="AA68" s="2">
        <f t="shared" ref="AA68:AD68" si="198">W69-W68</f>
        <v>0</v>
      </c>
      <c r="AB68" s="2">
        <f t="shared" si="198"/>
        <v>2.3379868449736996E-2</v>
      </c>
      <c r="AC68" s="2">
        <f t="shared" si="198"/>
        <v>0</v>
      </c>
      <c r="AD68" s="2">
        <f t="shared" si="198"/>
        <v>-1.4929728312103985E-2</v>
      </c>
    </row>
    <row r="69" spans="1:30" ht="14.25" customHeight="1" x14ac:dyDescent="0.3">
      <c r="A69" s="3"/>
      <c r="B69" s="2">
        <f t="shared" si="144"/>
        <v>2.75E-2</v>
      </c>
      <c r="C69" s="7">
        <v>-0.45208608752866197</v>
      </c>
      <c r="D69" s="2">
        <v>-0.86781225436946896</v>
      </c>
      <c r="E69" s="2">
        <v>0.60019135802822399</v>
      </c>
      <c r="F69" s="8">
        <v>6.4008150921043699E-2</v>
      </c>
      <c r="G69" s="2">
        <f t="shared" ref="G69:J69" si="199">C70-C69</f>
        <v>0</v>
      </c>
      <c r="H69" s="2">
        <f t="shared" si="199"/>
        <v>2.0391767939173966E-2</v>
      </c>
      <c r="I69" s="2">
        <f t="shared" si="199"/>
        <v>0</v>
      </c>
      <c r="J69" s="2">
        <f t="shared" si="199"/>
        <v>-1.3021611126275201E-2</v>
      </c>
      <c r="L69" s="2">
        <v>6.7500000000000004E-2</v>
      </c>
      <c r="M69" s="7">
        <v>-0.45208608752866197</v>
      </c>
      <c r="N69" s="2">
        <v>-0.53073514686464296</v>
      </c>
      <c r="O69" s="2">
        <v>0.60019135802822399</v>
      </c>
      <c r="P69" s="8">
        <v>-0.15123983672685201</v>
      </c>
      <c r="Q69" s="2">
        <f t="shared" ref="Q69:T69" si="200">M70-M69</f>
        <v>0</v>
      </c>
      <c r="R69" s="2">
        <f t="shared" si="200"/>
        <v>2.1859376103051997E-2</v>
      </c>
      <c r="S69" s="2">
        <f t="shared" si="200"/>
        <v>0</v>
      </c>
      <c r="T69" s="2">
        <f t="shared" si="200"/>
        <v>-1.3958784541162977E-2</v>
      </c>
      <c r="V69" s="2">
        <v>0.1075</v>
      </c>
      <c r="W69" s="7">
        <v>-0.45208608752866197</v>
      </c>
      <c r="X69" s="2">
        <v>-0.169006946410235</v>
      </c>
      <c r="Y69" s="2">
        <v>0.60019135802822399</v>
      </c>
      <c r="Z69" s="8">
        <v>-0.38222932100141199</v>
      </c>
      <c r="AA69" s="2">
        <f t="shared" ref="AA69:AD69" si="201">W70-W69</f>
        <v>0</v>
      </c>
      <c r="AB69" s="2">
        <f t="shared" si="201"/>
        <v>2.3486671172876006E-2</v>
      </c>
      <c r="AC69" s="2">
        <f t="shared" si="201"/>
        <v>0</v>
      </c>
      <c r="AD69" s="2">
        <f t="shared" si="201"/>
        <v>-1.4997929535876031E-2</v>
      </c>
    </row>
    <row r="70" spans="1:30" ht="14.25" customHeight="1" x14ac:dyDescent="0.3">
      <c r="A70" s="3"/>
      <c r="B70" s="2">
        <f t="shared" si="144"/>
        <v>0.03</v>
      </c>
      <c r="C70" s="7">
        <v>-0.45208608752866197</v>
      </c>
      <c r="D70" s="2">
        <v>-0.84742048643029499</v>
      </c>
      <c r="E70" s="2">
        <v>0.60019135802822399</v>
      </c>
      <c r="F70" s="8">
        <v>5.0986539794768498E-2</v>
      </c>
      <c r="G70" s="2">
        <f t="shared" ref="G70:J70" si="202">C71-C70</f>
        <v>0</v>
      </c>
      <c r="H70" s="2">
        <f t="shared" si="202"/>
        <v>2.0479203348315989E-2</v>
      </c>
      <c r="I70" s="2">
        <f t="shared" si="202"/>
        <v>0</v>
      </c>
      <c r="J70" s="2">
        <f t="shared" si="202"/>
        <v>-1.3077444926436199E-2</v>
      </c>
      <c r="L70" s="2">
        <v>7.0000000000000007E-2</v>
      </c>
      <c r="M70" s="7">
        <v>-0.45208608752866197</v>
      </c>
      <c r="N70" s="2">
        <v>-0.50887577076159096</v>
      </c>
      <c r="O70" s="2">
        <v>0.60019135802822399</v>
      </c>
      <c r="P70" s="8">
        <v>-0.16519862126801499</v>
      </c>
      <c r="Q70" s="2">
        <f t="shared" ref="Q70:T70" si="203">M71-M70</f>
        <v>0</v>
      </c>
      <c r="R70" s="2">
        <f t="shared" si="203"/>
        <v>2.1956182259130985E-2</v>
      </c>
      <c r="S70" s="2">
        <f t="shared" si="203"/>
        <v>0</v>
      </c>
      <c r="T70" s="2">
        <f t="shared" si="203"/>
        <v>-1.4020602237545005E-2</v>
      </c>
      <c r="V70" s="2">
        <v>0.11</v>
      </c>
      <c r="W70" s="7">
        <v>-0.45208608752866197</v>
      </c>
      <c r="X70" s="2">
        <v>-0.145520275237359</v>
      </c>
      <c r="Y70" s="2">
        <v>0.60019135802822399</v>
      </c>
      <c r="Z70" s="8">
        <v>-0.39722725053728802</v>
      </c>
      <c r="AA70" s="2">
        <f t="shared" ref="AA70:AD70" si="204">W71-W70</f>
        <v>0</v>
      </c>
      <c r="AB70" s="2">
        <f t="shared" si="204"/>
        <v>2.3594186676945003E-2</v>
      </c>
      <c r="AC70" s="2">
        <f t="shared" si="204"/>
        <v>0</v>
      </c>
      <c r="AD70" s="2">
        <f t="shared" si="204"/>
        <v>-1.5066585921504949E-2</v>
      </c>
    </row>
    <row r="71" spans="1:30" ht="14.25" customHeight="1" x14ac:dyDescent="0.3">
      <c r="A71" s="3"/>
      <c r="B71" s="2">
        <f t="shared" si="144"/>
        <v>3.2500000000000001E-2</v>
      </c>
      <c r="C71" s="7">
        <v>-0.45208608752866197</v>
      </c>
      <c r="D71" s="2">
        <v>-0.82694128308197901</v>
      </c>
      <c r="E71" s="2">
        <v>0.60019135802822399</v>
      </c>
      <c r="F71" s="8">
        <v>3.7909094868332299E-2</v>
      </c>
      <c r="G71" s="2">
        <f t="shared" ref="G71:J71" si="205">C72-C71</f>
        <v>0</v>
      </c>
      <c r="H71" s="2">
        <f t="shared" si="205"/>
        <v>2.0567189097931982E-2</v>
      </c>
      <c r="I71" s="2">
        <f t="shared" si="205"/>
        <v>0</v>
      </c>
      <c r="J71" s="2">
        <f t="shared" si="205"/>
        <v>-1.3133630158610198E-2</v>
      </c>
      <c r="L71" s="2">
        <v>7.2499999999999995E-2</v>
      </c>
      <c r="M71" s="7">
        <v>-0.45208608752866197</v>
      </c>
      <c r="N71" s="2">
        <v>-0.48691958850245998</v>
      </c>
      <c r="O71" s="2">
        <v>0.60019135802822399</v>
      </c>
      <c r="P71" s="8">
        <v>-0.17921922350555999</v>
      </c>
      <c r="Q71" s="2">
        <f t="shared" ref="Q71:T71" si="206">M72-M71</f>
        <v>0</v>
      </c>
      <c r="R71" s="2">
        <f t="shared" si="206"/>
        <v>2.2053616304518964E-2</v>
      </c>
      <c r="S71" s="2">
        <f t="shared" si="206"/>
        <v>0</v>
      </c>
      <c r="T71" s="2">
        <f t="shared" si="206"/>
        <v>-1.4082820886422015E-2</v>
      </c>
      <c r="V71" s="2">
        <v>0.1125</v>
      </c>
      <c r="W71" s="7">
        <v>-0.45208608752866197</v>
      </c>
      <c r="X71" s="2">
        <v>-0.12192608856041399</v>
      </c>
      <c r="Y71" s="2">
        <v>0.60019135802822399</v>
      </c>
      <c r="Z71" s="8">
        <v>-0.41229383645879297</v>
      </c>
      <c r="AA71" s="2">
        <f t="shared" ref="AA71:AD71" si="207">W72-W71</f>
        <v>0</v>
      </c>
      <c r="AB71" s="2">
        <f t="shared" si="207"/>
        <v>2.3702421093843989E-2</v>
      </c>
      <c r="AC71" s="2">
        <f t="shared" si="207"/>
        <v>0</v>
      </c>
      <c r="AD71" s="2">
        <f t="shared" si="207"/>
        <v>-1.5135701384766054E-2</v>
      </c>
    </row>
    <row r="72" spans="1:30" ht="14.25" customHeight="1" x14ac:dyDescent="0.3">
      <c r="A72" s="3"/>
      <c r="B72" s="2">
        <f t="shared" si="144"/>
        <v>3.5000000000000003E-2</v>
      </c>
      <c r="C72" s="7">
        <v>-0.45208608752866197</v>
      </c>
      <c r="D72" s="2">
        <v>-0.80637409398404702</v>
      </c>
      <c r="E72" s="2">
        <v>0.60019135802822399</v>
      </c>
      <c r="F72" s="8">
        <v>2.4775464709722101E-2</v>
      </c>
      <c r="G72" s="2">
        <f t="shared" ref="G72:J72" si="208">C73-C72</f>
        <v>0</v>
      </c>
      <c r="H72" s="2">
        <f t="shared" si="208"/>
        <v>2.0655729684136981E-2</v>
      </c>
      <c r="I72" s="2">
        <f t="shared" si="208"/>
        <v>0</v>
      </c>
      <c r="J72" s="2">
        <f t="shared" si="208"/>
        <v>-1.3190169693857801E-2</v>
      </c>
      <c r="L72" s="2">
        <v>7.4999999999999997E-2</v>
      </c>
      <c r="M72" s="7">
        <v>-0.45208608752866197</v>
      </c>
      <c r="N72" s="2">
        <v>-0.46486597219794101</v>
      </c>
      <c r="O72" s="2">
        <v>0.60019135802822399</v>
      </c>
      <c r="P72" s="8">
        <v>-0.19330204439198201</v>
      </c>
      <c r="Q72" s="2">
        <f t="shared" ref="Q72:T72" si="209">M73-M72</f>
        <v>0</v>
      </c>
      <c r="R72" s="2">
        <f t="shared" si="209"/>
        <v>2.2151683508083997E-2</v>
      </c>
      <c r="S72" s="2">
        <f t="shared" si="209"/>
        <v>0</v>
      </c>
      <c r="T72" s="2">
        <f t="shared" si="209"/>
        <v>-1.4145443852371986E-2</v>
      </c>
      <c r="V72" s="2">
        <v>0.115</v>
      </c>
      <c r="W72" s="7">
        <v>-0.45208608752866197</v>
      </c>
      <c r="X72" s="2">
        <v>-9.8223667466570005E-2</v>
      </c>
      <c r="Y72" s="2">
        <v>0.60019135802822399</v>
      </c>
      <c r="Z72" s="8">
        <v>-0.42742953784355903</v>
      </c>
      <c r="AA72" s="2">
        <f t="shared" ref="AA72:AD72" si="210">W73-W72</f>
        <v>0</v>
      </c>
      <c r="AB72" s="2">
        <f t="shared" si="210"/>
        <v>2.3811380618724412E-2</v>
      </c>
      <c r="AC72" s="2">
        <f t="shared" si="210"/>
        <v>0</v>
      </c>
      <c r="AD72" s="2">
        <f t="shared" si="210"/>
        <v>-1.5205279881627953E-2</v>
      </c>
    </row>
    <row r="73" spans="1:30" ht="14.25" customHeight="1" x14ac:dyDescent="0.3">
      <c r="A73" s="3"/>
      <c r="B73" s="2">
        <f t="shared" si="144"/>
        <v>3.7500000000000006E-2</v>
      </c>
      <c r="C73" s="7">
        <v>-0.45208608752866197</v>
      </c>
      <c r="D73" s="2">
        <v>-0.78571836429991004</v>
      </c>
      <c r="E73" s="2">
        <v>0.60019135802822399</v>
      </c>
      <c r="F73" s="8">
        <v>1.15852950158643E-2</v>
      </c>
      <c r="G73" s="2">
        <f t="shared" ref="G73:J73" si="211">C74-C73</f>
        <v>0</v>
      </c>
      <c r="H73" s="2">
        <f t="shared" si="211"/>
        <v>2.0744829647455054E-2</v>
      </c>
      <c r="I73" s="2">
        <f t="shared" si="211"/>
        <v>0</v>
      </c>
      <c r="J73" s="2">
        <f t="shared" si="211"/>
        <v>-1.3247066431678389E-2</v>
      </c>
      <c r="L73" s="2">
        <v>7.7499999999999999E-2</v>
      </c>
      <c r="M73" s="7">
        <v>-0.45208608752866197</v>
      </c>
      <c r="N73" s="2">
        <v>-0.44271428868985702</v>
      </c>
      <c r="O73" s="2">
        <v>0.60019135802822399</v>
      </c>
      <c r="P73" s="8">
        <v>-0.20744748824435399</v>
      </c>
      <c r="Q73" s="2">
        <f t="shared" ref="Q73:T73" si="212">M74-M73</f>
        <v>0</v>
      </c>
      <c r="R73" s="2">
        <f t="shared" si="212"/>
        <v>2.2250389191698028E-2</v>
      </c>
      <c r="S73" s="2">
        <f t="shared" si="212"/>
        <v>0</v>
      </c>
      <c r="T73" s="2">
        <f t="shared" si="212"/>
        <v>-1.4208474533762006E-2</v>
      </c>
      <c r="V73" s="2">
        <v>0.11749999999999999</v>
      </c>
      <c r="W73" s="7">
        <v>-0.45208608752866197</v>
      </c>
      <c r="X73" s="2">
        <v>-7.4412286847845593E-2</v>
      </c>
      <c r="Y73" s="2">
        <v>0.60019135802822399</v>
      </c>
      <c r="Z73" s="8">
        <v>-0.44263481772518698</v>
      </c>
      <c r="AA73" s="2">
        <f t="shared" ref="AA73:AD73" si="213">W74-W73</f>
        <v>0</v>
      </c>
      <c r="AB73" s="2">
        <f t="shared" si="213"/>
        <v>2.3921071510215997E-2</v>
      </c>
      <c r="AC73" s="2">
        <f t="shared" si="213"/>
        <v>0</v>
      </c>
      <c r="AD73" s="2">
        <f t="shared" si="213"/>
        <v>-1.5275325408682039E-2</v>
      </c>
    </row>
    <row r="74" spans="1:30" ht="14.25" customHeight="1" x14ac:dyDescent="0.3">
      <c r="A74" s="3"/>
      <c r="B74" s="2">
        <f t="shared" si="144"/>
        <v>0.04</v>
      </c>
      <c r="C74" s="7">
        <v>-0.45208608752866197</v>
      </c>
      <c r="D74" s="2">
        <v>-0.76497353465245499</v>
      </c>
      <c r="E74" s="2">
        <v>0.60019135802822399</v>
      </c>
      <c r="F74" s="8">
        <v>-1.66177141581409E-3</v>
      </c>
      <c r="G74" s="9">
        <f t="shared" ref="G74:J74" si="214">AVERAGE(G67:G73)</f>
        <v>0</v>
      </c>
      <c r="H74" s="9">
        <f t="shared" si="214"/>
        <v>2.0480304073046858E-2</v>
      </c>
      <c r="I74" s="9">
        <f t="shared" si="214"/>
        <v>0</v>
      </c>
      <c r="J74" s="9">
        <f t="shared" si="214"/>
        <v>-1.3078147818379815E-2</v>
      </c>
      <c r="L74" s="2">
        <v>0.08</v>
      </c>
      <c r="M74" s="7">
        <v>-0.45208608752866197</v>
      </c>
      <c r="N74" s="2">
        <v>-0.42046389949815899</v>
      </c>
      <c r="O74" s="2">
        <v>0.60019135802822399</v>
      </c>
      <c r="P74" s="8">
        <v>-0.221655962778116</v>
      </c>
      <c r="Q74" s="9">
        <f t="shared" ref="Q74:T74" si="215">AVERAGE(Q67:Q73)</f>
        <v>0</v>
      </c>
      <c r="R74" s="9">
        <f t="shared" si="215"/>
        <v>2.1957438090278707E-2</v>
      </c>
      <c r="S74" s="9">
        <f t="shared" si="215"/>
        <v>0</v>
      </c>
      <c r="T74" s="9">
        <f t="shared" si="215"/>
        <v>-1.4021404176096E-2</v>
      </c>
      <c r="V74" s="2">
        <v>0.12</v>
      </c>
      <c r="W74" s="7">
        <v>-0.45208608752866197</v>
      </c>
      <c r="X74" s="2">
        <v>-5.0491215337629597E-2</v>
      </c>
      <c r="Y74" s="2">
        <v>0.60019135802822399</v>
      </c>
      <c r="Z74" s="8">
        <v>-0.45791014313386902</v>
      </c>
      <c r="AA74" s="9">
        <f t="shared" ref="AA74:AD74" si="216">AVERAGE(AA67:AA73)</f>
        <v>0</v>
      </c>
      <c r="AB74" s="9">
        <f t="shared" si="216"/>
        <v>2.3595624565710915E-2</v>
      </c>
      <c r="AC74" s="9">
        <f t="shared" si="216"/>
        <v>0</v>
      </c>
      <c r="AD74" s="9">
        <f t="shared" si="216"/>
        <v>-1.5067504116968571E-2</v>
      </c>
    </row>
    <row r="75" spans="1:30" ht="14.25" customHeight="1" x14ac:dyDescent="0.3">
      <c r="A75" s="3" t="s">
        <v>3</v>
      </c>
      <c r="B75" s="2">
        <f t="shared" si="144"/>
        <v>2.2499999999999999E-2</v>
      </c>
      <c r="C75" s="7">
        <v>-0.26455901047893099</v>
      </c>
      <c r="D75" s="2">
        <v>-1.11356720657408</v>
      </c>
      <c r="E75" s="2">
        <v>0.56671545947486801</v>
      </c>
      <c r="F75" s="8">
        <v>0.18691594160018499</v>
      </c>
      <c r="G75" s="2">
        <f t="shared" ref="G75:J75" si="217">C76-C75</f>
        <v>2.1401124251774983E-2</v>
      </c>
      <c r="H75" s="2">
        <f t="shared" si="217"/>
        <v>-3.0885313016899563E-3</v>
      </c>
      <c r="I75" s="2">
        <f t="shared" si="217"/>
        <v>-3.8203649075639889E-3</v>
      </c>
      <c r="J75" s="2">
        <f t="shared" si="217"/>
        <v>-1.9107153710419822E-3</v>
      </c>
      <c r="K75" s="3" t="s">
        <v>3</v>
      </c>
      <c r="L75" s="5">
        <v>6.25E-2</v>
      </c>
      <c r="M75" s="7">
        <v>9.2345464726284798E-2</v>
      </c>
      <c r="N75" s="2">
        <v>-1.16507434378886</v>
      </c>
      <c r="O75" s="2">
        <v>0.50300360413552503</v>
      </c>
      <c r="P75" s="8">
        <v>0.15505112652083899</v>
      </c>
      <c r="Q75" s="2">
        <f t="shared" ref="Q75:T75" si="218">M76-M75</f>
        <v>2.3377841851325201E-2</v>
      </c>
      <c r="R75" s="2">
        <f t="shared" si="218"/>
        <v>-3.3738038934099102E-3</v>
      </c>
      <c r="S75" s="2">
        <f t="shared" si="218"/>
        <v>-4.1732334046130082E-3</v>
      </c>
      <c r="T75" s="2">
        <f t="shared" si="218"/>
        <v>-2.0871988425429921E-3</v>
      </c>
      <c r="U75" s="3" t="s">
        <v>3</v>
      </c>
      <c r="V75" s="5">
        <v>0.10249999999999999</v>
      </c>
      <c r="W75" s="7">
        <v>0.48290149728564402</v>
      </c>
      <c r="X75" s="2">
        <v>-1.2214379496179399</v>
      </c>
      <c r="Y75" s="2">
        <v>0.43328453033004599</v>
      </c>
      <c r="Z75" s="8">
        <v>0.120181864238622</v>
      </c>
      <c r="AA75" s="2">
        <f t="shared" ref="AA75:AD75" si="219">W76-W75</f>
        <v>2.5632863853670029E-2</v>
      </c>
      <c r="AB75" s="2">
        <f t="shared" si="219"/>
        <v>-3.6992403498401494E-3</v>
      </c>
      <c r="AC75" s="2">
        <f t="shared" si="219"/>
        <v>-4.5757826736039786E-3</v>
      </c>
      <c r="AD75" s="2">
        <f t="shared" si="219"/>
        <v>-2.2885296302000008E-3</v>
      </c>
    </row>
    <row r="76" spans="1:30" ht="14.25" customHeight="1" x14ac:dyDescent="0.3">
      <c r="A76" s="3"/>
      <c r="B76" s="2">
        <f t="shared" si="144"/>
        <v>2.5000000000000001E-2</v>
      </c>
      <c r="C76" s="7">
        <v>-0.24315788622715601</v>
      </c>
      <c r="D76" s="2">
        <v>-1.11665573787577</v>
      </c>
      <c r="E76" s="2">
        <v>0.56289509456730402</v>
      </c>
      <c r="F76" s="8">
        <v>0.185005226229143</v>
      </c>
      <c r="G76" s="2">
        <f t="shared" ref="G76:J76" si="220">C77-C76</f>
        <v>2.1517373434684017E-2</v>
      </c>
      <c r="H76" s="2">
        <f t="shared" si="220"/>
        <v>-3.1053079549299145E-3</v>
      </c>
      <c r="I76" s="2">
        <f t="shared" si="220"/>
        <v>-3.8411168219860681E-3</v>
      </c>
      <c r="J76" s="2">
        <f t="shared" si="220"/>
        <v>-1.9210942230410144E-3</v>
      </c>
      <c r="L76" s="2">
        <v>6.5000000000000002E-2</v>
      </c>
      <c r="M76" s="7">
        <v>0.11572330657761</v>
      </c>
      <c r="N76" s="2">
        <v>-1.1684481476822699</v>
      </c>
      <c r="O76" s="2">
        <v>0.49883037073091202</v>
      </c>
      <c r="P76" s="8">
        <v>0.152963927678296</v>
      </c>
      <c r="Q76" s="2">
        <f t="shared" ref="Q76:T76" si="221">M77-M76</f>
        <v>2.3510132275961007E-2</v>
      </c>
      <c r="R76" s="2">
        <f t="shared" si="221"/>
        <v>-3.3928955594602073E-3</v>
      </c>
      <c r="S76" s="2">
        <f t="shared" si="221"/>
        <v>-4.1968488787140212E-3</v>
      </c>
      <c r="T76" s="2">
        <f t="shared" si="221"/>
        <v>-2.0990098738090102E-3</v>
      </c>
      <c r="V76" s="2">
        <v>0.105</v>
      </c>
      <c r="W76" s="7">
        <v>0.50853436113931405</v>
      </c>
      <c r="X76" s="2">
        <v>-1.2251371899677801</v>
      </c>
      <c r="Y76" s="2">
        <v>0.42870874765644201</v>
      </c>
      <c r="Z76" s="8">
        <v>0.117893334608422</v>
      </c>
      <c r="AA76" s="2">
        <f t="shared" ref="AA76:AD76" si="222">W77-W76</f>
        <v>2.5784191967673897E-2</v>
      </c>
      <c r="AB76" s="2">
        <f t="shared" si="222"/>
        <v>-3.721079465009991E-3</v>
      </c>
      <c r="AC76" s="2">
        <f t="shared" si="222"/>
        <v>-4.6027966103320272E-3</v>
      </c>
      <c r="AD76" s="2">
        <f t="shared" si="222"/>
        <v>-2.3020403668120026E-3</v>
      </c>
    </row>
    <row r="77" spans="1:30" ht="14.25" customHeight="1" x14ac:dyDescent="0.3">
      <c r="A77" s="3"/>
      <c r="B77" s="2">
        <f t="shared" si="144"/>
        <v>2.75E-2</v>
      </c>
      <c r="C77" s="7">
        <v>-0.22164051279247199</v>
      </c>
      <c r="D77" s="2">
        <v>-1.1197610458306999</v>
      </c>
      <c r="E77" s="2">
        <v>0.55905397774531795</v>
      </c>
      <c r="F77" s="8">
        <v>0.18308413200610199</v>
      </c>
      <c r="G77" s="2">
        <f t="shared" ref="G77:J77" si="223">C78-C77</f>
        <v>2.1634548565481998E-2</v>
      </c>
      <c r="H77" s="2">
        <f t="shared" si="223"/>
        <v>-3.1222182375201246E-3</v>
      </c>
      <c r="I77" s="2">
        <f t="shared" si="223"/>
        <v>-3.8620340295389965E-3</v>
      </c>
      <c r="J77" s="2">
        <f t="shared" si="223"/>
        <v>-1.931555744613983E-3</v>
      </c>
      <c r="L77" s="2">
        <v>6.7500000000000004E-2</v>
      </c>
      <c r="M77" s="7">
        <v>0.13923343885357101</v>
      </c>
      <c r="N77" s="2">
        <v>-1.1718410432417301</v>
      </c>
      <c r="O77" s="2">
        <v>0.494633521852198</v>
      </c>
      <c r="P77" s="8">
        <v>0.15086491780448699</v>
      </c>
      <c r="Q77" s="2">
        <f t="shared" ref="Q77:T77" si="224">M78-M77</f>
        <v>2.3643518276983994E-2</v>
      </c>
      <c r="R77" s="2">
        <f t="shared" si="224"/>
        <v>-3.4121453350599573E-3</v>
      </c>
      <c r="S77" s="2">
        <f t="shared" si="224"/>
        <v>-4.2206599267409772E-3</v>
      </c>
      <c r="T77" s="2">
        <f t="shared" si="224"/>
        <v>-2.1109187193250056E-3</v>
      </c>
      <c r="V77" s="2">
        <v>0.1075</v>
      </c>
      <c r="W77" s="7">
        <v>0.53431855310698795</v>
      </c>
      <c r="X77" s="2">
        <v>-1.2288582694327901</v>
      </c>
      <c r="Y77" s="2">
        <v>0.42410595104610999</v>
      </c>
      <c r="Z77" s="8">
        <v>0.11559129424160999</v>
      </c>
      <c r="AA77" s="2">
        <f t="shared" ref="AA77:AD77" si="225">W78-W77</f>
        <v>2.5936824631822009E-2</v>
      </c>
      <c r="AB77" s="2">
        <f t="shared" si="225"/>
        <v>-3.7431068479898411E-3</v>
      </c>
      <c r="AC77" s="2">
        <f t="shared" si="225"/>
        <v>-4.6300434253510048E-3</v>
      </c>
      <c r="AD77" s="2">
        <f t="shared" si="225"/>
        <v>-2.3156675750859862E-3</v>
      </c>
    </row>
    <row r="78" spans="1:30" ht="14.25" customHeight="1" x14ac:dyDescent="0.3">
      <c r="A78" s="3"/>
      <c r="B78" s="2">
        <f t="shared" si="144"/>
        <v>0.03</v>
      </c>
      <c r="C78" s="7">
        <v>-0.20000596422698999</v>
      </c>
      <c r="D78" s="2">
        <v>-1.12288326406822</v>
      </c>
      <c r="E78" s="2">
        <v>0.55519194371577896</v>
      </c>
      <c r="F78" s="8">
        <v>0.18115257626148801</v>
      </c>
      <c r="G78" s="2">
        <f t="shared" ref="G78:J78" si="226">C79-C78</f>
        <v>2.1752659262960994E-2</v>
      </c>
      <c r="H78" s="2">
        <f t="shared" si="226"/>
        <v>-3.1392635376799038E-3</v>
      </c>
      <c r="I78" s="2">
        <f t="shared" si="226"/>
        <v>-3.8831182472769399E-3</v>
      </c>
      <c r="J78" s="2">
        <f t="shared" si="226"/>
        <v>-1.9421007946150148E-3</v>
      </c>
      <c r="L78" s="2">
        <v>7.0000000000000007E-2</v>
      </c>
      <c r="M78" s="7">
        <v>0.162876957130555</v>
      </c>
      <c r="N78" s="2">
        <v>-1.1752531885767901</v>
      </c>
      <c r="O78" s="2">
        <v>0.49041286192545702</v>
      </c>
      <c r="P78" s="8">
        <v>0.14875399908516199</v>
      </c>
      <c r="Q78" s="2">
        <f t="shared" ref="Q78:T78" si="227">M79-M78</f>
        <v>2.3778011663119991E-2</v>
      </c>
      <c r="R78" s="2">
        <f t="shared" si="227"/>
        <v>-3.4315549243899568E-3</v>
      </c>
      <c r="S78" s="2">
        <f t="shared" si="227"/>
        <v>-4.2446686567080283E-3</v>
      </c>
      <c r="T78" s="2">
        <f t="shared" si="227"/>
        <v>-2.1229264333679776E-3</v>
      </c>
      <c r="V78" s="2">
        <v>0.11</v>
      </c>
      <c r="W78" s="7">
        <v>0.56025537773880996</v>
      </c>
      <c r="X78" s="2">
        <v>-1.2326013762807799</v>
      </c>
      <c r="Y78" s="2">
        <v>0.41947590762075898</v>
      </c>
      <c r="Z78" s="8">
        <v>0.11327562666652401</v>
      </c>
      <c r="AA78" s="2">
        <f t="shared" ref="AA78:AD78" si="228">W79-W78</f>
        <v>2.6090776448215003E-2</v>
      </c>
      <c r="AB78" s="2">
        <f t="shared" si="228"/>
        <v>-3.765324606220144E-3</v>
      </c>
      <c r="AC78" s="2">
        <f t="shared" si="228"/>
        <v>-4.6575257253579916E-3</v>
      </c>
      <c r="AD78" s="2">
        <f t="shared" si="228"/>
        <v>-2.3294125586960091E-3</v>
      </c>
    </row>
    <row r="79" spans="1:30" ht="14.25" customHeight="1" x14ac:dyDescent="0.3">
      <c r="A79" s="3"/>
      <c r="B79" s="2">
        <f t="shared" si="144"/>
        <v>3.2500000000000001E-2</v>
      </c>
      <c r="C79" s="7">
        <v>-0.178253304964029</v>
      </c>
      <c r="D79" s="2">
        <v>-1.1260225276058999</v>
      </c>
      <c r="E79" s="2">
        <v>0.55130882546850202</v>
      </c>
      <c r="F79" s="8">
        <v>0.17921047546687299</v>
      </c>
      <c r="G79" s="2">
        <f t="shared" ref="G79:J79" si="229">C80-C79</f>
        <v>2.1871715267928998E-2</v>
      </c>
      <c r="H79" s="2">
        <f t="shared" si="229"/>
        <v>-3.1564452611001492E-3</v>
      </c>
      <c r="I79" s="2">
        <f t="shared" si="229"/>
        <v>-3.9043712140850451E-3</v>
      </c>
      <c r="J79" s="2">
        <f t="shared" si="229"/>
        <v>-1.9527302426829984E-3</v>
      </c>
      <c r="L79" s="2">
        <v>7.2499999999999995E-2</v>
      </c>
      <c r="M79" s="7">
        <v>0.18665496879367499</v>
      </c>
      <c r="N79" s="2">
        <v>-1.17868474350118</v>
      </c>
      <c r="O79" s="2">
        <v>0.48616819326874899</v>
      </c>
      <c r="P79" s="8">
        <v>0.14663107265179401</v>
      </c>
      <c r="Q79" s="2">
        <f t="shared" ref="Q79:T79" si="230">M80-M79</f>
        <v>2.3913624398166022E-2</v>
      </c>
      <c r="R79" s="2">
        <f t="shared" si="230"/>
        <v>-3.4511260540299737E-3</v>
      </c>
      <c r="S79" s="2">
        <f t="shared" si="230"/>
        <v>-4.2688772042460132E-3</v>
      </c>
      <c r="T79" s="2">
        <f t="shared" si="230"/>
        <v>-2.135034084092019E-3</v>
      </c>
      <c r="V79" s="2">
        <v>0.1125</v>
      </c>
      <c r="W79" s="7">
        <v>0.58634615418702496</v>
      </c>
      <c r="X79" s="2">
        <v>-1.2363667008870001</v>
      </c>
      <c r="Y79" s="2">
        <v>0.41481838189540099</v>
      </c>
      <c r="Z79" s="8">
        <v>0.110946214107828</v>
      </c>
      <c r="AA79" s="2">
        <f t="shared" ref="AA79:AD79" si="231">W80-W79</f>
        <v>2.6246062217769039E-2</v>
      </c>
      <c r="AB79" s="2">
        <f t="shared" si="231"/>
        <v>-3.787734875619897E-3</v>
      </c>
      <c r="AC79" s="2">
        <f t="shared" si="231"/>
        <v>-4.6852461524339861E-3</v>
      </c>
      <c r="AD79" s="2">
        <f t="shared" si="231"/>
        <v>-2.3432766390800025E-3</v>
      </c>
    </row>
    <row r="80" spans="1:30" ht="14.25" customHeight="1" x14ac:dyDescent="0.3">
      <c r="A80" s="3"/>
      <c r="B80" s="2">
        <f t="shared" si="144"/>
        <v>3.5000000000000003E-2</v>
      </c>
      <c r="C80" s="7">
        <v>-0.1563815896961</v>
      </c>
      <c r="D80" s="2">
        <v>-1.1291789728670001</v>
      </c>
      <c r="E80" s="2">
        <v>0.54740445425441697</v>
      </c>
      <c r="F80" s="8">
        <v>0.17725774522418999</v>
      </c>
      <c r="G80" s="2">
        <f t="shared" ref="G80:J80" si="232">C81-C80</f>
        <v>2.1991726445181992E-2</v>
      </c>
      <c r="H80" s="2">
        <f t="shared" si="232"/>
        <v>-3.1737648314698053E-3</v>
      </c>
      <c r="I80" s="2">
        <f t="shared" si="232"/>
        <v>-3.9257946909689867E-3</v>
      </c>
      <c r="J80" s="2">
        <f t="shared" si="232"/>
        <v>-1.9634449695530021E-3</v>
      </c>
      <c r="L80" s="2">
        <v>7.4999999999999997E-2</v>
      </c>
      <c r="M80" s="7">
        <v>0.21056859319184101</v>
      </c>
      <c r="N80" s="2">
        <v>-1.18213586955521</v>
      </c>
      <c r="O80" s="2">
        <v>0.48189931606450298</v>
      </c>
      <c r="P80" s="8">
        <v>0.14449603856770199</v>
      </c>
      <c r="Q80" s="2">
        <f t="shared" ref="Q80:T80" si="233">M81-M80</f>
        <v>2.4050368603591998E-2</v>
      </c>
      <c r="R80" s="2">
        <f t="shared" si="233"/>
        <v>-3.4708604732900383E-3</v>
      </c>
      <c r="S80" s="2">
        <f t="shared" si="233"/>
        <v>-4.2932877332189645E-3</v>
      </c>
      <c r="T80" s="2">
        <f t="shared" si="233"/>
        <v>-2.1472427536819993E-3</v>
      </c>
      <c r="V80" s="2">
        <v>0.115</v>
      </c>
      <c r="W80" s="7">
        <v>0.612592216404794</v>
      </c>
      <c r="X80" s="2">
        <v>-1.24015443576262</v>
      </c>
      <c r="Y80" s="2">
        <v>0.410133135742967</v>
      </c>
      <c r="Z80" s="8">
        <v>0.108602937468748</v>
      </c>
      <c r="AA80" s="2">
        <f t="shared" ref="AA80:AD80" si="234">W81-W80</f>
        <v>2.6402696943191972E-2</v>
      </c>
      <c r="AB80" s="2">
        <f t="shared" si="234"/>
        <v>-3.8103398213600315E-3</v>
      </c>
      <c r="AC80" s="2">
        <f t="shared" si="234"/>
        <v>-4.713207384838991E-3</v>
      </c>
      <c r="AD80" s="2">
        <f t="shared" si="234"/>
        <v>-2.3572611556900019E-3</v>
      </c>
    </row>
    <row r="81" spans="1:30" ht="14.25" customHeight="1" x14ac:dyDescent="0.3">
      <c r="A81" s="3"/>
      <c r="B81" s="2">
        <f t="shared" si="144"/>
        <v>3.7500000000000006E-2</v>
      </c>
      <c r="C81" s="7">
        <v>-0.13438986325091801</v>
      </c>
      <c r="D81" s="2">
        <v>-1.1323527376984699</v>
      </c>
      <c r="E81" s="2">
        <v>0.54347865956344799</v>
      </c>
      <c r="F81" s="8">
        <v>0.17529430025463699</v>
      </c>
      <c r="G81" s="2">
        <f t="shared" ref="G81:J81" si="235">C82-C81</f>
        <v>2.2112702785331007E-2</v>
      </c>
      <c r="H81" s="2">
        <f t="shared" si="235"/>
        <v>-3.1912236905902169E-3</v>
      </c>
      <c r="I81" s="2">
        <f t="shared" si="235"/>
        <v>-3.9473904613119837E-3</v>
      </c>
      <c r="J81" s="2">
        <f t="shared" si="235"/>
        <v>-1.9742458672019902E-3</v>
      </c>
      <c r="L81" s="2">
        <v>7.7499999999999999E-2</v>
      </c>
      <c r="M81" s="7">
        <v>0.23461896179543301</v>
      </c>
      <c r="N81" s="2">
        <v>-1.1856067300285</v>
      </c>
      <c r="O81" s="2">
        <v>0.47760602833128402</v>
      </c>
      <c r="P81" s="8">
        <v>0.14234879581401999</v>
      </c>
      <c r="Q81" s="2">
        <f t="shared" ref="Q81:T81" si="236">M82-M81</f>
        <v>2.4188256560821964E-2</v>
      </c>
      <c r="R81" s="2">
        <f t="shared" si="236"/>
        <v>-3.4907599545999091E-3</v>
      </c>
      <c r="S81" s="2">
        <f t="shared" si="236"/>
        <v>-4.3179024360180396E-3</v>
      </c>
      <c r="T81" s="2">
        <f t="shared" si="236"/>
        <v>-2.1595535386939868E-3</v>
      </c>
      <c r="V81" s="2">
        <v>0.11749999999999999</v>
      </c>
      <c r="W81" s="7">
        <v>0.63899491334798597</v>
      </c>
      <c r="X81" s="2">
        <v>-1.24396477558398</v>
      </c>
      <c r="Y81" s="2">
        <v>0.40541992835812801</v>
      </c>
      <c r="Z81" s="8">
        <v>0.10624567631305799</v>
      </c>
      <c r="AA81" s="2">
        <f t="shared" ref="AA81:AD81" si="237">W82-W81</f>
        <v>2.6560695832311021E-2</v>
      </c>
      <c r="AB81" s="2">
        <f t="shared" si="237"/>
        <v>-3.8331416381500727E-3</v>
      </c>
      <c r="AC81" s="2">
        <f t="shared" si="237"/>
        <v>-4.7414121372509888E-3</v>
      </c>
      <c r="AD81" s="2">
        <f t="shared" si="237"/>
        <v>-2.3713674662799999E-3</v>
      </c>
    </row>
    <row r="82" spans="1:30" ht="14.25" customHeight="1" x14ac:dyDescent="0.3">
      <c r="A82" s="3"/>
      <c r="B82" s="2">
        <f t="shared" si="144"/>
        <v>0.04</v>
      </c>
      <c r="C82" s="7">
        <v>-0.112277160465587</v>
      </c>
      <c r="D82" s="2">
        <v>-1.1355439613890601</v>
      </c>
      <c r="E82" s="2">
        <v>0.539531269102136</v>
      </c>
      <c r="F82" s="8">
        <v>0.173320054387435</v>
      </c>
      <c r="G82" s="9">
        <f t="shared" ref="G82:J82" si="238">AVERAGE(G75:G81)</f>
        <v>2.1754550001906285E-2</v>
      </c>
      <c r="H82" s="9">
        <f t="shared" si="238"/>
        <v>-3.1395364021400102E-3</v>
      </c>
      <c r="I82" s="9">
        <f t="shared" si="238"/>
        <v>-3.8834557675331443E-3</v>
      </c>
      <c r="J82" s="9">
        <f t="shared" si="238"/>
        <v>-1.9422696018214264E-3</v>
      </c>
      <c r="L82" s="2">
        <v>0.08</v>
      </c>
      <c r="M82" s="7">
        <v>0.25880721835625498</v>
      </c>
      <c r="N82" s="2">
        <v>-1.1890974899830999</v>
      </c>
      <c r="O82" s="2">
        <v>0.47328812589526598</v>
      </c>
      <c r="P82" s="8">
        <v>0.140189242275326</v>
      </c>
      <c r="Q82" s="9">
        <f t="shared" ref="Q82:T82" si="239">AVERAGE(Q75:Q81)</f>
        <v>2.3780250518567168E-2</v>
      </c>
      <c r="R82" s="9">
        <f t="shared" si="239"/>
        <v>-3.4318780277485645E-3</v>
      </c>
      <c r="S82" s="9">
        <f t="shared" si="239"/>
        <v>-4.2450683200370076E-3</v>
      </c>
      <c r="T82" s="9">
        <f t="shared" si="239"/>
        <v>-2.12312632078757E-3</v>
      </c>
      <c r="V82" s="2">
        <v>0.12</v>
      </c>
      <c r="W82" s="7">
        <v>0.66555560918029699</v>
      </c>
      <c r="X82" s="2">
        <v>-1.2477979172221301</v>
      </c>
      <c r="Y82" s="2">
        <v>0.40067851622087702</v>
      </c>
      <c r="Z82" s="8">
        <v>0.10387430884677799</v>
      </c>
      <c r="AA82" s="9">
        <f t="shared" ref="AA82:AD82" si="240">AVERAGE(AA75:AA81)</f>
        <v>2.6093444556378995E-2</v>
      </c>
      <c r="AB82" s="9">
        <f t="shared" si="240"/>
        <v>-3.7657096577414467E-3</v>
      </c>
      <c r="AC82" s="9">
        <f t="shared" si="240"/>
        <v>-4.658002015595567E-3</v>
      </c>
      <c r="AD82" s="9">
        <f t="shared" si="240"/>
        <v>-2.3296507702634289E-3</v>
      </c>
    </row>
    <row r="83" spans="1:30" ht="14.25" customHeight="1" x14ac:dyDescent="0.3">
      <c r="A83" s="3" t="s">
        <v>4</v>
      </c>
      <c r="B83" s="2">
        <f t="shared" si="144"/>
        <v>2.2499999999999999E-2</v>
      </c>
      <c r="C83" s="7">
        <v>-0.45208608752866197</v>
      </c>
      <c r="D83" s="2">
        <v>-0.976584609324746</v>
      </c>
      <c r="E83" s="2">
        <v>0.47433711103528697</v>
      </c>
      <c r="F83" s="8">
        <v>0.271660024973294</v>
      </c>
      <c r="G83" s="2">
        <f t="shared" ref="G83:J83" si="241">C84-C83</f>
        <v>0</v>
      </c>
      <c r="H83" s="2">
        <f t="shared" si="241"/>
        <v>1.2523892555449945E-2</v>
      </c>
      <c r="I83" s="2">
        <f t="shared" si="241"/>
        <v>-1.4339464510036981E-2</v>
      </c>
      <c r="J83" s="2">
        <f t="shared" si="241"/>
        <v>7.747887806082987E-3</v>
      </c>
      <c r="K83" s="3" t="s">
        <v>4</v>
      </c>
      <c r="L83" s="5">
        <v>6.25E-2</v>
      </c>
      <c r="M83" s="7">
        <v>-0.45208608752866197</v>
      </c>
      <c r="N83" s="2">
        <v>-0.76827517828922998</v>
      </c>
      <c r="O83" s="2">
        <v>0.235829340370494</v>
      </c>
      <c r="P83" s="8">
        <v>0.40053034971200102</v>
      </c>
      <c r="Q83" s="2">
        <f t="shared" ref="Q83:T83" si="242">M84-M83</f>
        <v>0</v>
      </c>
      <c r="R83" s="2">
        <f t="shared" si="242"/>
        <v>1.3603596531638007E-2</v>
      </c>
      <c r="S83" s="2">
        <f t="shared" si="242"/>
        <v>-1.5575691727725993E-2</v>
      </c>
      <c r="T83" s="2">
        <f t="shared" si="242"/>
        <v>8.4158450912789617E-3</v>
      </c>
      <c r="U83" s="3" t="s">
        <v>4</v>
      </c>
      <c r="V83" s="5">
        <v>0.10249999999999999</v>
      </c>
      <c r="W83" s="7">
        <v>-0.45208608752866197</v>
      </c>
      <c r="X83" s="2">
        <v>-0.54167705920002596</v>
      </c>
      <c r="Y83" s="2">
        <v>-2.3618404996312799E-2</v>
      </c>
      <c r="Z83" s="8">
        <v>0.54071494455749103</v>
      </c>
      <c r="AA83" s="2">
        <f t="shared" ref="AA83:AD83" si="243">W84-W83</f>
        <v>0</v>
      </c>
      <c r="AB83" s="2">
        <f t="shared" si="243"/>
        <v>1.4822212574741922E-2</v>
      </c>
      <c r="AC83" s="2">
        <f t="shared" si="243"/>
        <v>-1.6970968908854703E-2</v>
      </c>
      <c r="AD83" s="2">
        <f t="shared" si="243"/>
        <v>9.1697401234119846E-3</v>
      </c>
    </row>
    <row r="84" spans="1:30" ht="14.25" customHeight="1" x14ac:dyDescent="0.3">
      <c r="A84" s="3"/>
      <c r="B84" s="2">
        <f t="shared" si="144"/>
        <v>2.5000000000000001E-2</v>
      </c>
      <c r="C84" s="7">
        <v>-0.45208608752866197</v>
      </c>
      <c r="D84" s="2">
        <v>-0.96406071676929606</v>
      </c>
      <c r="E84" s="2">
        <v>0.45999764652524999</v>
      </c>
      <c r="F84" s="8">
        <v>0.27940791277937699</v>
      </c>
      <c r="G84" s="2">
        <f t="shared" ref="G84:J84" si="244">C85-C84</f>
        <v>0</v>
      </c>
      <c r="H84" s="2">
        <f t="shared" si="244"/>
        <v>1.2587692287994057E-2</v>
      </c>
      <c r="I84" s="2">
        <f t="shared" si="244"/>
        <v>-1.4412513204493993E-2</v>
      </c>
      <c r="J84" s="2">
        <f t="shared" si="244"/>
        <v>7.7873574172779847E-3</v>
      </c>
      <c r="L84" s="2">
        <v>6.5000000000000002E-2</v>
      </c>
      <c r="M84" s="7">
        <v>-0.45208608752866197</v>
      </c>
      <c r="N84" s="2">
        <v>-0.75467158175759197</v>
      </c>
      <c r="O84" s="2">
        <v>0.220253648642768</v>
      </c>
      <c r="P84" s="8">
        <v>0.40894619480327998</v>
      </c>
      <c r="Q84" s="2">
        <f t="shared" ref="Q84:T84" si="245">M85-M84</f>
        <v>0</v>
      </c>
      <c r="R84" s="2">
        <f t="shared" si="245"/>
        <v>1.3675467847847012E-2</v>
      </c>
      <c r="S84" s="2">
        <f t="shared" si="245"/>
        <v>-1.5657982132496001E-2</v>
      </c>
      <c r="T84" s="2">
        <f t="shared" si="245"/>
        <v>8.4603081758840015E-3</v>
      </c>
      <c r="V84" s="2">
        <v>0.105</v>
      </c>
      <c r="W84" s="7">
        <v>-0.45208608752866197</v>
      </c>
      <c r="X84" s="2">
        <v>-0.52685484662528403</v>
      </c>
      <c r="Y84" s="2">
        <v>-4.0589373905167501E-2</v>
      </c>
      <c r="Z84" s="8">
        <v>0.54988468468090301</v>
      </c>
      <c r="AA84" s="2">
        <f t="shared" ref="AA84:AD84" si="246">W85-W84</f>
        <v>0</v>
      </c>
      <c r="AB84" s="2">
        <f t="shared" si="246"/>
        <v>1.4903501200436042E-2</v>
      </c>
      <c r="AC84" s="2">
        <f t="shared" si="246"/>
        <v>-1.7064041837865598E-2</v>
      </c>
      <c r="AD84" s="2">
        <f t="shared" si="246"/>
        <v>9.2200292127799788E-3</v>
      </c>
    </row>
    <row r="85" spans="1:30" ht="14.25" customHeight="1" x14ac:dyDescent="0.3">
      <c r="A85" s="3"/>
      <c r="B85" s="2">
        <f t="shared" si="144"/>
        <v>2.75E-2</v>
      </c>
      <c r="C85" s="7">
        <v>-0.45208608752866197</v>
      </c>
      <c r="D85" s="2">
        <v>-0.951473024481302</v>
      </c>
      <c r="E85" s="2">
        <v>0.445585133320756</v>
      </c>
      <c r="F85" s="8">
        <v>0.28719527019665497</v>
      </c>
      <c r="G85" s="2">
        <f t="shared" ref="G85:J85" si="247">C86-C85</f>
        <v>0</v>
      </c>
      <c r="H85" s="2">
        <f t="shared" si="247"/>
        <v>1.2651961499301034E-2</v>
      </c>
      <c r="I85" s="2">
        <f t="shared" si="247"/>
        <v>-1.4486099437464983E-2</v>
      </c>
      <c r="J85" s="2">
        <f t="shared" si="247"/>
        <v>7.827117470824041E-3</v>
      </c>
      <c r="L85" s="2">
        <v>6.7500000000000004E-2</v>
      </c>
      <c r="M85" s="7">
        <v>-0.45208608752866197</v>
      </c>
      <c r="N85" s="2">
        <v>-0.74099611390974496</v>
      </c>
      <c r="O85" s="2">
        <v>0.204595666510272</v>
      </c>
      <c r="P85" s="8">
        <v>0.41740650297916398</v>
      </c>
      <c r="Q85" s="2">
        <f t="shared" ref="Q85:T85" si="248">M86-M85</f>
        <v>0</v>
      </c>
      <c r="R85" s="2">
        <f t="shared" si="248"/>
        <v>1.3747885765453938E-2</v>
      </c>
      <c r="S85" s="2">
        <f t="shared" si="248"/>
        <v>-1.5740898378819007E-2</v>
      </c>
      <c r="T85" s="2">
        <f t="shared" si="248"/>
        <v>8.5051094146800232E-3</v>
      </c>
      <c r="V85" s="2">
        <v>0.1075</v>
      </c>
      <c r="W85" s="7">
        <v>-0.45208608752866197</v>
      </c>
      <c r="X85" s="2">
        <v>-0.51195134542484799</v>
      </c>
      <c r="Y85" s="2">
        <v>-5.76534157430331E-2</v>
      </c>
      <c r="Z85" s="8">
        <v>0.55910471389368299</v>
      </c>
      <c r="AA85" s="2">
        <f t="shared" ref="AA85:AD85" si="249">W86-W85</f>
        <v>0</v>
      </c>
      <c r="AB85" s="2">
        <f t="shared" si="249"/>
        <v>1.4985429011432017E-2</v>
      </c>
      <c r="AC85" s="2">
        <f t="shared" si="249"/>
        <v>-1.7157846614058496E-2</v>
      </c>
      <c r="AD85" s="2">
        <f t="shared" si="249"/>
        <v>9.2707137331740075E-3</v>
      </c>
    </row>
    <row r="86" spans="1:30" ht="14.25" customHeight="1" x14ac:dyDescent="0.3">
      <c r="A86" s="3"/>
      <c r="B86" s="2">
        <f t="shared" si="144"/>
        <v>0.03</v>
      </c>
      <c r="C86" s="7">
        <v>-0.45208608752866197</v>
      </c>
      <c r="D86" s="2">
        <v>-0.93882106298200096</v>
      </c>
      <c r="E86" s="2">
        <v>0.43109903388329102</v>
      </c>
      <c r="F86" s="8">
        <v>0.29502238766747901</v>
      </c>
      <c r="G86" s="2">
        <f t="shared" ref="G86:J86" si="250">C87-C86</f>
        <v>0</v>
      </c>
      <c r="H86" s="2">
        <f t="shared" si="250"/>
        <v>1.2716704613395913E-2</v>
      </c>
      <c r="I86" s="2">
        <f t="shared" si="250"/>
        <v>-1.4560228274161036E-2</v>
      </c>
      <c r="J86" s="2">
        <f t="shared" si="250"/>
        <v>7.8671707036490068E-3</v>
      </c>
      <c r="L86" s="2">
        <v>7.0000000000000007E-2</v>
      </c>
      <c r="M86" s="7">
        <v>-0.45208608752866197</v>
      </c>
      <c r="N86" s="2">
        <v>-0.72724822814429102</v>
      </c>
      <c r="O86" s="2">
        <v>0.18885476813145299</v>
      </c>
      <c r="P86" s="8">
        <v>0.42591161239384401</v>
      </c>
      <c r="Q86" s="2">
        <f t="shared" ref="Q86:T86" si="251">M87-M86</f>
        <v>0</v>
      </c>
      <c r="R86" s="2">
        <f t="shared" si="251"/>
        <v>1.3820855585238045E-2</v>
      </c>
      <c r="S86" s="2">
        <f t="shared" si="251"/>
        <v>-1.5824446535706999E-2</v>
      </c>
      <c r="T86" s="2">
        <f t="shared" si="251"/>
        <v>8.5502520869009668E-3</v>
      </c>
      <c r="V86" s="2">
        <v>0.11</v>
      </c>
      <c r="W86" s="7">
        <v>-0.45208608752866197</v>
      </c>
      <c r="X86" s="2">
        <v>-0.49696591641341598</v>
      </c>
      <c r="Y86" s="2">
        <v>-7.4811262357091596E-2</v>
      </c>
      <c r="Z86" s="8">
        <v>0.568375427626857</v>
      </c>
      <c r="AA86" s="2">
        <f t="shared" ref="AA86:AD86" si="252">W87-W86</f>
        <v>0</v>
      </c>
      <c r="AB86" s="2">
        <f t="shared" si="252"/>
        <v>1.5068002383912982E-2</v>
      </c>
      <c r="AC86" s="2">
        <f t="shared" si="252"/>
        <v>-1.7252390537935702E-2</v>
      </c>
      <c r="AD86" s="2">
        <f t="shared" si="252"/>
        <v>9.3217976292609972E-3</v>
      </c>
    </row>
    <row r="87" spans="1:30" ht="14.25" customHeight="1" x14ac:dyDescent="0.3">
      <c r="A87" s="3"/>
      <c r="B87" s="2">
        <f t="shared" si="144"/>
        <v>3.2500000000000001E-2</v>
      </c>
      <c r="C87" s="7">
        <v>-0.45208608752866197</v>
      </c>
      <c r="D87" s="2">
        <v>-0.92610435836860505</v>
      </c>
      <c r="E87" s="2">
        <v>0.41653880560912998</v>
      </c>
      <c r="F87" s="8">
        <v>0.30288955837112802</v>
      </c>
      <c r="G87" s="2">
        <f t="shared" ref="G87:J87" si="253">C88-C87</f>
        <v>0</v>
      </c>
      <c r="H87" s="2">
        <f t="shared" si="253"/>
        <v>1.2781926104055041E-2</v>
      </c>
      <c r="I87" s="2">
        <f t="shared" si="253"/>
        <v>-1.4634904837151963E-2</v>
      </c>
      <c r="J87" s="2">
        <f t="shared" si="253"/>
        <v>7.9075198834069882E-3</v>
      </c>
      <c r="L87" s="2">
        <v>7.2499999999999995E-2</v>
      </c>
      <c r="M87" s="7">
        <v>-0.45208608752866197</v>
      </c>
      <c r="N87" s="2">
        <v>-0.71342737255905297</v>
      </c>
      <c r="O87" s="2">
        <v>0.173030321595746</v>
      </c>
      <c r="P87" s="8">
        <v>0.43446186448074497</v>
      </c>
      <c r="Q87" s="2">
        <f t="shared" ref="Q87:T87" si="254">M88-M87</f>
        <v>0</v>
      </c>
      <c r="R87" s="2">
        <f t="shared" si="254"/>
        <v>1.3894382668637961E-2</v>
      </c>
      <c r="S87" s="2">
        <f t="shared" si="254"/>
        <v>-1.5908632742146989E-2</v>
      </c>
      <c r="T87" s="2">
        <f t="shared" si="254"/>
        <v>8.5957395095070388E-3</v>
      </c>
      <c r="V87" s="2">
        <v>0.1125</v>
      </c>
      <c r="W87" s="7">
        <v>-0.45208608752866197</v>
      </c>
      <c r="X87" s="2">
        <v>-0.48189791402950299</v>
      </c>
      <c r="Y87" s="2">
        <v>-9.2063652895027298E-2</v>
      </c>
      <c r="Z87" s="8">
        <v>0.577697225256118</v>
      </c>
      <c r="AA87" s="2">
        <f t="shared" ref="AA87:AD87" si="255">W88-W87</f>
        <v>0</v>
      </c>
      <c r="AB87" s="2">
        <f t="shared" si="255"/>
        <v>1.5151227768981979E-2</v>
      </c>
      <c r="AC87" s="2">
        <f t="shared" si="255"/>
        <v>-1.7347680995791703E-2</v>
      </c>
      <c r="AD87" s="2">
        <f t="shared" si="255"/>
        <v>9.3732848919489964E-3</v>
      </c>
    </row>
    <row r="88" spans="1:30" ht="14.25" customHeight="1" x14ac:dyDescent="0.3">
      <c r="A88" s="3"/>
      <c r="B88" s="2">
        <f t="shared" si="144"/>
        <v>3.5000000000000003E-2</v>
      </c>
      <c r="C88" s="7">
        <v>-0.45208608752866197</v>
      </c>
      <c r="D88" s="2">
        <v>-0.91332243226455001</v>
      </c>
      <c r="E88" s="2">
        <v>0.40190390077197802</v>
      </c>
      <c r="F88" s="8">
        <v>0.31079707825453501</v>
      </c>
      <c r="G88" s="2">
        <f t="shared" ref="G88:J88" si="256">C89-C88</f>
        <v>0</v>
      </c>
      <c r="H88" s="2">
        <f t="shared" si="256"/>
        <v>1.284763049542903E-2</v>
      </c>
      <c r="I88" s="2">
        <f t="shared" si="256"/>
        <v>-1.4710134306211042E-2</v>
      </c>
      <c r="J88" s="2">
        <f t="shared" si="256"/>
        <v>7.9481678090039809E-3</v>
      </c>
      <c r="L88" s="2">
        <v>7.4999999999999997E-2</v>
      </c>
      <c r="M88" s="7">
        <v>-0.45208608752866197</v>
      </c>
      <c r="N88" s="2">
        <v>-0.69953298989041501</v>
      </c>
      <c r="O88" s="2">
        <v>0.15712168885359901</v>
      </c>
      <c r="P88" s="8">
        <v>0.44305760399025201</v>
      </c>
      <c r="Q88" s="2">
        <f t="shared" ref="Q88:T88" si="257">M89-M88</f>
        <v>0</v>
      </c>
      <c r="R88" s="2">
        <f t="shared" si="257"/>
        <v>1.3968472439132018E-2</v>
      </c>
      <c r="S88" s="2">
        <f t="shared" si="257"/>
        <v>-1.5993463207511993E-2</v>
      </c>
      <c r="T88" s="2">
        <f t="shared" si="257"/>
        <v>8.6415750375999911E-3</v>
      </c>
      <c r="V88" s="2">
        <v>0.115</v>
      </c>
      <c r="W88" s="7">
        <v>-0.45208608752866197</v>
      </c>
      <c r="X88" s="2">
        <v>-0.46674668626052102</v>
      </c>
      <c r="Y88" s="2">
        <v>-0.109411333890819</v>
      </c>
      <c r="Z88" s="8">
        <v>0.58707051014806699</v>
      </c>
      <c r="AA88" s="2">
        <f t="shared" ref="AA88:AD88" si="258">W89-W88</f>
        <v>0</v>
      </c>
      <c r="AB88" s="2">
        <f t="shared" si="258"/>
        <v>1.5235111693542025E-2</v>
      </c>
      <c r="AC88" s="2">
        <f t="shared" si="258"/>
        <v>-1.7443725460707993E-2</v>
      </c>
      <c r="AD88" s="2">
        <f t="shared" si="258"/>
        <v>9.425179559175989E-3</v>
      </c>
    </row>
    <row r="89" spans="1:30" ht="14.25" customHeight="1" x14ac:dyDescent="0.3">
      <c r="A89" s="3"/>
      <c r="B89" s="2">
        <f t="shared" si="144"/>
        <v>3.7500000000000006E-2</v>
      </c>
      <c r="C89" s="7">
        <v>-0.45208608752866197</v>
      </c>
      <c r="D89" s="2">
        <v>-0.90047480176912098</v>
      </c>
      <c r="E89" s="2">
        <v>0.38719376646576698</v>
      </c>
      <c r="F89" s="8">
        <v>0.31874524606353899</v>
      </c>
      <c r="G89" s="2">
        <f t="shared" ref="G89:J89" si="259">C90-C89</f>
        <v>0</v>
      </c>
      <c r="H89" s="2">
        <f t="shared" si="259"/>
        <v>1.2913822362590976E-2</v>
      </c>
      <c r="I89" s="2">
        <f t="shared" si="259"/>
        <v>-1.4785921919906964E-2</v>
      </c>
      <c r="J89" s="2">
        <f t="shared" si="259"/>
        <v>7.9891173107889957E-3</v>
      </c>
      <c r="L89" s="2">
        <v>7.7499999999999999E-2</v>
      </c>
      <c r="M89" s="7">
        <v>-0.45208608752866197</v>
      </c>
      <c r="N89" s="2">
        <v>-0.685564517451283</v>
      </c>
      <c r="O89" s="2">
        <v>0.14112822564608701</v>
      </c>
      <c r="P89" s="8">
        <v>0.451699179027852</v>
      </c>
      <c r="Q89" s="2">
        <f t="shared" ref="Q89:T89" si="260">M90-M89</f>
        <v>0</v>
      </c>
      <c r="R89" s="2">
        <f t="shared" si="260"/>
        <v>1.4043130382547009E-2</v>
      </c>
      <c r="S89" s="2">
        <f t="shared" si="260"/>
        <v>-1.6078944213161001E-2</v>
      </c>
      <c r="T89" s="2">
        <f t="shared" si="260"/>
        <v>8.6877620650649967E-3</v>
      </c>
      <c r="V89" s="2">
        <v>0.11749999999999999</v>
      </c>
      <c r="W89" s="7">
        <v>-0.45208608752866197</v>
      </c>
      <c r="X89" s="2">
        <v>-0.45151157456697899</v>
      </c>
      <c r="Y89" s="2">
        <v>-0.12685505935152699</v>
      </c>
      <c r="Z89" s="8">
        <v>0.59649568970724298</v>
      </c>
      <c r="AA89" s="2">
        <f t="shared" ref="AA89:AD89" si="261">W90-W89</f>
        <v>0</v>
      </c>
      <c r="AB89" s="2">
        <f t="shared" si="261"/>
        <v>1.5319660761277998E-2</v>
      </c>
      <c r="AC89" s="2">
        <f t="shared" si="261"/>
        <v>-1.7540531493674016E-2</v>
      </c>
      <c r="AD89" s="2">
        <f t="shared" si="261"/>
        <v>9.4774857162309711E-3</v>
      </c>
    </row>
    <row r="90" spans="1:30" ht="14.25" customHeight="1" x14ac:dyDescent="0.3">
      <c r="A90" s="3"/>
      <c r="B90" s="2">
        <f t="shared" si="144"/>
        <v>0.04</v>
      </c>
      <c r="C90" s="7">
        <v>-0.45208608752866197</v>
      </c>
      <c r="D90" s="2">
        <v>-0.88756097940653</v>
      </c>
      <c r="E90" s="2">
        <v>0.37240784454586001</v>
      </c>
      <c r="F90" s="8">
        <v>0.32673436337432799</v>
      </c>
      <c r="G90" s="9">
        <f t="shared" ref="G90:J90" si="262">AVERAGE(G83:G89)</f>
        <v>0</v>
      </c>
      <c r="H90" s="9">
        <f t="shared" si="262"/>
        <v>1.2717661416888E-2</v>
      </c>
      <c r="I90" s="9">
        <f t="shared" si="262"/>
        <v>-1.4561323784203852E-2</v>
      </c>
      <c r="J90" s="9">
        <f t="shared" si="262"/>
        <v>7.8677626287191414E-3</v>
      </c>
      <c r="L90" s="2">
        <v>0.08</v>
      </c>
      <c r="M90" s="7">
        <v>-0.45208608752866197</v>
      </c>
      <c r="N90" s="2">
        <v>-0.67152138706873599</v>
      </c>
      <c r="O90" s="2">
        <v>0.12504928143292601</v>
      </c>
      <c r="P90" s="8">
        <v>0.460386941092917</v>
      </c>
      <c r="Q90" s="9">
        <f t="shared" ref="Q90:T90" si="263">AVERAGE(Q83:Q89)</f>
        <v>0</v>
      </c>
      <c r="R90" s="9">
        <f t="shared" si="263"/>
        <v>1.3821970174356284E-2</v>
      </c>
      <c r="S90" s="9">
        <f t="shared" si="263"/>
        <v>-1.5825722705366856E-2</v>
      </c>
      <c r="T90" s="9">
        <f t="shared" si="263"/>
        <v>8.5509416258451407E-3</v>
      </c>
      <c r="V90" s="2">
        <v>0.12</v>
      </c>
      <c r="W90" s="7">
        <v>-0.45208608752866197</v>
      </c>
      <c r="X90" s="2">
        <v>-0.43619191380570099</v>
      </c>
      <c r="Y90" s="2">
        <v>-0.14439559084520101</v>
      </c>
      <c r="Z90" s="8">
        <v>0.60597317542347395</v>
      </c>
      <c r="AA90" s="9">
        <f t="shared" ref="AA90:AD90" si="264">AVERAGE(AA83:AA89)</f>
        <v>0</v>
      </c>
      <c r="AB90" s="9">
        <f t="shared" si="264"/>
        <v>1.5069306484903566E-2</v>
      </c>
      <c r="AC90" s="9">
        <f t="shared" si="264"/>
        <v>-1.7253883692698316E-2</v>
      </c>
      <c r="AD90" s="9">
        <f t="shared" si="264"/>
        <v>9.3226044094261318E-3</v>
      </c>
    </row>
    <row r="91" spans="1:30" ht="14.25" customHeight="1" x14ac:dyDescent="0.3">
      <c r="A91" s="3" t="s">
        <v>5</v>
      </c>
      <c r="B91" s="2">
        <f t="shared" si="144"/>
        <v>2.2499999999999999E-2</v>
      </c>
      <c r="C91" s="7">
        <v>-0.45208608752866197</v>
      </c>
      <c r="D91" s="2">
        <v>-1.0176665665539599</v>
      </c>
      <c r="E91" s="2">
        <v>0.60019135802822399</v>
      </c>
      <c r="F91" s="8">
        <v>0.159700912072434</v>
      </c>
      <c r="G91" s="2">
        <f t="shared" ref="G91:J91" si="265">C92-C91</f>
        <v>0</v>
      </c>
      <c r="H91" s="2">
        <f t="shared" si="265"/>
        <v>7.8379828413599473E-3</v>
      </c>
      <c r="I91" s="2">
        <f t="shared" si="265"/>
        <v>0</v>
      </c>
      <c r="J91" s="2">
        <f t="shared" si="265"/>
        <v>-5.0051160290910113E-3</v>
      </c>
      <c r="K91" s="3" t="s">
        <v>5</v>
      </c>
      <c r="L91" s="5">
        <v>6.25E-2</v>
      </c>
      <c r="M91" s="7">
        <v>-0.45208608752866197</v>
      </c>
      <c r="N91" s="2">
        <v>-0.88742319009641302</v>
      </c>
      <c r="O91" s="2">
        <v>0.60019135802822399</v>
      </c>
      <c r="P91" s="8">
        <v>7.6531144494705397E-2</v>
      </c>
      <c r="Q91" s="2">
        <f t="shared" ref="Q91:T91" si="266">M92-M91</f>
        <v>0</v>
      </c>
      <c r="R91" s="2">
        <f t="shared" si="266"/>
        <v>8.4967794769280625E-3</v>
      </c>
      <c r="S91" s="2">
        <f t="shared" si="266"/>
        <v>0</v>
      </c>
      <c r="T91" s="2">
        <f t="shared" si="266"/>
        <v>-5.4258050848728923E-3</v>
      </c>
      <c r="U91" s="3" t="s">
        <v>5</v>
      </c>
      <c r="V91" s="5">
        <v>0.10249999999999999</v>
      </c>
      <c r="W91" s="7">
        <v>-0.45208608752866197</v>
      </c>
      <c r="X91" s="2">
        <v>-0.74601175115951401</v>
      </c>
      <c r="Y91" s="2">
        <v>0.60019135802822399</v>
      </c>
      <c r="Z91" s="8">
        <v>-1.3770234578102799E-2</v>
      </c>
      <c r="AA91" s="2">
        <f t="shared" ref="AA91:AD91" si="267">W92-W91</f>
        <v>0</v>
      </c>
      <c r="AB91" s="2">
        <f t="shared" si="267"/>
        <v>9.2417016011410169E-3</v>
      </c>
      <c r="AC91" s="2">
        <f t="shared" si="267"/>
        <v>0</v>
      </c>
      <c r="AD91" s="2">
        <f t="shared" si="267"/>
        <v>-5.901491462322302E-3</v>
      </c>
    </row>
    <row r="92" spans="1:30" ht="14.25" customHeight="1" x14ac:dyDescent="0.3">
      <c r="A92" s="3"/>
      <c r="B92" s="2">
        <f t="shared" si="144"/>
        <v>2.5000000000000001E-2</v>
      </c>
      <c r="C92" s="7">
        <v>-0.45208608752866197</v>
      </c>
      <c r="D92" s="2">
        <v>-1.0098285837126</v>
      </c>
      <c r="E92" s="2">
        <v>0.60019135802822399</v>
      </c>
      <c r="F92" s="8">
        <v>0.15469579604334299</v>
      </c>
      <c r="G92" s="2">
        <f t="shared" ref="G92:J92" si="268">C93-C92</f>
        <v>0</v>
      </c>
      <c r="H92" s="2">
        <f t="shared" si="268"/>
        <v>7.8768875276100658E-3</v>
      </c>
      <c r="I92" s="2">
        <f t="shared" si="268"/>
        <v>0</v>
      </c>
      <c r="J92" s="2">
        <f t="shared" si="268"/>
        <v>-5.0299594706989803E-3</v>
      </c>
      <c r="L92" s="2">
        <v>6.5000000000000002E-2</v>
      </c>
      <c r="M92" s="7">
        <v>-0.45208608752866197</v>
      </c>
      <c r="N92" s="2">
        <v>-0.87892641061948495</v>
      </c>
      <c r="O92" s="2">
        <v>0.60019135802822399</v>
      </c>
      <c r="P92" s="8">
        <v>7.1105339409832505E-2</v>
      </c>
      <c r="Q92" s="2">
        <f t="shared" ref="Q92:T92" si="269">M93-M92</f>
        <v>0</v>
      </c>
      <c r="R92" s="2">
        <f t="shared" si="269"/>
        <v>8.5406680524469092E-3</v>
      </c>
      <c r="S92" s="2">
        <f t="shared" si="269"/>
        <v>0</v>
      </c>
      <c r="T92" s="2">
        <f t="shared" si="269"/>
        <v>-5.4538310983704014E-3</v>
      </c>
      <c r="V92" s="2">
        <v>0.105</v>
      </c>
      <c r="W92" s="7">
        <v>-0.45208608752866197</v>
      </c>
      <c r="X92" s="2">
        <v>-0.736770049558373</v>
      </c>
      <c r="Y92" s="2">
        <v>0.60019135802822399</v>
      </c>
      <c r="Z92" s="8">
        <v>-1.9671726040425101E-2</v>
      </c>
      <c r="AA92" s="2">
        <f t="shared" ref="AA92:AD92" si="270">W93-W92</f>
        <v>0</v>
      </c>
      <c r="AB92" s="2">
        <f t="shared" si="270"/>
        <v>9.291456824684019E-3</v>
      </c>
      <c r="AC92" s="2">
        <f t="shared" si="270"/>
        <v>0</v>
      </c>
      <c r="AD92" s="2">
        <f t="shared" si="270"/>
        <v>-5.9332637527250986E-3</v>
      </c>
    </row>
    <row r="93" spans="1:30" ht="14.25" customHeight="1" x14ac:dyDescent="0.3">
      <c r="A93" s="3"/>
      <c r="B93" s="2">
        <f t="shared" si="144"/>
        <v>2.75E-2</v>
      </c>
      <c r="C93" s="7">
        <v>-0.45208608752866197</v>
      </c>
      <c r="D93" s="2">
        <v>-1.0019516961849899</v>
      </c>
      <c r="E93" s="2">
        <v>0.60019135802822399</v>
      </c>
      <c r="F93" s="8">
        <v>0.14966583657264401</v>
      </c>
      <c r="G93" s="2">
        <f t="shared" ref="G93:J93" si="271">C94-C93</f>
        <v>0</v>
      </c>
      <c r="H93" s="2">
        <f t="shared" si="271"/>
        <v>7.9160810421269323E-3</v>
      </c>
      <c r="I93" s="2">
        <f t="shared" si="271"/>
        <v>0</v>
      </c>
      <c r="J93" s="2">
        <f t="shared" si="271"/>
        <v>-5.054987349892015E-3</v>
      </c>
      <c r="L93" s="2">
        <v>6.7500000000000004E-2</v>
      </c>
      <c r="M93" s="7">
        <v>-0.45208608752866197</v>
      </c>
      <c r="N93" s="2">
        <v>-0.87038574256703805</v>
      </c>
      <c r="O93" s="2">
        <v>0.60019135802822399</v>
      </c>
      <c r="P93" s="8">
        <v>6.5651508311462103E-2</v>
      </c>
      <c r="Q93" s="2">
        <f t="shared" ref="Q93:T93" si="272">M94-M93</f>
        <v>0</v>
      </c>
      <c r="R93" s="2">
        <f t="shared" si="272"/>
        <v>8.5848955715730479E-3</v>
      </c>
      <c r="S93" s="2">
        <f t="shared" si="272"/>
        <v>0</v>
      </c>
      <c r="T93" s="2">
        <f t="shared" si="272"/>
        <v>-5.4820735517283059E-3</v>
      </c>
      <c r="V93" s="2">
        <v>0.1075</v>
      </c>
      <c r="W93" s="7">
        <v>-0.45208608752866197</v>
      </c>
      <c r="X93" s="2">
        <v>-0.72747859273368898</v>
      </c>
      <c r="Y93" s="2">
        <v>0.60019135802822399</v>
      </c>
      <c r="Z93" s="8">
        <v>-2.56049897931502E-2</v>
      </c>
      <c r="AA93" s="2">
        <f t="shared" ref="AA93:AD93" si="273">W94-W93</f>
        <v>0</v>
      </c>
      <c r="AB93" s="2">
        <f t="shared" si="273"/>
        <v>9.3416123779659355E-3</v>
      </c>
      <c r="AC93" s="2">
        <f t="shared" si="273"/>
        <v>0</v>
      </c>
      <c r="AD93" s="2">
        <f t="shared" si="273"/>
        <v>-5.9652916824608007E-3</v>
      </c>
    </row>
    <row r="94" spans="1:30" ht="14.25" customHeight="1" x14ac:dyDescent="0.3">
      <c r="A94" s="3"/>
      <c r="B94" s="2">
        <f t="shared" si="144"/>
        <v>0.03</v>
      </c>
      <c r="C94" s="7">
        <v>-0.45208608752866197</v>
      </c>
      <c r="D94" s="2">
        <v>-0.99403561514286298</v>
      </c>
      <c r="E94" s="2">
        <v>0.60019135802822399</v>
      </c>
      <c r="F94" s="8">
        <v>0.144610849222752</v>
      </c>
      <c r="G94" s="2">
        <f t="shared" ref="G94:J94" si="274">C95-C94</f>
        <v>0</v>
      </c>
      <c r="H94" s="2">
        <f t="shared" si="274"/>
        <v>7.9555662351389334E-3</v>
      </c>
      <c r="I94" s="2">
        <f t="shared" si="274"/>
        <v>0</v>
      </c>
      <c r="J94" s="2">
        <f t="shared" si="274"/>
        <v>-5.080201486811986E-3</v>
      </c>
      <c r="L94" s="2">
        <v>7.0000000000000007E-2</v>
      </c>
      <c r="M94" s="7">
        <v>-0.45208608752866197</v>
      </c>
      <c r="N94" s="2">
        <v>-0.861800846995465</v>
      </c>
      <c r="O94" s="2">
        <v>0.60019135802822399</v>
      </c>
      <c r="P94" s="8">
        <v>6.0169434759733798E-2</v>
      </c>
      <c r="Q94" s="2">
        <f t="shared" ref="Q94:T94" si="275">M95-M94</f>
        <v>0</v>
      </c>
      <c r="R94" s="2">
        <f t="shared" si="275"/>
        <v>8.6294655123290154E-3</v>
      </c>
      <c r="S94" s="2">
        <f t="shared" si="275"/>
        <v>0</v>
      </c>
      <c r="T94" s="2">
        <f t="shared" si="275"/>
        <v>-5.5105346659862983E-3</v>
      </c>
      <c r="V94" s="2">
        <v>0.11</v>
      </c>
      <c r="W94" s="7">
        <v>-0.45208608752866197</v>
      </c>
      <c r="X94" s="2">
        <v>-0.71813698035572304</v>
      </c>
      <c r="Y94" s="2">
        <v>0.60019135802822399</v>
      </c>
      <c r="Z94" s="8">
        <v>-3.1570281475611001E-2</v>
      </c>
      <c r="AA94" s="2">
        <f t="shared" ref="AA94:AD94" si="276">W95-W94</f>
        <v>0</v>
      </c>
      <c r="AB94" s="2">
        <f t="shared" si="276"/>
        <v>9.3921725389380928E-3</v>
      </c>
      <c r="AC94" s="2">
        <f t="shared" si="276"/>
        <v>0</v>
      </c>
      <c r="AD94" s="2">
        <f t="shared" si="276"/>
        <v>-5.9975779832905987E-3</v>
      </c>
    </row>
    <row r="95" spans="1:30" ht="14.25" customHeight="1" x14ac:dyDescent="0.3">
      <c r="A95" s="3"/>
      <c r="B95" s="2">
        <f t="shared" si="144"/>
        <v>3.2500000000000001E-2</v>
      </c>
      <c r="C95" s="7">
        <v>-0.45208608752866197</v>
      </c>
      <c r="D95" s="2">
        <v>-0.98608004890772405</v>
      </c>
      <c r="E95" s="2">
        <v>0.60019135802822399</v>
      </c>
      <c r="F95" s="8">
        <v>0.13953064773594001</v>
      </c>
      <c r="G95" s="2">
        <f t="shared" ref="G95:J95" si="277">C96-C95</f>
        <v>0</v>
      </c>
      <c r="H95" s="2">
        <f t="shared" si="277"/>
        <v>7.9953459920150127E-3</v>
      </c>
      <c r="I95" s="2">
        <f t="shared" si="277"/>
        <v>0</v>
      </c>
      <c r="J95" s="2">
        <f t="shared" si="277"/>
        <v>-5.105603723938007E-3</v>
      </c>
      <c r="L95" s="2">
        <v>7.2499999999999995E-2</v>
      </c>
      <c r="M95" s="7">
        <v>-0.45208608752866197</v>
      </c>
      <c r="N95" s="2">
        <v>-0.85317138148313598</v>
      </c>
      <c r="O95" s="2">
        <v>0.60019135802822399</v>
      </c>
      <c r="P95" s="8">
        <v>5.4658900093747499E-2</v>
      </c>
      <c r="Q95" s="2">
        <f t="shared" ref="Q95:T95" si="278">M96-M95</f>
        <v>0</v>
      </c>
      <c r="R95" s="2">
        <f t="shared" si="278"/>
        <v>8.6743813973130246E-3</v>
      </c>
      <c r="S95" s="2">
        <f t="shared" si="278"/>
        <v>0</v>
      </c>
      <c r="T95" s="2">
        <f t="shared" si="278"/>
        <v>-5.5392166904218026E-3</v>
      </c>
      <c r="V95" s="2">
        <v>0.1125</v>
      </c>
      <c r="W95" s="7">
        <v>-0.45208608752866197</v>
      </c>
      <c r="X95" s="2">
        <v>-0.70874480781678495</v>
      </c>
      <c r="Y95" s="2">
        <v>0.60019135802822399</v>
      </c>
      <c r="Z95" s="8">
        <v>-3.7567859458901599E-2</v>
      </c>
      <c r="AA95" s="2">
        <f t="shared" ref="AA95:AD95" si="279">W96-W95</f>
        <v>0</v>
      </c>
      <c r="AB95" s="2">
        <f t="shared" si="279"/>
        <v>9.4431416423639281E-3</v>
      </c>
      <c r="AC95" s="2">
        <f t="shared" si="279"/>
        <v>0</v>
      </c>
      <c r="AD95" s="2">
        <f t="shared" si="279"/>
        <v>-6.0301254233550011E-3</v>
      </c>
    </row>
    <row r="96" spans="1:30" ht="14.25" customHeight="1" x14ac:dyDescent="0.3">
      <c r="A96" s="3"/>
      <c r="B96" s="2">
        <f t="shared" si="144"/>
        <v>3.5000000000000003E-2</v>
      </c>
      <c r="C96" s="7">
        <v>-0.45208608752866197</v>
      </c>
      <c r="D96" s="2">
        <v>-0.97808470291570904</v>
      </c>
      <c r="E96" s="2">
        <v>0.60019135802822399</v>
      </c>
      <c r="F96" s="8">
        <v>0.134425044012002</v>
      </c>
      <c r="G96" s="2">
        <f t="shared" ref="G96:J96" si="280">C97-C96</f>
        <v>0</v>
      </c>
      <c r="H96" s="2">
        <f t="shared" si="280"/>
        <v>8.035423233651029E-3</v>
      </c>
      <c r="I96" s="2">
        <f t="shared" si="280"/>
        <v>0</v>
      </c>
      <c r="J96" s="2">
        <f t="shared" si="280"/>
        <v>-5.1311959264710161E-3</v>
      </c>
      <c r="L96" s="2">
        <v>7.4999999999999997E-2</v>
      </c>
      <c r="M96" s="7">
        <v>-0.45208608752866197</v>
      </c>
      <c r="N96" s="2">
        <v>-0.84449700008582296</v>
      </c>
      <c r="O96" s="2">
        <v>0.60019135802822399</v>
      </c>
      <c r="P96" s="8">
        <v>4.9119683403325697E-2</v>
      </c>
      <c r="Q96" s="2">
        <f t="shared" ref="Q96:T96" si="281">M97-M96</f>
        <v>0</v>
      </c>
      <c r="R96" s="2">
        <f t="shared" si="281"/>
        <v>8.7196467941329514E-3</v>
      </c>
      <c r="S96" s="2">
        <f t="shared" si="281"/>
        <v>0</v>
      </c>
      <c r="T96" s="2">
        <f t="shared" si="281"/>
        <v>-5.5681219034193971E-3</v>
      </c>
      <c r="V96" s="2">
        <v>0.115</v>
      </c>
      <c r="W96" s="7">
        <v>-0.45208608752866197</v>
      </c>
      <c r="X96" s="2">
        <v>-0.69930166617442102</v>
      </c>
      <c r="Y96" s="2">
        <v>0.60019135802822399</v>
      </c>
      <c r="Z96" s="8">
        <v>-4.35979848822566E-2</v>
      </c>
      <c r="AA96" s="2">
        <f t="shared" ref="AA96:AD96" si="282">W97-W96</f>
        <v>0</v>
      </c>
      <c r="AB96" s="2">
        <f t="shared" si="282"/>
        <v>9.4945240808500531E-3</v>
      </c>
      <c r="AC96" s="2">
        <f t="shared" si="282"/>
        <v>0</v>
      </c>
      <c r="AD96" s="2">
        <f t="shared" si="282"/>
        <v>-6.0629368075591009E-3</v>
      </c>
    </row>
    <row r="97" spans="1:30" ht="14.25" customHeight="1" x14ac:dyDescent="0.3">
      <c r="A97" s="3"/>
      <c r="B97" s="2">
        <f t="shared" si="144"/>
        <v>3.7500000000000006E-2</v>
      </c>
      <c r="C97" s="7">
        <v>-0.45208608752866197</v>
      </c>
      <c r="D97" s="2">
        <v>-0.97004927968205801</v>
      </c>
      <c r="E97" s="2">
        <v>0.60019135802822399</v>
      </c>
      <c r="F97" s="8">
        <v>0.12929384808553099</v>
      </c>
      <c r="G97" s="2">
        <f t="shared" ref="G97:J97" si="283">C98-C97</f>
        <v>0</v>
      </c>
      <c r="H97" s="2">
        <f t="shared" si="283"/>
        <v>8.075800917025977E-3</v>
      </c>
      <c r="I97" s="2">
        <f t="shared" si="283"/>
        <v>0</v>
      </c>
      <c r="J97" s="2">
        <f t="shared" si="283"/>
        <v>-5.1569799827139856E-3</v>
      </c>
      <c r="L97" s="2">
        <v>7.7499999999999999E-2</v>
      </c>
      <c r="M97" s="7">
        <v>-0.45208608752866197</v>
      </c>
      <c r="N97" s="2">
        <v>-0.83577735329169001</v>
      </c>
      <c r="O97" s="2">
        <v>0.60019135802822399</v>
      </c>
      <c r="P97" s="8">
        <v>4.3551561499906299E-2</v>
      </c>
      <c r="Q97" s="2">
        <f t="shared" ref="Q97:T97" si="284">M98-M97</f>
        <v>0</v>
      </c>
      <c r="R97" s="2">
        <f t="shared" si="284"/>
        <v>8.7652653162709759E-3</v>
      </c>
      <c r="S97" s="2">
        <f t="shared" si="284"/>
        <v>0</v>
      </c>
      <c r="T97" s="2">
        <f t="shared" si="284"/>
        <v>-5.5972526123033994E-3</v>
      </c>
      <c r="V97" s="2">
        <v>0.11749999999999999</v>
      </c>
      <c r="W97" s="7">
        <v>-0.45208608752866197</v>
      </c>
      <c r="X97" s="2">
        <v>-0.68980714209357097</v>
      </c>
      <c r="Y97" s="2">
        <v>0.60019135802822399</v>
      </c>
      <c r="Z97" s="8">
        <v>-4.9660921689815701E-2</v>
      </c>
      <c r="AA97" s="2">
        <f t="shared" ref="AA97:AD97" si="285">W98-W97</f>
        <v>0</v>
      </c>
      <c r="AB97" s="2">
        <f t="shared" si="285"/>
        <v>9.546324305730991E-3</v>
      </c>
      <c r="AC97" s="2">
        <f t="shared" si="285"/>
        <v>0</v>
      </c>
      <c r="AD97" s="2">
        <f t="shared" si="285"/>
        <v>-6.0960149784752005E-3</v>
      </c>
    </row>
    <row r="98" spans="1:30" ht="14.25" customHeight="1" x14ac:dyDescent="0.3">
      <c r="A98" s="3"/>
      <c r="B98" s="2">
        <f t="shared" si="144"/>
        <v>0.04</v>
      </c>
      <c r="C98" s="7">
        <v>-0.45208608752866197</v>
      </c>
      <c r="D98" s="2">
        <v>-0.96197347876503203</v>
      </c>
      <c r="E98" s="2">
        <v>0.60019135802822399</v>
      </c>
      <c r="F98" s="8">
        <v>0.124136868102817</v>
      </c>
      <c r="G98" s="9">
        <f t="shared" ref="G98:J98" si="286">AVERAGE(G91:G97)</f>
        <v>0</v>
      </c>
      <c r="H98" s="9">
        <f t="shared" si="286"/>
        <v>7.9561553984182718E-3</v>
      </c>
      <c r="I98" s="9">
        <f t="shared" si="286"/>
        <v>0</v>
      </c>
      <c r="J98" s="9">
        <f t="shared" si="286"/>
        <v>-5.0805777099452859E-3</v>
      </c>
      <c r="L98" s="2">
        <v>0.08</v>
      </c>
      <c r="M98" s="7">
        <v>-0.45208608752866197</v>
      </c>
      <c r="N98" s="2">
        <v>-0.82701208797541903</v>
      </c>
      <c r="O98" s="2">
        <v>0.60019135802822399</v>
      </c>
      <c r="P98" s="8">
        <v>3.79543088876029E-2</v>
      </c>
      <c r="Q98" s="9">
        <f t="shared" ref="Q98:T98" si="287">AVERAGE(Q91:Q97)</f>
        <v>0</v>
      </c>
      <c r="R98" s="9">
        <f t="shared" si="287"/>
        <v>8.6301574458562836E-3</v>
      </c>
      <c r="S98" s="9">
        <f t="shared" si="287"/>
        <v>0</v>
      </c>
      <c r="T98" s="9">
        <f t="shared" si="287"/>
        <v>-5.510976515300357E-3</v>
      </c>
      <c r="V98" s="2">
        <v>0.12</v>
      </c>
      <c r="W98" s="10">
        <v>-0.45208608752866197</v>
      </c>
      <c r="X98" s="11">
        <v>-0.68026081778783998</v>
      </c>
      <c r="Y98" s="11">
        <v>0.60019135802822399</v>
      </c>
      <c r="Z98" s="12">
        <v>-5.5756936668290902E-2</v>
      </c>
      <c r="AA98" s="9">
        <f t="shared" ref="AA98:AD98" si="288">AVERAGE(AA91:AA97)</f>
        <v>0</v>
      </c>
      <c r="AB98" s="9">
        <f t="shared" si="288"/>
        <v>9.39299048166772E-3</v>
      </c>
      <c r="AC98" s="9">
        <f t="shared" si="288"/>
        <v>0</v>
      </c>
      <c r="AD98" s="9">
        <f t="shared" si="288"/>
        <v>-5.9981002985982999E-3</v>
      </c>
    </row>
    <row r="99" spans="1:30" ht="14.25" customHeight="1" x14ac:dyDescent="0.3"/>
    <row r="100" spans="1:30" ht="14.25" customHeight="1" x14ac:dyDescent="0.3"/>
    <row r="101" spans="1:30" ht="14.25" customHeight="1" x14ac:dyDescent="0.3"/>
    <row r="102" spans="1:30" ht="14.25" customHeight="1" x14ac:dyDescent="0.3"/>
    <row r="103" spans="1:30" ht="14.25" customHeight="1" x14ac:dyDescent="0.3"/>
    <row r="104" spans="1:30" ht="14.25" customHeight="1" x14ac:dyDescent="0.3"/>
    <row r="105" spans="1:30" ht="14.25" customHeight="1" x14ac:dyDescent="0.3"/>
    <row r="106" spans="1:30" ht="14.25" customHeight="1" x14ac:dyDescent="0.3"/>
    <row r="107" spans="1:30" ht="14.25" customHeight="1" x14ac:dyDescent="0.3"/>
    <row r="108" spans="1:30" ht="14.25" customHeight="1" x14ac:dyDescent="0.3"/>
    <row r="109" spans="1:30" ht="14.25" customHeight="1" x14ac:dyDescent="0.3"/>
    <row r="110" spans="1:30" ht="14.25" customHeight="1" x14ac:dyDescent="0.3"/>
    <row r="111" spans="1:30" ht="14.25" customHeight="1" x14ac:dyDescent="0.3"/>
    <row r="112" spans="1:30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2:7" ht="14.25" customHeight="1" x14ac:dyDescent="0.3">
      <c r="C1" s="52" t="s">
        <v>6</v>
      </c>
      <c r="D1" s="53"/>
      <c r="E1" s="53"/>
    </row>
    <row r="2" spans="2:7" ht="14.25" customHeight="1" x14ac:dyDescent="0.3">
      <c r="B2" s="2" t="s">
        <v>0</v>
      </c>
      <c r="C2" s="2" t="s">
        <v>7</v>
      </c>
      <c r="D2" s="2" t="s">
        <v>8</v>
      </c>
      <c r="E2" s="2" t="s">
        <v>9</v>
      </c>
    </row>
    <row r="3" spans="2:7" ht="14.25" customHeight="1" x14ac:dyDescent="0.3">
      <c r="B3" s="2">
        <v>2.5000000000000001E-3</v>
      </c>
      <c r="C3" s="2">
        <v>383.85131856207198</v>
      </c>
      <c r="D3" s="2">
        <v>383.54121983056302</v>
      </c>
      <c r="E3" s="2">
        <f t="shared" ref="E3:E42" si="0">C3/D3</f>
        <v>1.0008085147448975</v>
      </c>
      <c r="G3" s="2">
        <f t="shared" ref="G3:G41" si="1">D4-D3</f>
        <v>0.28279065488897004</v>
      </c>
    </row>
    <row r="4" spans="2:7" ht="14.25" customHeight="1" x14ac:dyDescent="0.3">
      <c r="B4" s="2">
        <v>5.0000000000000001E-3</v>
      </c>
      <c r="C4" s="2">
        <v>384.44316989399698</v>
      </c>
      <c r="D4" s="2">
        <v>383.82401048545199</v>
      </c>
      <c r="E4" s="2">
        <f t="shared" si="0"/>
        <v>1.0016131336019387</v>
      </c>
      <c r="G4" s="2">
        <f t="shared" si="1"/>
        <v>0.28383509978601751</v>
      </c>
    </row>
    <row r="5" spans="2:7" ht="14.25" customHeight="1" x14ac:dyDescent="0.3">
      <c r="B5" s="2">
        <v>7.4999999999999997E-3</v>
      </c>
      <c r="C5" s="2">
        <v>385.035021225923</v>
      </c>
      <c r="D5" s="2">
        <v>384.10784558523801</v>
      </c>
      <c r="E5" s="2">
        <f t="shared" si="0"/>
        <v>1.00241384197522</v>
      </c>
      <c r="G5" s="2">
        <f t="shared" si="1"/>
        <v>0.28488462837998441</v>
      </c>
    </row>
    <row r="6" spans="2:7" ht="14.25" customHeight="1" x14ac:dyDescent="0.3">
      <c r="B6" s="2">
        <v>0.01</v>
      </c>
      <c r="C6" s="2">
        <v>385.62687267760202</v>
      </c>
      <c r="D6" s="2">
        <v>384.39273021361799</v>
      </c>
      <c r="E6" s="2">
        <f t="shared" si="0"/>
        <v>1.0032106290441503</v>
      </c>
      <c r="G6" s="2">
        <f t="shared" si="1"/>
        <v>0.28593926690001581</v>
      </c>
    </row>
    <row r="7" spans="2:7" ht="14.25" customHeight="1" x14ac:dyDescent="0.3">
      <c r="B7" s="2">
        <v>1.2500000000000001E-2</v>
      </c>
      <c r="C7" s="2">
        <v>386.21872388954</v>
      </c>
      <c r="D7" s="2">
        <v>384.67866948051801</v>
      </c>
      <c r="E7" s="2">
        <f t="shared" si="0"/>
        <v>1.0040034827278095</v>
      </c>
      <c r="G7" s="2">
        <f t="shared" si="1"/>
        <v>0.28699904165000589</v>
      </c>
    </row>
    <row r="8" spans="2:7" ht="14.25" customHeight="1" x14ac:dyDescent="0.3">
      <c r="B8" s="2">
        <v>1.4999999999999999E-2</v>
      </c>
      <c r="C8" s="2">
        <v>386.81057534089899</v>
      </c>
      <c r="D8" s="2">
        <v>384.96566852216802</v>
      </c>
      <c r="E8" s="2">
        <f t="shared" si="0"/>
        <v>1.0047923931134257</v>
      </c>
      <c r="G8" s="2">
        <f t="shared" si="1"/>
        <v>0.28806397900996217</v>
      </c>
    </row>
    <row r="9" spans="2:7" ht="14.25" customHeight="1" x14ac:dyDescent="0.3">
      <c r="B9" s="2">
        <v>1.7500000000000002E-2</v>
      </c>
      <c r="C9" s="2">
        <v>387.40242655333901</v>
      </c>
      <c r="D9" s="2">
        <v>385.25373250117798</v>
      </c>
      <c r="E9" s="2">
        <f t="shared" si="0"/>
        <v>1.0055773477863825</v>
      </c>
      <c r="G9" s="2">
        <f t="shared" si="1"/>
        <v>0.28913410543901819</v>
      </c>
    </row>
    <row r="10" spans="2:7" ht="14.25" customHeight="1" x14ac:dyDescent="0.3">
      <c r="B10" s="2">
        <v>0.02</v>
      </c>
      <c r="C10" s="2">
        <v>387.99427800419699</v>
      </c>
      <c r="D10" s="2">
        <v>385.542866606617</v>
      </c>
      <c r="E10" s="2">
        <f t="shared" si="0"/>
        <v>1.0063583368022244</v>
      </c>
      <c r="G10" s="2">
        <f t="shared" si="1"/>
        <v>0.29020944746901023</v>
      </c>
    </row>
    <row r="11" spans="2:7" ht="14.25" customHeight="1" x14ac:dyDescent="0.3">
      <c r="B11" s="2">
        <v>2.2499999999999999E-2</v>
      </c>
      <c r="C11" s="2">
        <v>388.58612933591598</v>
      </c>
      <c r="D11" s="2">
        <v>385.83307605408601</v>
      </c>
      <c r="E11" s="2">
        <f t="shared" si="0"/>
        <v>1.0071353480369942</v>
      </c>
      <c r="G11" s="2">
        <f t="shared" si="1"/>
        <v>0.29129003170498891</v>
      </c>
    </row>
    <row r="12" spans="2:7" ht="14.25" customHeight="1" x14ac:dyDescent="0.3">
      <c r="B12" s="2">
        <v>2.5000000000000001E-2</v>
      </c>
      <c r="C12" s="2">
        <v>389.17798054903801</v>
      </c>
      <c r="D12" s="2">
        <v>386.124366085791</v>
      </c>
      <c r="E12" s="2">
        <f t="shared" si="0"/>
        <v>1.0079083702854654</v>
      </c>
      <c r="G12" s="2">
        <f t="shared" si="1"/>
        <v>0.29237588482197907</v>
      </c>
    </row>
    <row r="13" spans="2:7" ht="14.25" customHeight="1" x14ac:dyDescent="0.3">
      <c r="B13" s="2">
        <v>2.75E-2</v>
      </c>
      <c r="C13" s="2">
        <v>389.76983188133499</v>
      </c>
      <c r="D13" s="2">
        <v>386.41674197061297</v>
      </c>
      <c r="E13" s="2">
        <f t="shared" si="0"/>
        <v>1.008677392945301</v>
      </c>
      <c r="G13" s="2">
        <f t="shared" si="1"/>
        <v>0.29346703356503667</v>
      </c>
    </row>
    <row r="14" spans="2:7" ht="14.25" customHeight="1" x14ac:dyDescent="0.3">
      <c r="B14" s="2">
        <v>0.03</v>
      </c>
      <c r="C14" s="2">
        <v>390.36168333031497</v>
      </c>
      <c r="D14" s="2">
        <v>386.71020900417801</v>
      </c>
      <c r="E14" s="2">
        <f t="shared" si="0"/>
        <v>1.0094424047804167</v>
      </c>
      <c r="G14" s="2">
        <f t="shared" si="1"/>
        <v>0.29456350474396231</v>
      </c>
    </row>
    <row r="15" spans="2:7" ht="14.25" customHeight="1" x14ac:dyDescent="0.3">
      <c r="B15" s="2">
        <v>3.2500000000000001E-2</v>
      </c>
      <c r="C15" s="2">
        <v>390.953534661947</v>
      </c>
      <c r="D15" s="2">
        <v>387.00477250892197</v>
      </c>
      <c r="E15" s="2">
        <f t="shared" si="0"/>
        <v>1.0102033939463473</v>
      </c>
      <c r="G15" s="2">
        <f t="shared" si="1"/>
        <v>0.29566532523904243</v>
      </c>
    </row>
    <row r="16" spans="2:7" ht="14.25" customHeight="1" x14ac:dyDescent="0.3">
      <c r="B16" s="2">
        <v>3.5000000000000003E-2</v>
      </c>
      <c r="C16" s="2">
        <v>391.545385877135</v>
      </c>
      <c r="D16" s="2">
        <v>387.30043783416102</v>
      </c>
      <c r="E16" s="2">
        <f t="shared" si="0"/>
        <v>1.0109603491974146</v>
      </c>
      <c r="G16" s="2">
        <f t="shared" si="1"/>
        <v>0.29677252198797532</v>
      </c>
    </row>
    <row r="17" spans="2:7" ht="14.25" customHeight="1" x14ac:dyDescent="0.3">
      <c r="B17" s="2">
        <v>3.7499999999999999E-2</v>
      </c>
      <c r="C17" s="2">
        <v>392.13723720896201</v>
      </c>
      <c r="D17" s="2">
        <v>387.59721035614899</v>
      </c>
      <c r="E17" s="2">
        <f t="shared" si="0"/>
        <v>1.0117132598778029</v>
      </c>
      <c r="G17" s="2">
        <f t="shared" si="1"/>
        <v>0.29788512199399975</v>
      </c>
    </row>
    <row r="18" spans="2:7" ht="14.25" customHeight="1" x14ac:dyDescent="0.3">
      <c r="B18" s="2">
        <v>0.04</v>
      </c>
      <c r="C18" s="2">
        <v>392.72908865685002</v>
      </c>
      <c r="D18" s="2">
        <v>387.89509547814299</v>
      </c>
      <c r="E18" s="2">
        <f t="shared" si="0"/>
        <v>1.0124621147187962</v>
      </c>
      <c r="G18" s="2">
        <f t="shared" si="1"/>
        <v>0.29900315231901686</v>
      </c>
    </row>
    <row r="19" spans="2:7" ht="14.25" customHeight="1" x14ac:dyDescent="0.3">
      <c r="B19" s="2">
        <v>4.2500000000000003E-2</v>
      </c>
      <c r="C19" s="2">
        <v>393.320939988448</v>
      </c>
      <c r="D19" s="2">
        <v>388.19409863046201</v>
      </c>
      <c r="E19" s="2">
        <f t="shared" si="0"/>
        <v>1.013206901846456</v>
      </c>
      <c r="G19" s="2">
        <f t="shared" si="1"/>
        <v>0.30012664008097545</v>
      </c>
    </row>
    <row r="20" spans="2:7" ht="14.25" customHeight="1" x14ac:dyDescent="0.3">
      <c r="B20" s="2">
        <v>4.4999999999999998E-2</v>
      </c>
      <c r="C20" s="2">
        <v>393.912791204668</v>
      </c>
      <c r="D20" s="2">
        <v>388.49422527054298</v>
      </c>
      <c r="E20" s="2">
        <f t="shared" si="0"/>
        <v>1.0139476099814653</v>
      </c>
      <c r="G20" s="2">
        <f t="shared" si="1"/>
        <v>0.30125561245102972</v>
      </c>
    </row>
    <row r="21" spans="2:7" ht="14.25" customHeight="1" x14ac:dyDescent="0.3">
      <c r="B21" s="2">
        <v>4.7500000000000001E-2</v>
      </c>
      <c r="C21" s="2">
        <v>394.504642651756</v>
      </c>
      <c r="D21" s="2">
        <v>388.79548088299401</v>
      </c>
      <c r="E21" s="2">
        <f t="shared" si="0"/>
        <v>1.0146842287255908</v>
      </c>
      <c r="G21" s="2">
        <f t="shared" si="1"/>
        <v>0.3023900966589963</v>
      </c>
    </row>
    <row r="22" spans="2:7" ht="14.25" customHeight="1" x14ac:dyDescent="0.3">
      <c r="B22" s="2">
        <v>0.05</v>
      </c>
      <c r="C22" s="2">
        <v>395.09649386847502</v>
      </c>
      <c r="D22" s="2">
        <v>389.09787097965301</v>
      </c>
      <c r="E22" s="2">
        <f t="shared" si="0"/>
        <v>1.0154167455959575</v>
      </c>
      <c r="G22" s="2">
        <f t="shared" si="1"/>
        <v>0.30353011997698331</v>
      </c>
    </row>
    <row r="23" spans="2:7" ht="14.25" customHeight="1" x14ac:dyDescent="0.3">
      <c r="B23" s="2">
        <v>5.2499999999999998E-2</v>
      </c>
      <c r="C23" s="2">
        <v>395.68834531502603</v>
      </c>
      <c r="D23" s="2">
        <v>389.40140109962999</v>
      </c>
      <c r="E23" s="2">
        <f t="shared" si="0"/>
        <v>1.0161451504736303</v>
      </c>
      <c r="G23" s="2">
        <f t="shared" si="1"/>
        <v>0.30467570973098645</v>
      </c>
    </row>
    <row r="24" spans="2:7" ht="14.25" customHeight="1" x14ac:dyDescent="0.3">
      <c r="B24" s="2">
        <v>5.5E-2</v>
      </c>
      <c r="C24" s="2">
        <v>396.28019653236203</v>
      </c>
      <c r="D24" s="2">
        <v>389.70607680936098</v>
      </c>
      <c r="E24" s="2">
        <f t="shared" si="0"/>
        <v>1.0168694308716593</v>
      </c>
      <c r="G24" s="2">
        <f t="shared" si="1"/>
        <v>0.30582689329099821</v>
      </c>
    </row>
    <row r="25" spans="2:7" ht="14.25" customHeight="1" x14ac:dyDescent="0.3">
      <c r="B25" s="2">
        <v>5.7500000000000002E-2</v>
      </c>
      <c r="C25" s="2">
        <v>396.87204797829497</v>
      </c>
      <c r="D25" s="2">
        <v>390.01190370265198</v>
      </c>
      <c r="E25" s="2">
        <f t="shared" si="0"/>
        <v>1.0175895766526994</v>
      </c>
      <c r="G25" s="2">
        <f t="shared" si="1"/>
        <v>0.30698369806600567</v>
      </c>
    </row>
    <row r="26" spans="2:7" ht="14.25" customHeight="1" x14ac:dyDescent="0.3">
      <c r="B26" s="2">
        <v>0.06</v>
      </c>
      <c r="C26" s="2">
        <v>397.46389930992899</v>
      </c>
      <c r="D26" s="2">
        <v>390.31888740071798</v>
      </c>
      <c r="E26" s="2">
        <f t="shared" si="0"/>
        <v>1.0183055756199562</v>
      </c>
      <c r="G26" s="2">
        <f t="shared" si="1"/>
        <v>0.30814615151103908</v>
      </c>
    </row>
    <row r="27" spans="2:7" ht="14.25" customHeight="1" x14ac:dyDescent="0.3">
      <c r="B27" s="2">
        <v>6.25E-2</v>
      </c>
      <c r="C27" s="2">
        <v>398.05575052800299</v>
      </c>
      <c r="D27" s="2">
        <v>390.62703355222902</v>
      </c>
      <c r="E27" s="2">
        <f t="shared" si="0"/>
        <v>1.0190174164553327</v>
      </c>
      <c r="G27" s="2">
        <f t="shared" si="1"/>
        <v>0.30931428111199466</v>
      </c>
    </row>
    <row r="28" spans="2:7" ht="14.25" customHeight="1" x14ac:dyDescent="0.3">
      <c r="B28" s="2">
        <v>6.5000000000000002E-2</v>
      </c>
      <c r="C28" s="2">
        <v>398.64760185991003</v>
      </c>
      <c r="D28" s="2">
        <v>390.93634783334102</v>
      </c>
      <c r="E28" s="2">
        <f t="shared" si="0"/>
        <v>1.0197250884173512</v>
      </c>
      <c r="G28" s="2">
        <f t="shared" si="1"/>
        <v>0.3104881143939906</v>
      </c>
    </row>
    <row r="29" spans="2:7" ht="14.25" customHeight="1" x14ac:dyDescent="0.3">
      <c r="B29" s="2">
        <v>6.7500000000000004E-2</v>
      </c>
      <c r="C29" s="2">
        <v>399.23945330482701</v>
      </c>
      <c r="D29" s="2">
        <v>391.24683594773501</v>
      </c>
      <c r="E29" s="2">
        <f t="shared" si="0"/>
        <v>1.0204285801768367</v>
      </c>
      <c r="G29" s="2">
        <f t="shared" si="1"/>
        <v>0.31166767891198788</v>
      </c>
    </row>
    <row r="30" spans="2:7" ht="14.25" customHeight="1" x14ac:dyDescent="0.3">
      <c r="B30" s="2">
        <v>7.0000000000000007E-2</v>
      </c>
      <c r="C30" s="2">
        <v>399.831304636472</v>
      </c>
      <c r="D30" s="2">
        <v>391.558503626647</v>
      </c>
      <c r="E30" s="2">
        <f t="shared" si="0"/>
        <v>1.021127879826901</v>
      </c>
      <c r="G30" s="2">
        <f t="shared" si="1"/>
        <v>0.31285300224698176</v>
      </c>
    </row>
    <row r="31" spans="2:7" ht="14.25" customHeight="1" x14ac:dyDescent="0.3">
      <c r="B31" s="2">
        <v>7.2499999999999995E-2</v>
      </c>
      <c r="C31" s="2">
        <v>400.42315596818798</v>
      </c>
      <c r="D31" s="2">
        <v>391.87135662889398</v>
      </c>
      <c r="E31" s="2">
        <f t="shared" si="0"/>
        <v>1.021822976327899</v>
      </c>
      <c r="G31" s="2">
        <f t="shared" si="1"/>
        <v>0.31404411201003768</v>
      </c>
    </row>
    <row r="32" spans="2:7" ht="14.25" customHeight="1" x14ac:dyDescent="0.3">
      <c r="B32" s="2">
        <v>7.4999999999999997E-2</v>
      </c>
      <c r="C32" s="2">
        <v>401.01500729973998</v>
      </c>
      <c r="D32" s="2">
        <v>392.18540074090402</v>
      </c>
      <c r="E32" s="2">
        <f t="shared" si="0"/>
        <v>1.0225138583490241</v>
      </c>
      <c r="G32" s="2">
        <f t="shared" si="1"/>
        <v>0.31524103583001306</v>
      </c>
    </row>
    <row r="33" spans="2:7" ht="14.25" customHeight="1" x14ac:dyDescent="0.3">
      <c r="B33" s="2">
        <v>7.7499999999999999E-2</v>
      </c>
      <c r="C33" s="2">
        <v>401.60685851944999</v>
      </c>
      <c r="D33" s="2">
        <v>392.50064177673403</v>
      </c>
      <c r="E33" s="2">
        <f t="shared" si="0"/>
        <v>1.0232005142755813</v>
      </c>
      <c r="G33" s="2">
        <f t="shared" si="1"/>
        <v>0.31644380135799111</v>
      </c>
    </row>
    <row r="34" spans="2:7" ht="14.25" customHeight="1" x14ac:dyDescent="0.3">
      <c r="B34" s="2">
        <v>0.08</v>
      </c>
      <c r="C34" s="2">
        <v>402.19870985135901</v>
      </c>
      <c r="D34" s="2">
        <v>392.81708557809202</v>
      </c>
      <c r="E34" s="2">
        <f t="shared" si="0"/>
        <v>1.023882933349145</v>
      </c>
      <c r="G34" s="2">
        <f t="shared" si="1"/>
        <v>0.31765243625596895</v>
      </c>
    </row>
    <row r="35" spans="2:7" ht="14.25" customHeight="1" x14ac:dyDescent="0.3">
      <c r="B35" s="2">
        <v>8.2500000000000004E-2</v>
      </c>
      <c r="C35" s="2">
        <v>402.79056129495302</v>
      </c>
      <c r="D35" s="2">
        <v>393.13473801434799</v>
      </c>
      <c r="E35" s="2">
        <f t="shared" si="0"/>
        <v>1.0245611042396681</v>
      </c>
      <c r="G35" s="2">
        <f t="shared" si="1"/>
        <v>0.31886696820401994</v>
      </c>
    </row>
    <row r="36" spans="2:7" ht="14.25" customHeight="1" x14ac:dyDescent="0.3">
      <c r="B36" s="2">
        <v>8.5000000000000006E-2</v>
      </c>
      <c r="C36" s="2">
        <v>403.38241262656999</v>
      </c>
      <c r="D36" s="2">
        <v>393.45360498255201</v>
      </c>
      <c r="E36" s="2">
        <f t="shared" si="0"/>
        <v>1.0252350150520499</v>
      </c>
      <c r="G36" s="2">
        <f t="shared" si="1"/>
        <v>0.32008742488596909</v>
      </c>
    </row>
    <row r="37" spans="2:7" ht="14.25" customHeight="1" x14ac:dyDescent="0.3">
      <c r="B37" s="2">
        <v>8.7499999999999994E-2</v>
      </c>
      <c r="C37" s="2">
        <v>403.97426384714998</v>
      </c>
      <c r="D37" s="2">
        <v>393.77369240743798</v>
      </c>
      <c r="E37" s="2">
        <f t="shared" si="0"/>
        <v>1.0259046544662447</v>
      </c>
      <c r="G37" s="2">
        <f t="shared" si="1"/>
        <v>0.32131383399001834</v>
      </c>
    </row>
    <row r="38" spans="2:7" ht="14.25" customHeight="1" x14ac:dyDescent="0.3">
      <c r="B38" s="2">
        <v>0.09</v>
      </c>
      <c r="C38" s="2">
        <v>404.56611517904201</v>
      </c>
      <c r="D38" s="2">
        <v>394.095006241428</v>
      </c>
      <c r="E38" s="2">
        <f t="shared" si="0"/>
        <v>1.0265700117275764</v>
      </c>
      <c r="G38" s="2">
        <f t="shared" si="1"/>
        <v>0.32254622320999715</v>
      </c>
    </row>
    <row r="39" spans="2:7" ht="14.25" customHeight="1" x14ac:dyDescent="0.3">
      <c r="B39" s="2">
        <v>9.2499999999999999E-2</v>
      </c>
      <c r="C39" s="2">
        <v>405.15796662150302</v>
      </c>
      <c r="D39" s="2">
        <v>394.41755246463799</v>
      </c>
      <c r="E39" s="2">
        <f t="shared" si="0"/>
        <v>1.0272310755181921</v>
      </c>
      <c r="G39" s="2">
        <f t="shared" si="1"/>
        <v>0.32378462023098109</v>
      </c>
    </row>
    <row r="40" spans="2:7" ht="14.25" customHeight="1" x14ac:dyDescent="0.3">
      <c r="B40" s="2">
        <v>9.5000000000000001E-2</v>
      </c>
      <c r="C40" s="2">
        <v>405.74981795319002</v>
      </c>
      <c r="D40" s="2">
        <v>394.74133708486897</v>
      </c>
      <c r="E40" s="2">
        <f t="shared" si="0"/>
        <v>1.0278878339664594</v>
      </c>
      <c r="G40" s="2">
        <f t="shared" si="1"/>
        <v>0.32502905273400984</v>
      </c>
    </row>
    <row r="41" spans="2:7" ht="14.25" customHeight="1" x14ac:dyDescent="0.3">
      <c r="B41" s="2">
        <v>9.7500000000000003E-2</v>
      </c>
      <c r="C41" s="2">
        <v>406.34166917577102</v>
      </c>
      <c r="D41" s="2">
        <v>395.06636613760298</v>
      </c>
      <c r="E41" s="2">
        <f t="shared" si="0"/>
        <v>1.0285402757729085</v>
      </c>
      <c r="G41" s="2">
        <f t="shared" si="1"/>
        <v>0.32627954839000495</v>
      </c>
    </row>
    <row r="42" spans="2:7" ht="14.25" customHeight="1" x14ac:dyDescent="0.3">
      <c r="B42" s="2">
        <v>0.1</v>
      </c>
      <c r="C42" s="2">
        <v>406.93352050765998</v>
      </c>
      <c r="D42" s="2">
        <v>395.39264568599299</v>
      </c>
      <c r="E42" s="2">
        <f t="shared" si="0"/>
        <v>1.0291883901928525</v>
      </c>
    </row>
    <row r="43" spans="2:7" ht="14.25" customHeight="1" x14ac:dyDescent="0.3"/>
    <row r="44" spans="2:7" ht="14.25" customHeight="1" x14ac:dyDescent="0.3"/>
    <row r="45" spans="2:7" ht="14.25" customHeight="1" x14ac:dyDescent="0.3"/>
    <row r="46" spans="2:7" ht="14.25" customHeight="1" x14ac:dyDescent="0.3"/>
    <row r="47" spans="2:7" ht="14.25" customHeight="1" x14ac:dyDescent="0.3"/>
    <row r="48" spans="2:7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C1:E1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2" ht="14.25" customHeight="1" x14ac:dyDescent="0.3"/>
    <row r="2" spans="1:12" ht="14.25" customHeight="1" x14ac:dyDescent="0.3"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</row>
    <row r="3" spans="1:12" ht="14.25" customHeight="1" x14ac:dyDescent="0.3">
      <c r="A3" s="14">
        <v>0.82499999999999996</v>
      </c>
      <c r="B3" s="2">
        <v>3.3810479462226199E-2</v>
      </c>
      <c r="C3" s="2">
        <v>-1.1812028111506801E-2</v>
      </c>
      <c r="D3" s="2">
        <v>-4.4916172378504701E-3</v>
      </c>
      <c r="E3" s="2">
        <v>-2.0461030326694501E-3</v>
      </c>
      <c r="G3" s="2" t="s">
        <v>6</v>
      </c>
      <c r="H3" s="4">
        <v>-123.122014640011</v>
      </c>
      <c r="I3" s="5">
        <v>2.0882858812283298</v>
      </c>
      <c r="J3" s="6">
        <v>1.506</v>
      </c>
      <c r="K3" s="2">
        <v>0.82499999999999996</v>
      </c>
      <c r="L3" s="2">
        <v>1</v>
      </c>
    </row>
    <row r="4" spans="1:12" ht="14.25" customHeight="1" x14ac:dyDescent="0.3">
      <c r="A4" s="14">
        <v>0.85</v>
      </c>
      <c r="B4" s="2">
        <v>3.3810479462226199E-2</v>
      </c>
      <c r="C4" s="2">
        <v>-1.1812028111520999E-2</v>
      </c>
      <c r="D4" s="2">
        <v>-4.4916172378504701E-3</v>
      </c>
      <c r="E4" s="2">
        <v>-2.0461030326694501E-3</v>
      </c>
      <c r="G4" s="2" t="s">
        <v>16</v>
      </c>
      <c r="H4" s="7">
        <v>-17.1503268017332</v>
      </c>
      <c r="I4" s="2">
        <v>2.7807014220079602</v>
      </c>
      <c r="J4" s="8">
        <v>4.056</v>
      </c>
      <c r="K4" s="2">
        <v>0.82499999999999996</v>
      </c>
      <c r="L4" s="2">
        <v>2</v>
      </c>
    </row>
    <row r="5" spans="1:12" ht="14.25" customHeight="1" x14ac:dyDescent="0.3">
      <c r="A5" s="14">
        <v>0.875</v>
      </c>
      <c r="B5" s="2">
        <v>3.3810479462226199E-2</v>
      </c>
      <c r="C5" s="2">
        <v>-1.1812028111520999E-2</v>
      </c>
      <c r="D5" s="2">
        <v>-4.4916172378504701E-3</v>
      </c>
      <c r="E5" s="2">
        <v>-2.0461030326694501E-3</v>
      </c>
      <c r="G5" s="2" t="s">
        <v>17</v>
      </c>
      <c r="H5" s="7">
        <v>-30.127888043623798</v>
      </c>
      <c r="I5" s="2">
        <v>2.3021797165709099</v>
      </c>
      <c r="J5" s="8">
        <v>3.7690000000000001</v>
      </c>
      <c r="K5" s="2">
        <v>0.82499999999999996</v>
      </c>
      <c r="L5" s="2">
        <v>3</v>
      </c>
    </row>
    <row r="6" spans="1:12" ht="14.25" customHeight="1" x14ac:dyDescent="0.3">
      <c r="A6" s="14">
        <v>0.9</v>
      </c>
      <c r="B6" s="2">
        <v>3.3810479462226199E-2</v>
      </c>
      <c r="C6" s="2">
        <v>-1.1812028111520999E-2</v>
      </c>
      <c r="D6" s="2">
        <v>-4.4916172378504701E-3</v>
      </c>
      <c r="E6" s="2">
        <v>-2.0461030326360099E-3</v>
      </c>
      <c r="G6" s="2" t="s">
        <v>18</v>
      </c>
      <c r="H6" s="10">
        <v>-8.5948734593047806</v>
      </c>
      <c r="I6" s="11">
        <v>2.7384490050725701</v>
      </c>
      <c r="J6" s="12">
        <v>3.7080000000000002</v>
      </c>
      <c r="K6" s="2">
        <v>0.82499999999999996</v>
      </c>
      <c r="L6" s="2">
        <v>4</v>
      </c>
    </row>
    <row r="7" spans="1:12" ht="14.25" customHeight="1" x14ac:dyDescent="0.3">
      <c r="A7" s="14">
        <v>0.92500000000000004</v>
      </c>
      <c r="B7" s="2">
        <v>3.3810479462226199E-2</v>
      </c>
      <c r="C7" s="2">
        <v>-1.1812028111520999E-2</v>
      </c>
      <c r="D7" s="2">
        <v>-4.4916172378504701E-3</v>
      </c>
      <c r="E7" s="2">
        <v>-2.0461030326360099E-3</v>
      </c>
      <c r="G7" s="2" t="s">
        <v>6</v>
      </c>
      <c r="H7" s="4">
        <v>-123.152067859932</v>
      </c>
      <c r="I7" s="5">
        <v>2.2769908424122498</v>
      </c>
      <c r="J7" s="6">
        <v>1.4490000000000001</v>
      </c>
      <c r="K7" s="2">
        <v>0.85</v>
      </c>
      <c r="L7" s="2">
        <v>5</v>
      </c>
    </row>
    <row r="8" spans="1:12" ht="14.25" customHeight="1" x14ac:dyDescent="0.3">
      <c r="A8" s="14">
        <v>0.95</v>
      </c>
      <c r="B8" s="2">
        <v>3.3810479462226199E-2</v>
      </c>
      <c r="C8" s="2">
        <v>-1.1812028111520999E-2</v>
      </c>
      <c r="D8" s="2">
        <v>-4.4916172378504701E-3</v>
      </c>
      <c r="E8" s="2">
        <v>-2.0461030326360099E-3</v>
      </c>
      <c r="G8" s="2" t="s">
        <v>16</v>
      </c>
      <c r="H8" s="7">
        <v>-17.135473064083801</v>
      </c>
      <c r="I8" s="2">
        <v>2.4874535734108001</v>
      </c>
      <c r="J8" s="8">
        <v>4.5810000000000004</v>
      </c>
      <c r="K8" s="2">
        <v>0.85</v>
      </c>
      <c r="L8" s="2">
        <v>6</v>
      </c>
    </row>
    <row r="9" spans="1:12" ht="14.25" customHeight="1" x14ac:dyDescent="0.3">
      <c r="A9" s="14">
        <v>0.97499999999999998</v>
      </c>
      <c r="B9" s="2">
        <v>3.3810479462226199E-2</v>
      </c>
      <c r="C9" s="2">
        <v>-1.1812028111520999E-2</v>
      </c>
      <c r="D9" s="2">
        <v>-4.4916172378504701E-3</v>
      </c>
      <c r="E9" s="2">
        <v>-2.0461030326694501E-3</v>
      </c>
      <c r="G9" s="2" t="s">
        <v>17</v>
      </c>
      <c r="H9" s="7">
        <v>-30.091069582710901</v>
      </c>
      <c r="I9" s="2">
        <v>1.8248895565866301</v>
      </c>
      <c r="J9" s="8">
        <v>4.55</v>
      </c>
      <c r="K9" s="2">
        <v>0.85</v>
      </c>
      <c r="L9" s="2">
        <v>7</v>
      </c>
    </row>
    <row r="10" spans="1:12" ht="14.25" customHeight="1" x14ac:dyDescent="0.3">
      <c r="A10" s="14">
        <v>1</v>
      </c>
      <c r="B10" s="2">
        <v>3.3810479462226199E-2</v>
      </c>
      <c r="C10" s="2">
        <v>-1.1812028111520999E-2</v>
      </c>
      <c r="D10" s="2">
        <v>-4.4916172378301703E-3</v>
      </c>
      <c r="E10" s="2">
        <v>-2.0461030326360099E-3</v>
      </c>
      <c r="G10" s="2" t="s">
        <v>18</v>
      </c>
      <c r="H10" s="10">
        <v>-8.5826899473513905</v>
      </c>
      <c r="I10" s="11">
        <v>2.2741899677881201</v>
      </c>
      <c r="J10" s="12">
        <v>4.452</v>
      </c>
      <c r="K10" s="2">
        <v>0.85</v>
      </c>
      <c r="L10" s="2">
        <v>8</v>
      </c>
    </row>
    <row r="11" spans="1:12" ht="14.25" customHeight="1" x14ac:dyDescent="0.3">
      <c r="A11" s="14">
        <v>1.0249999999999999</v>
      </c>
      <c r="B11" s="2">
        <v>3.3810479462226199E-2</v>
      </c>
      <c r="C11" s="2">
        <v>-1.1812028111520999E-2</v>
      </c>
      <c r="D11" s="2">
        <v>-4.4916172378504701E-3</v>
      </c>
      <c r="E11" s="2">
        <v>-2.0461030326694501E-3</v>
      </c>
      <c r="G11" s="2" t="s">
        <v>6</v>
      </c>
      <c r="H11" s="4">
        <v>-123.152163197546</v>
      </c>
      <c r="I11" s="5">
        <v>2.2769906570134402</v>
      </c>
      <c r="J11" s="6">
        <v>1.4490000000000001</v>
      </c>
      <c r="K11" s="2">
        <v>0.875</v>
      </c>
      <c r="L11" s="2">
        <v>9</v>
      </c>
    </row>
    <row r="12" spans="1:12" ht="14.25" customHeight="1" x14ac:dyDescent="0.3">
      <c r="A12" s="14">
        <v>1.05</v>
      </c>
      <c r="B12" s="2">
        <v>3.3810479462226199E-2</v>
      </c>
      <c r="C12" s="2">
        <v>-1.1812028111520999E-2</v>
      </c>
      <c r="D12" s="2">
        <v>-4.4916172378504701E-3</v>
      </c>
      <c r="E12" s="2">
        <v>-2.0461030326360099E-3</v>
      </c>
      <c r="G12" s="2" t="s">
        <v>16</v>
      </c>
      <c r="H12" s="7">
        <v>-17.136398577599799</v>
      </c>
      <c r="I12" s="2">
        <v>2.4874184424555601</v>
      </c>
      <c r="J12" s="8">
        <v>4.5810000000000004</v>
      </c>
      <c r="K12" s="2">
        <v>0.875</v>
      </c>
      <c r="L12" s="2">
        <v>10</v>
      </c>
    </row>
    <row r="13" spans="1:12" ht="14.25" customHeight="1" x14ac:dyDescent="0.3">
      <c r="A13" s="14">
        <v>1.075</v>
      </c>
      <c r="B13" s="2">
        <v>3.3810479462226199E-2</v>
      </c>
      <c r="C13" s="2">
        <v>-1.1812028111506801E-2</v>
      </c>
      <c r="D13" s="2">
        <v>-4.4916172378504701E-3</v>
      </c>
      <c r="E13" s="2">
        <v>-2.0461030326360099E-3</v>
      </c>
      <c r="G13" s="2" t="s">
        <v>17</v>
      </c>
      <c r="H13" s="7">
        <v>-30.091891691745602</v>
      </c>
      <c r="I13" s="2">
        <v>1.82488348305756</v>
      </c>
      <c r="J13" s="8">
        <v>4.55</v>
      </c>
      <c r="K13" s="2">
        <v>0.875</v>
      </c>
      <c r="L13" s="2">
        <v>11</v>
      </c>
    </row>
    <row r="14" spans="1:12" ht="14.25" customHeight="1" x14ac:dyDescent="0.3">
      <c r="A14" s="14">
        <v>1.1000000000000001</v>
      </c>
      <c r="B14" s="2">
        <v>3.3810479462226199E-2</v>
      </c>
      <c r="C14" s="2">
        <v>-1.1812028111520999E-2</v>
      </c>
      <c r="D14" s="2">
        <v>-4.4916172378301703E-3</v>
      </c>
      <c r="E14" s="2">
        <v>-2.0461030326360099E-3</v>
      </c>
      <c r="G14" s="2" t="s">
        <v>18</v>
      </c>
      <c r="H14" s="10">
        <v>-8.5832922802646898</v>
      </c>
      <c r="I14" s="11">
        <v>2.2741669144807601</v>
      </c>
      <c r="J14" s="12">
        <v>4.452</v>
      </c>
      <c r="K14" s="2">
        <v>0.875</v>
      </c>
      <c r="L14" s="2">
        <v>12</v>
      </c>
    </row>
    <row r="15" spans="1:12" ht="14.25" customHeight="1" x14ac:dyDescent="0.3">
      <c r="A15" s="14">
        <v>1.125</v>
      </c>
      <c r="B15" s="2">
        <v>3.3810479462226199E-2</v>
      </c>
      <c r="C15" s="2">
        <v>-1.1812028111506801E-2</v>
      </c>
      <c r="D15" s="2">
        <v>-4.4916172378504701E-3</v>
      </c>
      <c r="E15" s="2">
        <v>-2.0461030326360099E-3</v>
      </c>
      <c r="G15" s="2" t="s">
        <v>6</v>
      </c>
      <c r="H15" s="4">
        <v>-123.122034661746</v>
      </c>
      <c r="I15" s="5">
        <v>2.0882858853557802</v>
      </c>
      <c r="J15" s="6">
        <v>1.506</v>
      </c>
      <c r="K15" s="2">
        <v>0.9</v>
      </c>
      <c r="L15" s="2">
        <v>13</v>
      </c>
    </row>
    <row r="16" spans="1:12" ht="14.25" customHeight="1" x14ac:dyDescent="0.3">
      <c r="A16" s="14">
        <v>1.1499999999999999</v>
      </c>
      <c r="B16" s="2">
        <v>3.3810479462226199E-2</v>
      </c>
      <c r="C16" s="2">
        <v>-1.1812028111520999E-2</v>
      </c>
      <c r="D16" s="2">
        <v>-4.4916172378504701E-3</v>
      </c>
      <c r="E16" s="2">
        <v>-2.0461030326694501E-3</v>
      </c>
      <c r="G16" s="2" t="s">
        <v>16</v>
      </c>
      <c r="H16" s="7">
        <v>-17.1504787029141</v>
      </c>
      <c r="I16" s="2">
        <v>2.78069591498772</v>
      </c>
      <c r="J16" s="8">
        <v>4.056</v>
      </c>
      <c r="K16" s="2">
        <v>0.9</v>
      </c>
      <c r="L16" s="2">
        <v>14</v>
      </c>
    </row>
    <row r="17" spans="1:12" ht="14.25" customHeight="1" x14ac:dyDescent="0.3">
      <c r="A17" s="14">
        <v>1.175</v>
      </c>
      <c r="B17" s="2">
        <v>3.3810479462226199E-2</v>
      </c>
      <c r="C17" s="2">
        <v>-1.1812028111520999E-2</v>
      </c>
      <c r="D17" s="2">
        <v>-4.4916172378504701E-3</v>
      </c>
      <c r="E17" s="2">
        <v>-2.0461030326694501E-3</v>
      </c>
      <c r="G17" s="2" t="s">
        <v>17</v>
      </c>
      <c r="H17" s="7">
        <v>-30.128119694044901</v>
      </c>
      <c r="I17" s="2">
        <v>2.3021766998705102</v>
      </c>
      <c r="J17" s="8">
        <v>3.7690000000000001</v>
      </c>
      <c r="K17" s="2">
        <v>0.9</v>
      </c>
      <c r="L17" s="2">
        <v>15</v>
      </c>
    </row>
    <row r="18" spans="1:12" ht="14.25" customHeight="1" x14ac:dyDescent="0.3">
      <c r="G18" s="2" t="s">
        <v>18</v>
      </c>
      <c r="H18" s="10">
        <v>-8.5949813700866091</v>
      </c>
      <c r="I18" s="11">
        <v>2.73844127794783</v>
      </c>
      <c r="J18" s="12">
        <v>3.7080000000000002</v>
      </c>
      <c r="K18" s="2">
        <v>0.9</v>
      </c>
      <c r="L18" s="2">
        <v>16</v>
      </c>
    </row>
    <row r="19" spans="1:12" ht="14.25" customHeight="1" x14ac:dyDescent="0.3">
      <c r="G19" s="2" t="s">
        <v>6</v>
      </c>
      <c r="H19" s="4">
        <v>-123.152163198164</v>
      </c>
      <c r="I19" s="5">
        <v>2.2769906556114798</v>
      </c>
      <c r="J19" s="6">
        <v>1.4490000000000001</v>
      </c>
      <c r="K19" s="2">
        <v>0.92500000000000004</v>
      </c>
      <c r="L19" s="2">
        <v>17</v>
      </c>
    </row>
    <row r="20" spans="1:12" ht="14.25" customHeight="1" x14ac:dyDescent="0.3">
      <c r="G20" s="2" t="s">
        <v>16</v>
      </c>
      <c r="H20" s="7">
        <v>-17.136398581226999</v>
      </c>
      <c r="I20" s="2">
        <v>2.4874184429894002</v>
      </c>
      <c r="J20" s="8">
        <v>4.5810000000000004</v>
      </c>
      <c r="K20" s="2">
        <v>0.92500000000000004</v>
      </c>
      <c r="L20" s="2">
        <v>18</v>
      </c>
    </row>
    <row r="21" spans="1:12" ht="14.25" customHeight="1" x14ac:dyDescent="0.3">
      <c r="G21" s="2" t="s">
        <v>17</v>
      </c>
      <c r="H21" s="7">
        <v>-30.091891693738699</v>
      </c>
      <c r="I21" s="2">
        <v>1.8248834820862101</v>
      </c>
      <c r="J21" s="8">
        <v>4.55</v>
      </c>
      <c r="K21" s="2">
        <v>0.92500000000000004</v>
      </c>
      <c r="L21" s="2">
        <v>19</v>
      </c>
    </row>
    <row r="22" spans="1:12" ht="14.25" customHeight="1" x14ac:dyDescent="0.3">
      <c r="G22" s="2" t="s">
        <v>18</v>
      </c>
      <c r="H22" s="10">
        <v>-8.5832922892043708</v>
      </c>
      <c r="I22" s="11">
        <v>2.2741669158172</v>
      </c>
      <c r="J22" s="12">
        <v>4.452</v>
      </c>
      <c r="K22" s="2">
        <v>0.92500000000000004</v>
      </c>
      <c r="L22" s="2">
        <v>20</v>
      </c>
    </row>
    <row r="23" spans="1:12" ht="14.25" customHeight="1" x14ac:dyDescent="0.3">
      <c r="G23" s="2" t="s">
        <v>6</v>
      </c>
      <c r="H23" s="4">
        <v>-123.151944003948</v>
      </c>
      <c r="I23" s="5">
        <v>2.27700247931211</v>
      </c>
      <c r="J23" s="6">
        <v>1.4490000000000001</v>
      </c>
      <c r="K23" s="2">
        <v>0.95</v>
      </c>
      <c r="L23" s="2">
        <v>21</v>
      </c>
    </row>
    <row r="24" spans="1:12" ht="14.25" customHeight="1" x14ac:dyDescent="0.3">
      <c r="G24" s="2" t="s">
        <v>16</v>
      </c>
      <c r="H24" s="7">
        <v>-17.135831667303801</v>
      </c>
      <c r="I24" s="2">
        <v>2.4879727242076899</v>
      </c>
      <c r="J24" s="8">
        <v>4.5810000000000004</v>
      </c>
      <c r="K24" s="2">
        <v>0.95</v>
      </c>
      <c r="L24" s="2">
        <v>22</v>
      </c>
    </row>
    <row r="25" spans="1:12" ht="14.25" customHeight="1" x14ac:dyDescent="0.3">
      <c r="G25" s="2" t="s">
        <v>17</v>
      </c>
      <c r="H25" s="7">
        <v>-30.090773230739799</v>
      </c>
      <c r="I25" s="2">
        <v>1.8255240140908</v>
      </c>
      <c r="J25" s="8">
        <v>4.5490000000000004</v>
      </c>
      <c r="K25" s="2">
        <v>0.95</v>
      </c>
      <c r="L25" s="2">
        <v>23</v>
      </c>
    </row>
    <row r="26" spans="1:12" ht="14.25" customHeight="1" x14ac:dyDescent="0.3">
      <c r="G26" s="2" t="s">
        <v>18</v>
      </c>
      <c r="H26" s="10">
        <v>-8.5829070120043305</v>
      </c>
      <c r="I26" s="11">
        <v>2.2761352629882898</v>
      </c>
      <c r="J26" s="12">
        <v>4.4509999999999996</v>
      </c>
      <c r="K26" s="2">
        <v>0.95</v>
      </c>
      <c r="L26" s="2">
        <v>24</v>
      </c>
    </row>
    <row r="27" spans="1:12" ht="14.25" customHeight="1" x14ac:dyDescent="0.3">
      <c r="G27" s="2" t="s">
        <v>6</v>
      </c>
      <c r="H27" s="4">
        <v>-123.121919329714</v>
      </c>
      <c r="I27" s="5">
        <v>2.0882860305330202</v>
      </c>
      <c r="J27" s="6">
        <v>1.506</v>
      </c>
      <c r="K27" s="2">
        <v>0.97499999999999998</v>
      </c>
      <c r="L27" s="2">
        <v>25</v>
      </c>
    </row>
    <row r="28" spans="1:12" ht="14.25" customHeight="1" x14ac:dyDescent="0.3">
      <c r="G28" s="2" t="s">
        <v>16</v>
      </c>
      <c r="H28" s="7">
        <v>-17.149400610917699</v>
      </c>
      <c r="I28" s="2">
        <v>2.7807267398662798</v>
      </c>
      <c r="J28" s="8">
        <v>4.056</v>
      </c>
      <c r="K28" s="2">
        <v>0.97499999999999998</v>
      </c>
      <c r="L28" s="2">
        <v>26</v>
      </c>
    </row>
    <row r="29" spans="1:12" ht="14.25" customHeight="1" x14ac:dyDescent="0.3">
      <c r="G29" s="2" t="s">
        <v>17</v>
      </c>
      <c r="H29" s="7">
        <v>-30.1270662912133</v>
      </c>
      <c r="I29" s="2">
        <v>2.3021897708902799</v>
      </c>
      <c r="J29" s="8">
        <v>3.7690000000000001</v>
      </c>
      <c r="K29" s="2">
        <v>0.97499999999999998</v>
      </c>
      <c r="L29" s="2">
        <v>27</v>
      </c>
    </row>
    <row r="30" spans="1:12" ht="14.25" customHeight="1" x14ac:dyDescent="0.3">
      <c r="G30" s="2" t="s">
        <v>18</v>
      </c>
      <c r="H30" s="10">
        <v>-8.5942715356213295</v>
      </c>
      <c r="I30" s="11">
        <v>2.7384870081449302</v>
      </c>
      <c r="J30" s="12">
        <v>3.7080000000000002</v>
      </c>
      <c r="K30" s="2">
        <v>0.97499999999999998</v>
      </c>
      <c r="L30" s="2">
        <v>28</v>
      </c>
    </row>
    <row r="31" spans="1:12" ht="14.25" customHeight="1" x14ac:dyDescent="0.3">
      <c r="G31" s="2" t="s">
        <v>6</v>
      </c>
      <c r="H31" s="4">
        <v>-123.122014642663</v>
      </c>
      <c r="I31" s="5">
        <v>2.0882858904759001</v>
      </c>
      <c r="J31" s="6">
        <v>1.506</v>
      </c>
      <c r="K31" s="2">
        <v>1</v>
      </c>
      <c r="L31" s="2">
        <v>29</v>
      </c>
    </row>
    <row r="32" spans="1:12" ht="14.25" customHeight="1" x14ac:dyDescent="0.3">
      <c r="G32" s="2" t="s">
        <v>16</v>
      </c>
      <c r="H32" s="7">
        <v>-17.1503268262646</v>
      </c>
      <c r="I32" s="2">
        <v>2.78070141854203</v>
      </c>
      <c r="J32" s="8">
        <v>4.056</v>
      </c>
      <c r="K32" s="2">
        <v>1</v>
      </c>
      <c r="L32" s="2">
        <v>30</v>
      </c>
    </row>
    <row r="33" spans="7:12" ht="14.25" customHeight="1" x14ac:dyDescent="0.3">
      <c r="G33" s="2" t="s">
        <v>17</v>
      </c>
      <c r="H33" s="7">
        <v>-30.127888071476999</v>
      </c>
      <c r="I33" s="2">
        <v>2.3021797367479202</v>
      </c>
      <c r="J33" s="8">
        <v>3.7690000000000001</v>
      </c>
      <c r="K33" s="2">
        <v>1</v>
      </c>
      <c r="L33" s="2">
        <v>31</v>
      </c>
    </row>
    <row r="34" spans="7:12" ht="14.25" customHeight="1" x14ac:dyDescent="0.3">
      <c r="G34" s="2" t="s">
        <v>18</v>
      </c>
      <c r="H34" s="10">
        <v>-8.5948734788808707</v>
      </c>
      <c r="I34" s="11">
        <v>2.7384490211141101</v>
      </c>
      <c r="J34" s="12">
        <v>3.7080000000000002</v>
      </c>
      <c r="K34" s="2">
        <v>1</v>
      </c>
      <c r="L34" s="2">
        <v>32</v>
      </c>
    </row>
    <row r="35" spans="7:12" ht="14.25" customHeight="1" x14ac:dyDescent="0.3">
      <c r="G35" s="2" t="s">
        <v>6</v>
      </c>
      <c r="H35" s="4">
        <v>-123.152067853215</v>
      </c>
      <c r="I35" s="5">
        <v>2.27699083829491</v>
      </c>
      <c r="J35" s="6">
        <v>1.4490000000000001</v>
      </c>
      <c r="K35" s="2">
        <v>1.0249999999999999</v>
      </c>
      <c r="L35" s="2">
        <v>33</v>
      </c>
    </row>
    <row r="36" spans="7:12" ht="14.25" customHeight="1" x14ac:dyDescent="0.3">
      <c r="G36" s="2" t="s">
        <v>16</v>
      </c>
      <c r="H36" s="7">
        <v>-17.135473043306298</v>
      </c>
      <c r="I36" s="2">
        <v>2.4874535789607002</v>
      </c>
      <c r="J36" s="8">
        <v>4.5810000000000004</v>
      </c>
      <c r="K36" s="2">
        <v>1.0249999999999999</v>
      </c>
      <c r="L36" s="2">
        <v>34</v>
      </c>
    </row>
    <row r="37" spans="7:12" ht="14.25" customHeight="1" x14ac:dyDescent="0.3">
      <c r="G37" s="2" t="s">
        <v>17</v>
      </c>
      <c r="H37" s="7">
        <v>-30.091069530114101</v>
      </c>
      <c r="I37" s="2">
        <v>1.8248895543058501</v>
      </c>
      <c r="J37" s="8">
        <v>4.55</v>
      </c>
      <c r="K37" s="2">
        <v>1.0249999999999999</v>
      </c>
      <c r="L37" s="2">
        <v>35</v>
      </c>
    </row>
    <row r="38" spans="7:12" ht="14.25" customHeight="1" x14ac:dyDescent="0.3">
      <c r="G38" s="2" t="s">
        <v>18</v>
      </c>
      <c r="H38" s="10">
        <v>-8.58268992382229</v>
      </c>
      <c r="I38" s="11">
        <v>2.2741899716014702</v>
      </c>
      <c r="J38" s="12">
        <v>4.452</v>
      </c>
      <c r="K38" s="2">
        <v>1.0249999999999999</v>
      </c>
      <c r="L38" s="2">
        <v>36</v>
      </c>
    </row>
    <row r="39" spans="7:12" ht="14.25" customHeight="1" x14ac:dyDescent="0.3">
      <c r="G39" s="2" t="s">
        <v>6</v>
      </c>
      <c r="H39" s="4">
        <v>-123.122034661367</v>
      </c>
      <c r="I39" s="5">
        <v>2.0882858837799798</v>
      </c>
      <c r="J39" s="6">
        <v>1.506</v>
      </c>
      <c r="K39" s="2">
        <v>1.05</v>
      </c>
      <c r="L39" s="2">
        <v>37</v>
      </c>
    </row>
    <row r="40" spans="7:12" ht="14.25" customHeight="1" x14ac:dyDescent="0.3">
      <c r="G40" s="2" t="s">
        <v>16</v>
      </c>
      <c r="H40" s="7">
        <v>-17.150478683357601</v>
      </c>
      <c r="I40" s="2">
        <v>2.7806959155726201</v>
      </c>
      <c r="J40" s="8">
        <v>4.056</v>
      </c>
      <c r="K40" s="2">
        <v>1.05</v>
      </c>
      <c r="L40" s="2">
        <v>38</v>
      </c>
    </row>
    <row r="41" spans="7:12" ht="14.25" customHeight="1" x14ac:dyDescent="0.3">
      <c r="G41" s="2" t="s">
        <v>17</v>
      </c>
      <c r="H41" s="7">
        <v>-30.128119697815801</v>
      </c>
      <c r="I41" s="2">
        <v>2.3021766960798802</v>
      </c>
      <c r="J41" s="8">
        <v>3.7690000000000001</v>
      </c>
      <c r="K41" s="2">
        <v>1.05</v>
      </c>
      <c r="L41" s="2">
        <v>39</v>
      </c>
    </row>
    <row r="42" spans="7:12" ht="14.25" customHeight="1" x14ac:dyDescent="0.3">
      <c r="G42" s="2" t="s">
        <v>18</v>
      </c>
      <c r="H42" s="10">
        <v>-8.5949813622778208</v>
      </c>
      <c r="I42" s="11">
        <v>2.7384412752719198</v>
      </c>
      <c r="J42" s="12">
        <v>3.7080000000000002</v>
      </c>
      <c r="K42" s="2">
        <v>1.05</v>
      </c>
      <c r="L42" s="2">
        <v>40</v>
      </c>
    </row>
    <row r="43" spans="7:12" ht="14.25" customHeight="1" x14ac:dyDescent="0.3">
      <c r="G43" s="2" t="s">
        <v>6</v>
      </c>
      <c r="H43" s="4">
        <v>-123.15206785325</v>
      </c>
      <c r="I43" s="5">
        <v>2.2769908381333601</v>
      </c>
      <c r="J43" s="6">
        <v>1.4490000000000001</v>
      </c>
      <c r="K43" s="2">
        <v>1.075</v>
      </c>
      <c r="L43" s="2">
        <v>41</v>
      </c>
    </row>
    <row r="44" spans="7:12" ht="14.25" customHeight="1" x14ac:dyDescent="0.3">
      <c r="G44" s="2" t="s">
        <v>16</v>
      </c>
      <c r="H44" s="7">
        <v>-17.1354730432999</v>
      </c>
      <c r="I44" s="2">
        <v>2.48745357883447</v>
      </c>
      <c r="J44" s="8">
        <v>4.5810000000000004</v>
      </c>
      <c r="K44" s="2">
        <v>1.075</v>
      </c>
      <c r="L44" s="2">
        <v>42</v>
      </c>
    </row>
    <row r="45" spans="7:12" ht="14.25" customHeight="1" x14ac:dyDescent="0.3">
      <c r="G45" s="2" t="s">
        <v>17</v>
      </c>
      <c r="H45" s="7">
        <v>-30.091069530115899</v>
      </c>
      <c r="I45" s="2">
        <v>1.82488955462874</v>
      </c>
      <c r="J45" s="8">
        <v>4.55</v>
      </c>
      <c r="K45" s="2">
        <v>1.075</v>
      </c>
      <c r="L45" s="2">
        <v>43</v>
      </c>
    </row>
    <row r="46" spans="7:12" ht="14.25" customHeight="1" x14ac:dyDescent="0.3">
      <c r="G46" s="2" t="s">
        <v>18</v>
      </c>
      <c r="H46" s="10">
        <v>-8.5826899238216097</v>
      </c>
      <c r="I46" s="11">
        <v>2.27418997157974</v>
      </c>
      <c r="J46" s="12">
        <v>4.452</v>
      </c>
      <c r="K46" s="2">
        <v>1.075</v>
      </c>
      <c r="L46" s="2">
        <v>44</v>
      </c>
    </row>
    <row r="47" spans="7:12" ht="14.25" customHeight="1" x14ac:dyDescent="0.3">
      <c r="G47" s="2" t="s">
        <v>6</v>
      </c>
      <c r="H47" s="4">
        <v>-123.122014642697</v>
      </c>
      <c r="I47" s="5">
        <v>2.0882858872752501</v>
      </c>
      <c r="J47" s="6">
        <v>1.506</v>
      </c>
      <c r="K47" s="2">
        <v>1.1000000000000001</v>
      </c>
      <c r="L47" s="2">
        <v>45</v>
      </c>
    </row>
    <row r="48" spans="7:12" ht="14.25" customHeight="1" x14ac:dyDescent="0.3">
      <c r="G48" s="2" t="s">
        <v>16</v>
      </c>
      <c r="H48" s="7">
        <v>-17.150326828682701</v>
      </c>
      <c r="I48" s="2">
        <v>2.7807014194616602</v>
      </c>
      <c r="J48" s="8">
        <v>4.056</v>
      </c>
      <c r="K48" s="2">
        <v>1.1000000000000001</v>
      </c>
      <c r="L48" s="2">
        <v>46</v>
      </c>
    </row>
    <row r="49" spans="7:12" ht="14.25" customHeight="1" x14ac:dyDescent="0.3">
      <c r="G49" s="2" t="s">
        <v>17</v>
      </c>
      <c r="H49" s="7">
        <v>-30.1278880738511</v>
      </c>
      <c r="I49" s="2">
        <v>2.3021797296120798</v>
      </c>
      <c r="J49" s="8">
        <v>3.7690000000000001</v>
      </c>
      <c r="K49" s="2">
        <v>1.1000000000000001</v>
      </c>
      <c r="L49" s="2">
        <v>47</v>
      </c>
    </row>
    <row r="50" spans="7:12" ht="14.25" customHeight="1" x14ac:dyDescent="0.3">
      <c r="G50" s="2" t="s">
        <v>18</v>
      </c>
      <c r="H50" s="10">
        <v>-8.5948734813753909</v>
      </c>
      <c r="I50" s="11">
        <v>2.7384490151332899</v>
      </c>
      <c r="J50" s="12">
        <v>3.7080000000000002</v>
      </c>
      <c r="K50" s="2">
        <v>1.1000000000000001</v>
      </c>
      <c r="L50" s="2">
        <v>48</v>
      </c>
    </row>
    <row r="51" spans="7:12" ht="14.25" customHeight="1" x14ac:dyDescent="0.3">
      <c r="G51" s="2" t="s">
        <v>6</v>
      </c>
      <c r="H51" s="4">
        <v>-123.122034661749</v>
      </c>
      <c r="I51" s="5">
        <v>2.0882858853558202</v>
      </c>
      <c r="J51" s="6">
        <v>1.506</v>
      </c>
      <c r="K51" s="2">
        <v>1.125</v>
      </c>
      <c r="L51" s="2">
        <v>49</v>
      </c>
    </row>
    <row r="52" spans="7:12" ht="14.25" customHeight="1" x14ac:dyDescent="0.3">
      <c r="G52" s="2" t="s">
        <v>16</v>
      </c>
      <c r="H52" s="7">
        <v>-17.1504787029215</v>
      </c>
      <c r="I52" s="2">
        <v>2.7806959149747201</v>
      </c>
      <c r="J52" s="8">
        <v>4.056</v>
      </c>
      <c r="K52" s="2">
        <v>1.125</v>
      </c>
      <c r="L52" s="2">
        <v>50</v>
      </c>
    </row>
    <row r="53" spans="7:12" ht="14.25" customHeight="1" x14ac:dyDescent="0.3">
      <c r="G53" s="2" t="s">
        <v>17</v>
      </c>
      <c r="H53" s="7">
        <v>-30.128119694045399</v>
      </c>
      <c r="I53" s="2">
        <v>2.3021766998596198</v>
      </c>
      <c r="J53" s="8">
        <v>3.7690000000000001</v>
      </c>
      <c r="K53" s="2">
        <v>1.125</v>
      </c>
      <c r="L53" s="2">
        <v>51</v>
      </c>
    </row>
    <row r="54" spans="7:12" ht="14.25" customHeight="1" x14ac:dyDescent="0.3">
      <c r="G54" s="2" t="s">
        <v>18</v>
      </c>
      <c r="H54" s="10">
        <v>-8.5949813700856499</v>
      </c>
      <c r="I54" s="11">
        <v>2.7384412780012899</v>
      </c>
      <c r="J54" s="12">
        <v>3.7080000000000002</v>
      </c>
      <c r="K54" s="2">
        <v>1.125</v>
      </c>
      <c r="L54" s="2">
        <v>52</v>
      </c>
    </row>
    <row r="55" spans="7:12" ht="14.25" customHeight="1" x14ac:dyDescent="0.3">
      <c r="G55" s="2" t="s">
        <v>6</v>
      </c>
      <c r="H55" s="4">
        <v>-123.12191933078</v>
      </c>
      <c r="I55" s="5">
        <v>2.0882860286752201</v>
      </c>
      <c r="J55" s="6">
        <v>1.506</v>
      </c>
      <c r="K55" s="2">
        <v>1.1499999999999999</v>
      </c>
      <c r="L55" s="2">
        <v>53</v>
      </c>
    </row>
    <row r="56" spans="7:12" ht="14.25" customHeight="1" x14ac:dyDescent="0.3">
      <c r="G56" s="2" t="s">
        <v>16</v>
      </c>
      <c r="H56" s="7">
        <v>-17.1494005794946</v>
      </c>
      <c r="I56" s="2">
        <v>2.7807267401466498</v>
      </c>
      <c r="J56" s="8">
        <v>4.056</v>
      </c>
      <c r="K56" s="2">
        <v>1.1499999999999999</v>
      </c>
      <c r="L56" s="2">
        <v>54</v>
      </c>
    </row>
    <row r="57" spans="7:12" ht="14.25" customHeight="1" x14ac:dyDescent="0.3">
      <c r="G57" s="2" t="s">
        <v>17</v>
      </c>
      <c r="H57" s="7">
        <v>-30.127066290493602</v>
      </c>
      <c r="I57" s="2">
        <v>2.3021897666720501</v>
      </c>
      <c r="J57" s="8">
        <v>3.7690000000000001</v>
      </c>
      <c r="K57" s="2">
        <v>1.1499999999999999</v>
      </c>
      <c r="L57" s="2">
        <v>55</v>
      </c>
    </row>
    <row r="58" spans="7:12" ht="14.25" customHeight="1" x14ac:dyDescent="0.3">
      <c r="G58" s="2" t="s">
        <v>18</v>
      </c>
      <c r="H58" s="10">
        <v>-8.5942715285430893</v>
      </c>
      <c r="I58" s="11">
        <v>2.7384870048171499</v>
      </c>
      <c r="J58" s="12">
        <v>3.7080000000000002</v>
      </c>
      <c r="K58" s="2">
        <v>1.1499999999999999</v>
      </c>
      <c r="L58" s="2">
        <v>56</v>
      </c>
    </row>
    <row r="59" spans="7:12" ht="14.25" customHeight="1" x14ac:dyDescent="0.3">
      <c r="G59" s="2" t="s">
        <v>6</v>
      </c>
      <c r="H59" s="4">
        <v>-123.122014642696</v>
      </c>
      <c r="I59" s="5">
        <v>2.0882858872752301</v>
      </c>
      <c r="J59" s="6">
        <v>1.506</v>
      </c>
      <c r="K59" s="2">
        <v>1.175</v>
      </c>
      <c r="L59" s="2">
        <v>57</v>
      </c>
    </row>
    <row r="60" spans="7:12" ht="14.25" customHeight="1" x14ac:dyDescent="0.3">
      <c r="G60" s="2" t="s">
        <v>16</v>
      </c>
      <c r="H60" s="7">
        <v>-17.150326828692101</v>
      </c>
      <c r="I60" s="2">
        <v>2.7807014196279298</v>
      </c>
      <c r="J60" s="8">
        <v>4.056</v>
      </c>
      <c r="K60" s="2">
        <v>1.175</v>
      </c>
      <c r="L60" s="2">
        <v>58</v>
      </c>
    </row>
    <row r="61" spans="7:12" ht="14.25" customHeight="1" x14ac:dyDescent="0.3">
      <c r="G61" s="2" t="s">
        <v>17</v>
      </c>
      <c r="H61" s="7">
        <v>-30.127888073849402</v>
      </c>
      <c r="I61" s="2">
        <v>2.3021797295935702</v>
      </c>
      <c r="J61" s="8">
        <v>3.7690000000000001</v>
      </c>
      <c r="K61" s="2">
        <v>1.175</v>
      </c>
      <c r="L61" s="2">
        <v>59</v>
      </c>
    </row>
    <row r="62" spans="7:12" ht="14.25" customHeight="1" x14ac:dyDescent="0.3">
      <c r="G62" s="2" t="s">
        <v>18</v>
      </c>
      <c r="H62" s="10">
        <v>-8.5948734813754406</v>
      </c>
      <c r="I62" s="11">
        <v>2.7384490148190599</v>
      </c>
      <c r="J62" s="12">
        <v>3.7080000000000002</v>
      </c>
      <c r="K62" s="2">
        <v>1.175</v>
      </c>
      <c r="L62" s="2">
        <v>60</v>
      </c>
    </row>
    <row r="63" spans="7:12" ht="14.25" customHeight="1" x14ac:dyDescent="0.3"/>
    <row r="64" spans="7:12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G2:L62" xr:uid="{00000000-0009-0000-0000-000002000000}"/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6565"/>
  </sheetPr>
  <dimension ref="A1:AA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6.6640625" customWidth="1"/>
    <col min="3" max="8" width="8.6640625" customWidth="1"/>
    <col min="9" max="9" width="4.88671875" customWidth="1"/>
    <col min="10" max="10" width="6.33203125" customWidth="1"/>
    <col min="11" max="15" width="8.6640625" customWidth="1"/>
    <col min="16" max="16" width="5.109375" customWidth="1"/>
    <col min="17" max="27" width="8.6640625" customWidth="1"/>
  </cols>
  <sheetData>
    <row r="1" spans="1:27" ht="14.25" customHeight="1" x14ac:dyDescent="0.3">
      <c r="A1" s="2" t="s">
        <v>19</v>
      </c>
      <c r="B1" s="52" t="s">
        <v>20</v>
      </c>
      <c r="C1" s="53"/>
      <c r="D1" s="53"/>
      <c r="E1" s="53"/>
      <c r="F1" s="53"/>
      <c r="G1" s="53"/>
      <c r="H1" s="53"/>
      <c r="J1" s="52" t="s">
        <v>21</v>
      </c>
      <c r="K1" s="53"/>
      <c r="L1" s="53"/>
      <c r="M1" s="53"/>
      <c r="N1" s="53"/>
      <c r="O1" s="53"/>
      <c r="Q1" s="52" t="s">
        <v>22</v>
      </c>
      <c r="R1" s="53"/>
      <c r="S1" s="53"/>
      <c r="T1" s="53"/>
      <c r="U1" s="53"/>
      <c r="V1" s="53"/>
    </row>
    <row r="2" spans="1:27" ht="14.25" customHeight="1" x14ac:dyDescent="0.3">
      <c r="B2" s="2" t="s">
        <v>23</v>
      </c>
      <c r="C2" s="2" t="s">
        <v>24</v>
      </c>
      <c r="D2" s="2" t="s">
        <v>11</v>
      </c>
      <c r="E2" s="2" t="s">
        <v>12</v>
      </c>
      <c r="F2" s="2" t="s">
        <v>13</v>
      </c>
      <c r="G2" s="2" t="s">
        <v>25</v>
      </c>
      <c r="H2" s="2" t="s">
        <v>26</v>
      </c>
      <c r="J2" s="2" t="s">
        <v>23</v>
      </c>
      <c r="K2" s="2" t="s">
        <v>24</v>
      </c>
      <c r="L2" s="2" t="s">
        <v>11</v>
      </c>
      <c r="M2" s="2" t="s">
        <v>12</v>
      </c>
      <c r="N2" s="2" t="s">
        <v>25</v>
      </c>
      <c r="O2" s="2" t="s">
        <v>26</v>
      </c>
      <c r="Q2" s="2" t="s">
        <v>23</v>
      </c>
      <c r="R2" s="2" t="s">
        <v>24</v>
      </c>
      <c r="S2" s="2" t="s">
        <v>6</v>
      </c>
      <c r="T2" s="2" t="s">
        <v>16</v>
      </c>
      <c r="U2" s="2" t="s">
        <v>17</v>
      </c>
      <c r="V2" s="2" t="s">
        <v>18</v>
      </c>
    </row>
    <row r="3" spans="1:27" ht="14.25" customHeight="1" x14ac:dyDescent="0.3">
      <c r="B3" s="2">
        <v>1</v>
      </c>
      <c r="C3" s="5">
        <v>0.75</v>
      </c>
      <c r="D3" s="2">
        <v>114.688594606552</v>
      </c>
      <c r="E3" s="2">
        <v>0.16704439211823599</v>
      </c>
      <c r="F3" s="2">
        <v>0.56799999999999995</v>
      </c>
      <c r="G3" s="2">
        <v>-13.856642506217501</v>
      </c>
      <c r="H3" s="5" t="s">
        <v>6</v>
      </c>
      <c r="J3" s="2">
        <v>1</v>
      </c>
      <c r="K3" s="5">
        <v>0.75</v>
      </c>
      <c r="L3" s="2">
        <v>117.67136900911601</v>
      </c>
      <c r="M3" s="15">
        <v>9.5045289726359498E-10</v>
      </c>
      <c r="N3" s="2">
        <v>-11.770775126820901</v>
      </c>
      <c r="O3" s="5" t="s">
        <v>6</v>
      </c>
      <c r="Q3" s="2">
        <v>1</v>
      </c>
      <c r="R3" s="2">
        <v>0.75</v>
      </c>
      <c r="S3" s="16">
        <v>-0.12207433347442299</v>
      </c>
      <c r="T3" s="17">
        <v>1.0758238893473E-2</v>
      </c>
      <c r="U3" s="17">
        <v>2.3849433889466799E-2</v>
      </c>
      <c r="V3" s="17">
        <v>1.1260447352516601E-2</v>
      </c>
      <c r="X3" s="2">
        <f t="shared" ref="X3:AA3" si="0">S4-S3</f>
        <v>1.1094919386452989E-2</v>
      </c>
      <c r="Y3" s="2">
        <f t="shared" si="0"/>
        <v>-1.6064123773986208E-3</v>
      </c>
      <c r="Z3" s="2">
        <f t="shared" si="0"/>
        <v>-2.017141193298197E-3</v>
      </c>
      <c r="AA3" s="2">
        <f t="shared" si="0"/>
        <v>-9.4707817301220056E-4</v>
      </c>
    </row>
    <row r="4" spans="1:27" ht="14.25" customHeight="1" x14ac:dyDescent="0.3">
      <c r="B4" s="2">
        <v>2</v>
      </c>
      <c r="C4" s="2">
        <v>0.75</v>
      </c>
      <c r="D4" s="2">
        <v>-17.273844389175601</v>
      </c>
      <c r="E4" s="2">
        <v>2.8004614540139499</v>
      </c>
      <c r="F4" s="2">
        <v>1.462</v>
      </c>
      <c r="G4" s="2">
        <v>91.910571532838802</v>
      </c>
      <c r="H4" s="2" t="s">
        <v>16</v>
      </c>
      <c r="J4" s="2">
        <v>2</v>
      </c>
      <c r="K4" s="2">
        <v>0.75</v>
      </c>
      <c r="L4" s="2">
        <v>-17.393537592517301</v>
      </c>
      <c r="M4" s="2">
        <v>4.3928005928949103</v>
      </c>
      <c r="N4" s="2">
        <v>82.781005595278202</v>
      </c>
      <c r="O4" s="2" t="s">
        <v>16</v>
      </c>
      <c r="Q4" s="2">
        <v>2</v>
      </c>
      <c r="R4" s="2">
        <v>0.77500000000000002</v>
      </c>
      <c r="S4" s="2">
        <v>-0.11097941408797</v>
      </c>
      <c r="T4" s="2">
        <v>9.1518265160743795E-3</v>
      </c>
      <c r="U4" s="2">
        <v>2.1832292696168602E-2</v>
      </c>
      <c r="V4" s="2">
        <v>1.03133691795044E-2</v>
      </c>
      <c r="X4" s="2">
        <f t="shared" ref="X4:AA4" si="1">S5-S4</f>
        <v>1.1100751378086804E-2</v>
      </c>
      <c r="Y4" s="2">
        <f t="shared" si="1"/>
        <v>-1.6072567804457094E-3</v>
      </c>
      <c r="Z4" s="2">
        <f t="shared" si="1"/>
        <v>-2.0182014939962023E-3</v>
      </c>
      <c r="AA4" s="2">
        <f t="shared" si="1"/>
        <v>-9.47576000117651E-4</v>
      </c>
    </row>
    <row r="5" spans="1:27" ht="14.25" customHeight="1" x14ac:dyDescent="0.3">
      <c r="B5" s="2">
        <v>3</v>
      </c>
      <c r="C5" s="2">
        <v>0.75</v>
      </c>
      <c r="D5" s="2">
        <v>-30.314891300943302</v>
      </c>
      <c r="E5" s="2">
        <v>2.14602357353349</v>
      </c>
      <c r="F5" s="2">
        <v>1.4750000000000001</v>
      </c>
      <c r="G5" s="2">
        <v>93.031877059640095</v>
      </c>
      <c r="H5" s="2" t="s">
        <v>17</v>
      </c>
      <c r="J5" s="2">
        <v>3</v>
      </c>
      <c r="K5" s="2">
        <v>0.75</v>
      </c>
      <c r="L5" s="2">
        <v>-30.529741174893299</v>
      </c>
      <c r="M5" s="2">
        <v>3.7769873560573499</v>
      </c>
      <c r="N5" s="2">
        <v>82.1142050359975</v>
      </c>
      <c r="O5" s="2" t="s">
        <v>17</v>
      </c>
      <c r="Q5" s="2">
        <v>3</v>
      </c>
      <c r="R5" s="2">
        <v>0.8</v>
      </c>
      <c r="S5" s="2">
        <v>-9.9878662709883201E-2</v>
      </c>
      <c r="T5" s="2">
        <v>7.5445697356286701E-3</v>
      </c>
      <c r="U5" s="2">
        <v>1.9814091202172399E-2</v>
      </c>
      <c r="V5" s="2">
        <v>9.3657931793867492E-3</v>
      </c>
      <c r="X5" s="2">
        <f t="shared" ref="X5:AA5" si="2">S6-S5</f>
        <v>1.1106884877046294E-2</v>
      </c>
      <c r="Y5" s="2">
        <f t="shared" si="2"/>
        <v>-1.6081448381442005E-3</v>
      </c>
      <c r="Z5" s="2">
        <f t="shared" si="2"/>
        <v>-2.019316610995598E-3</v>
      </c>
      <c r="AA5" s="2">
        <f t="shared" si="2"/>
        <v>-9.4809956440191842E-4</v>
      </c>
    </row>
    <row r="6" spans="1:27" ht="14.25" customHeight="1" x14ac:dyDescent="0.3">
      <c r="B6" s="2">
        <v>4</v>
      </c>
      <c r="C6" s="2">
        <v>0.75</v>
      </c>
      <c r="D6" s="2">
        <v>-8.6482831321290998</v>
      </c>
      <c r="E6" s="2">
        <v>2.48492490726241</v>
      </c>
      <c r="F6" s="2">
        <v>1.409</v>
      </c>
      <c r="G6" s="2">
        <v>92.529754173140404</v>
      </c>
      <c r="H6" s="2" t="s">
        <v>18</v>
      </c>
      <c r="J6" s="2">
        <v>4</v>
      </c>
      <c r="K6" s="11">
        <v>0.75</v>
      </c>
      <c r="L6" s="2">
        <v>-8.7069251843244597</v>
      </c>
      <c r="M6" s="2">
        <v>4.0338130879998699</v>
      </c>
      <c r="N6" s="2">
        <v>82.911675209395497</v>
      </c>
      <c r="O6" s="2" t="s">
        <v>18</v>
      </c>
      <c r="Q6" s="2">
        <v>4</v>
      </c>
      <c r="R6" s="2">
        <v>0.82499999999999996</v>
      </c>
      <c r="S6" s="2">
        <v>-8.8771777832836907E-2</v>
      </c>
      <c r="T6" s="2">
        <v>5.9364248974844696E-3</v>
      </c>
      <c r="U6" s="2">
        <v>1.7794774591176801E-2</v>
      </c>
      <c r="V6" s="2">
        <v>8.4176936149848308E-3</v>
      </c>
      <c r="X6" s="2">
        <f t="shared" ref="X6:AA6" si="3">S7-S6</f>
        <v>1.1113022828529009E-2</v>
      </c>
      <c r="Y6" s="2">
        <f t="shared" si="3"/>
        <v>-1.6090335405181096E-3</v>
      </c>
      <c r="Z6" s="2">
        <f t="shared" si="3"/>
        <v>-2.0204325375265016E-3</v>
      </c>
      <c r="AA6" s="2">
        <f t="shared" si="3"/>
        <v>-9.4862350868438108E-4</v>
      </c>
    </row>
    <row r="7" spans="1:27" ht="14.25" customHeight="1" x14ac:dyDescent="0.3">
      <c r="B7" s="2">
        <v>5</v>
      </c>
      <c r="C7" s="11">
        <v>0.75</v>
      </c>
      <c r="D7" s="2">
        <v>-123.866507261013</v>
      </c>
      <c r="E7" s="2">
        <v>0.79445699820707905</v>
      </c>
      <c r="F7" s="2">
        <v>1.2430000000000001</v>
      </c>
      <c r="G7" s="2">
        <v>98.894179996770205</v>
      </c>
      <c r="H7" s="11" t="s">
        <v>27</v>
      </c>
      <c r="J7" s="2">
        <v>5</v>
      </c>
      <c r="K7" s="5">
        <v>0.77500000000000002</v>
      </c>
      <c r="L7" s="2">
        <v>117.670828404297</v>
      </c>
      <c r="M7" s="15">
        <v>4.7525773835950804E-10</v>
      </c>
      <c r="N7" s="2">
        <v>-27.363429817403102</v>
      </c>
      <c r="O7" s="5" t="s">
        <v>6</v>
      </c>
      <c r="Q7" s="2">
        <v>5</v>
      </c>
      <c r="R7" s="2">
        <v>0.85</v>
      </c>
      <c r="S7" s="2">
        <v>-7.7658755004307897E-2</v>
      </c>
      <c r="T7" s="2">
        <v>4.32739135696636E-3</v>
      </c>
      <c r="U7" s="2">
        <v>1.57743420536503E-2</v>
      </c>
      <c r="V7" s="2">
        <v>7.4690701063004497E-3</v>
      </c>
      <c r="X7" s="2">
        <f t="shared" ref="X7:AA7" si="4">S8-S7</f>
        <v>1.1119165235900896E-2</v>
      </c>
      <c r="Y7" s="2">
        <f t="shared" si="4"/>
        <v>-1.6099228880506202E-3</v>
      </c>
      <c r="Z7" s="2">
        <f t="shared" si="4"/>
        <v>-2.0215492741368999E-3</v>
      </c>
      <c r="AA7" s="2">
        <f t="shared" si="4"/>
        <v>-9.491478333663499E-4</v>
      </c>
    </row>
    <row r="8" spans="1:27" ht="14.25" customHeight="1" x14ac:dyDescent="0.3">
      <c r="B8" s="2">
        <v>6</v>
      </c>
      <c r="C8" s="5">
        <v>0.77500000000000002</v>
      </c>
      <c r="D8" s="2">
        <v>114.729682107345</v>
      </c>
      <c r="E8" s="2">
        <v>0.160852172657624</v>
      </c>
      <c r="F8" s="2">
        <v>7.5999999999999998E-2</v>
      </c>
      <c r="G8" s="2">
        <v>-27.9229637105527</v>
      </c>
      <c r="H8" s="5" t="s">
        <v>6</v>
      </c>
      <c r="J8" s="2">
        <v>6</v>
      </c>
      <c r="K8" s="2">
        <v>0.77500000000000002</v>
      </c>
      <c r="L8" s="2">
        <v>-17.3977058461453</v>
      </c>
      <c r="M8" s="2">
        <v>4.3921952521791701</v>
      </c>
      <c r="N8" s="2">
        <v>81.040486428469904</v>
      </c>
      <c r="O8" s="2" t="s">
        <v>16</v>
      </c>
      <c r="Q8" s="2">
        <v>6</v>
      </c>
      <c r="R8" s="2">
        <v>0.875</v>
      </c>
      <c r="S8" s="2">
        <v>-6.6539589768407001E-2</v>
      </c>
      <c r="T8" s="2">
        <v>2.7174684689157398E-3</v>
      </c>
      <c r="U8" s="2">
        <v>1.37527927795134E-2</v>
      </c>
      <c r="V8" s="2">
        <v>6.5199222729340998E-3</v>
      </c>
      <c r="X8" s="2">
        <f t="shared" ref="X8:AA8" si="5">S9-S8</f>
        <v>1.1125312102602099E-2</v>
      </c>
      <c r="Y8" s="2">
        <f t="shared" si="5"/>
        <v>-1.6108128812533098E-3</v>
      </c>
      <c r="Z8" s="2">
        <f t="shared" si="5"/>
        <v>-2.0226668215375995E-3</v>
      </c>
      <c r="AA8" s="2">
        <f t="shared" si="5"/>
        <v>-9.4967253866517966E-4</v>
      </c>
    </row>
    <row r="9" spans="1:27" ht="14.25" customHeight="1" x14ac:dyDescent="0.3">
      <c r="B9" s="2">
        <v>7</v>
      </c>
      <c r="C9" s="2">
        <v>0.77500000000000002</v>
      </c>
      <c r="D9" s="2">
        <v>-17.278011462138199</v>
      </c>
      <c r="E9" s="2">
        <v>2.80025058381531</v>
      </c>
      <c r="F9" s="2">
        <v>1.4610000000000001</v>
      </c>
      <c r="G9" s="2">
        <v>91.092770185275299</v>
      </c>
      <c r="H9" s="2" t="s">
        <v>16</v>
      </c>
      <c r="J9" s="2">
        <v>7</v>
      </c>
      <c r="K9" s="2">
        <v>0.77500000000000002</v>
      </c>
      <c r="L9" s="2">
        <v>-30.53299234336</v>
      </c>
      <c r="M9" s="2">
        <v>3.7767750830255098</v>
      </c>
      <c r="N9" s="2">
        <v>80.158518765591893</v>
      </c>
      <c r="O9" s="2" t="s">
        <v>17</v>
      </c>
      <c r="Q9" s="2">
        <v>7</v>
      </c>
      <c r="R9" s="2">
        <v>0.9</v>
      </c>
      <c r="S9" s="2">
        <v>-5.5414277665804902E-2</v>
      </c>
      <c r="T9" s="2">
        <v>1.10665558766243E-3</v>
      </c>
      <c r="U9" s="2">
        <v>1.17301259579758E-2</v>
      </c>
      <c r="V9" s="2">
        <v>5.5702497342689202E-3</v>
      </c>
      <c r="X9" s="2">
        <f t="shared" ref="X9:AA9" si="6">S10-S9</f>
        <v>1.1131463432043201E-2</v>
      </c>
      <c r="Y9" s="2">
        <f t="shared" si="6"/>
        <v>-1.6117035206093529E-3</v>
      </c>
      <c r="Z9" s="2">
        <f t="shared" si="6"/>
        <v>-2.0237851802766098E-3</v>
      </c>
      <c r="AA9" s="2">
        <f t="shared" si="6"/>
        <v>-9.501976249653701E-4</v>
      </c>
    </row>
    <row r="10" spans="1:27" ht="14.25" customHeight="1" x14ac:dyDescent="0.3">
      <c r="B10" s="2">
        <v>8</v>
      </c>
      <c r="C10" s="2">
        <v>0.77500000000000002</v>
      </c>
      <c r="D10" s="2">
        <v>-30.3181377014722</v>
      </c>
      <c r="E10" s="2">
        <v>2.1459520037945601</v>
      </c>
      <c r="F10" s="2">
        <v>1.4750000000000001</v>
      </c>
      <c r="G10" s="2">
        <v>92.270088648435703</v>
      </c>
      <c r="H10" s="2" t="s">
        <v>17</v>
      </c>
      <c r="J10" s="2">
        <v>8</v>
      </c>
      <c r="K10" s="11">
        <v>0.77500000000000002</v>
      </c>
      <c r="L10" s="2">
        <v>-8.7086729568134604</v>
      </c>
      <c r="M10" s="2">
        <v>4.0333564162159297</v>
      </c>
      <c r="N10" s="2">
        <v>81.094465190181197</v>
      </c>
      <c r="O10" s="2" t="s">
        <v>18</v>
      </c>
      <c r="Q10" s="2">
        <v>8</v>
      </c>
      <c r="R10" s="2">
        <v>0.92500000000000004</v>
      </c>
      <c r="S10" s="2">
        <v>-4.4282814233761701E-2</v>
      </c>
      <c r="T10" s="2">
        <v>-5.0504793294692295E-4</v>
      </c>
      <c r="U10" s="2">
        <v>9.7063407776991906E-3</v>
      </c>
      <c r="V10" s="2">
        <v>4.6200521093035501E-3</v>
      </c>
      <c r="X10" s="2">
        <f t="shared" ref="X10:AA10" si="7">S11-S10</f>
        <v>1.1137917601870398E-2</v>
      </c>
      <c r="Y10" s="2">
        <f t="shared" si="7"/>
        <v>-1.6126380076286768E-3</v>
      </c>
      <c r="Z10" s="2">
        <f t="shared" si="7"/>
        <v>-2.0249585976728204E-3</v>
      </c>
      <c r="AA10" s="2">
        <f t="shared" si="7"/>
        <v>-9.5074856211432987E-4</v>
      </c>
    </row>
    <row r="11" spans="1:27" ht="14.25" customHeight="1" x14ac:dyDescent="0.3">
      <c r="B11" s="2">
        <v>9</v>
      </c>
      <c r="C11" s="2">
        <v>0.77500000000000002</v>
      </c>
      <c r="D11" s="2">
        <v>-8.6500293385512705</v>
      </c>
      <c r="E11" s="2">
        <v>2.4847578011121398</v>
      </c>
      <c r="F11" s="2">
        <v>1.4079999999999999</v>
      </c>
      <c r="G11" s="2">
        <v>91.735483749863604</v>
      </c>
      <c r="H11" s="2" t="s">
        <v>18</v>
      </c>
      <c r="J11" s="2">
        <v>9</v>
      </c>
      <c r="K11" s="5">
        <v>0.8</v>
      </c>
      <c r="L11" s="2">
        <v>117.670828401854</v>
      </c>
      <c r="M11" s="15">
        <v>4.75257738414946E-10</v>
      </c>
      <c r="N11" s="2">
        <v>-27.363429817732101</v>
      </c>
      <c r="O11" s="5" t="s">
        <v>6</v>
      </c>
      <c r="Q11" s="2">
        <v>9</v>
      </c>
      <c r="R11" s="2">
        <v>0.95</v>
      </c>
      <c r="S11" s="2">
        <v>-3.3144896631891303E-2</v>
      </c>
      <c r="T11" s="2">
        <v>-2.1176859405755998E-3</v>
      </c>
      <c r="U11" s="2">
        <v>7.6813821800263702E-3</v>
      </c>
      <c r="V11" s="2">
        <v>3.6693035471892202E-3</v>
      </c>
      <c r="X11" s="2">
        <f t="shared" ref="X11:AA11" si="8">S12-S11</f>
        <v>1.1143779657825304E-2</v>
      </c>
      <c r="Y11" s="2">
        <f t="shared" si="8"/>
        <v>-1.6134867636026203E-3</v>
      </c>
      <c r="Z11" s="2">
        <f t="shared" si="8"/>
        <v>-2.0260243643122006E-3</v>
      </c>
      <c r="AA11" s="2">
        <f t="shared" si="8"/>
        <v>-9.5124895558323019E-4</v>
      </c>
    </row>
    <row r="12" spans="1:27" ht="14.25" customHeight="1" x14ac:dyDescent="0.3">
      <c r="B12" s="2">
        <v>10</v>
      </c>
      <c r="C12" s="11">
        <v>0.77500000000000002</v>
      </c>
      <c r="D12" s="2">
        <v>-123.86706133480899</v>
      </c>
      <c r="E12" s="2">
        <v>0.79445649925596695</v>
      </c>
      <c r="F12" s="2">
        <v>1.2430000000000001</v>
      </c>
      <c r="G12" s="2">
        <v>98.740589637469796</v>
      </c>
      <c r="H12" s="11" t="s">
        <v>27</v>
      </c>
      <c r="J12" s="2">
        <v>10</v>
      </c>
      <c r="K12" s="2">
        <v>0.8</v>
      </c>
      <c r="L12" s="2">
        <v>-17.3977058467561</v>
      </c>
      <c r="M12" s="2">
        <v>4.3921952511328399</v>
      </c>
      <c r="N12" s="2">
        <v>81.040486404998205</v>
      </c>
      <c r="O12" s="2" t="s">
        <v>16</v>
      </c>
      <c r="Q12" s="2">
        <v>10</v>
      </c>
      <c r="R12" s="2">
        <v>0.97499999999999998</v>
      </c>
      <c r="S12" s="2">
        <v>-2.2001116974065999E-2</v>
      </c>
      <c r="T12" s="2">
        <v>-3.7311727041782201E-3</v>
      </c>
      <c r="U12" s="2">
        <v>5.6553578157141696E-3</v>
      </c>
      <c r="V12" s="2">
        <v>2.71805459160599E-3</v>
      </c>
      <c r="X12" s="2">
        <f t="shared" ref="X12:AA12" si="9">S13-S12</f>
        <v>1.1149944396008799E-2</v>
      </c>
      <c r="Y12" s="2">
        <f t="shared" si="9"/>
        <v>-1.6143793443888E-3</v>
      </c>
      <c r="Z12" s="2">
        <f t="shared" si="9"/>
        <v>-2.0271451608420794E-3</v>
      </c>
      <c r="AA12" s="2">
        <f t="shared" si="9"/>
        <v>-9.5177518645909011E-4</v>
      </c>
    </row>
    <row r="13" spans="1:27" ht="14.25" customHeight="1" x14ac:dyDescent="0.3">
      <c r="B13" s="2">
        <v>11</v>
      </c>
      <c r="C13" s="5">
        <v>0.8</v>
      </c>
      <c r="D13" s="2">
        <v>114.729527221259</v>
      </c>
      <c r="E13" s="2">
        <v>0.16101794057859101</v>
      </c>
      <c r="F13" s="2">
        <v>7.8E-2</v>
      </c>
      <c r="G13" s="2">
        <v>-27.924458410087698</v>
      </c>
      <c r="H13" s="5" t="s">
        <v>6</v>
      </c>
      <c r="J13" s="2">
        <v>11</v>
      </c>
      <c r="K13" s="2">
        <v>0.8</v>
      </c>
      <c r="L13" s="2">
        <v>-30.532992343442999</v>
      </c>
      <c r="M13" s="2">
        <v>3.7767750825289998</v>
      </c>
      <c r="N13" s="2">
        <v>80.158518762458797</v>
      </c>
      <c r="O13" s="2" t="s">
        <v>17</v>
      </c>
      <c r="Q13" s="2">
        <v>11</v>
      </c>
      <c r="R13" s="2">
        <v>1</v>
      </c>
      <c r="S13" s="2">
        <v>-1.08511725780572E-2</v>
      </c>
      <c r="T13" s="2">
        <v>-5.3455520485670201E-3</v>
      </c>
      <c r="U13" s="2">
        <v>3.6282126548720902E-3</v>
      </c>
      <c r="V13" s="2">
        <v>1.7662794051468999E-3</v>
      </c>
      <c r="X13" s="2">
        <f t="shared" ref="X13:AA13" si="10">S14-S13</f>
        <v>1.1156113610663243E-2</v>
      </c>
      <c r="Y13" s="2">
        <f t="shared" si="10"/>
        <v>-1.6152725732894099E-3</v>
      </c>
      <c r="Z13" s="2">
        <f t="shared" si="10"/>
        <v>-2.0282667712479001E-3</v>
      </c>
      <c r="AA13" s="2">
        <f t="shared" si="10"/>
        <v>-9.5230179942304492E-4</v>
      </c>
    </row>
    <row r="14" spans="1:27" ht="14.25" customHeight="1" x14ac:dyDescent="0.3">
      <c r="B14" s="2">
        <v>12</v>
      </c>
      <c r="C14" s="2">
        <v>0.8</v>
      </c>
      <c r="D14" s="2">
        <v>-17.2780114626905</v>
      </c>
      <c r="E14" s="2">
        <v>2.8002505807198901</v>
      </c>
      <c r="F14" s="2">
        <v>1.4610000000000001</v>
      </c>
      <c r="G14" s="2">
        <v>91.092770187175702</v>
      </c>
      <c r="H14" s="2" t="s">
        <v>16</v>
      </c>
      <c r="J14" s="2">
        <v>12</v>
      </c>
      <c r="K14" s="11">
        <v>0.8</v>
      </c>
      <c r="L14" s="2">
        <v>-8.7086729568540804</v>
      </c>
      <c r="M14" s="2">
        <v>4.03335641585132</v>
      </c>
      <c r="N14" s="2">
        <v>81.094465187124001</v>
      </c>
      <c r="O14" s="2" t="s">
        <v>18</v>
      </c>
      <c r="Q14" s="2">
        <v>12</v>
      </c>
      <c r="R14" s="2">
        <v>1.0249999999999999</v>
      </c>
      <c r="S14" s="2">
        <v>3.0494103260604198E-4</v>
      </c>
      <c r="T14" s="2">
        <v>-6.9608246218564301E-3</v>
      </c>
      <c r="U14" s="2">
        <v>1.5999458836241901E-3</v>
      </c>
      <c r="V14" s="2">
        <v>8.1397760572385499E-4</v>
      </c>
      <c r="X14" s="2">
        <f t="shared" ref="X14:AA14" si="11">S15-S14</f>
        <v>1.1162287305110558E-2</v>
      </c>
      <c r="Y14" s="2">
        <f t="shared" si="11"/>
        <v>-1.6161664508445098E-3</v>
      </c>
      <c r="Z14" s="2">
        <f t="shared" si="11"/>
        <v>-2.0293891961184092E-3</v>
      </c>
      <c r="AA14" s="2">
        <f t="shared" si="11"/>
        <v>-9.5282879480945997E-4</v>
      </c>
    </row>
    <row r="15" spans="1:27" ht="14.25" customHeight="1" x14ac:dyDescent="0.3">
      <c r="B15" s="2">
        <v>13</v>
      </c>
      <c r="C15" s="2">
        <v>0.8</v>
      </c>
      <c r="D15" s="2">
        <v>-30.318137701546</v>
      </c>
      <c r="E15" s="2">
        <v>2.1459520030775798</v>
      </c>
      <c r="F15" s="2">
        <v>1.4750000000000001</v>
      </c>
      <c r="G15" s="2">
        <v>92.270088649932205</v>
      </c>
      <c r="H15" s="2" t="s">
        <v>17</v>
      </c>
      <c r="J15" s="2">
        <v>13</v>
      </c>
      <c r="K15" s="5">
        <v>0.82499999999999996</v>
      </c>
      <c r="L15" s="2">
        <v>117.67082839874701</v>
      </c>
      <c r="M15" s="15">
        <v>4.7525773079885205E-10</v>
      </c>
      <c r="N15" s="2">
        <v>-27.363429818049202</v>
      </c>
      <c r="O15" s="5" t="s">
        <v>6</v>
      </c>
      <c r="Q15" s="2">
        <v>13</v>
      </c>
      <c r="R15" s="2">
        <v>1.05</v>
      </c>
      <c r="S15" s="2">
        <v>1.1467228337716601E-2</v>
      </c>
      <c r="T15" s="2">
        <v>-8.5769910727009398E-3</v>
      </c>
      <c r="U15" s="2">
        <v>-4.2944331249421898E-4</v>
      </c>
      <c r="V15" s="2">
        <v>-1.38851189085605E-4</v>
      </c>
      <c r="X15" s="2">
        <f t="shared" ref="X15:AA15" si="12">S16-S15</f>
        <v>1.1168465482776099E-2</v>
      </c>
      <c r="Y15" s="2">
        <f t="shared" si="12"/>
        <v>-1.6170609774661601E-3</v>
      </c>
      <c r="Z15" s="2">
        <f t="shared" si="12"/>
        <v>-2.0305124360423411E-3</v>
      </c>
      <c r="AA15" s="2">
        <f t="shared" si="12"/>
        <v>-9.5335617286911511E-4</v>
      </c>
    </row>
    <row r="16" spans="1:27" ht="14.25" customHeight="1" x14ac:dyDescent="0.3">
      <c r="B16" s="2">
        <v>14</v>
      </c>
      <c r="C16" s="2">
        <v>0.8</v>
      </c>
      <c r="D16" s="2">
        <v>-8.6500293385862399</v>
      </c>
      <c r="E16" s="2">
        <v>2.4847578004620798</v>
      </c>
      <c r="F16" s="2">
        <v>1.4079999999999999</v>
      </c>
      <c r="G16" s="2">
        <v>91.735483751005205</v>
      </c>
      <c r="H16" s="2" t="s">
        <v>18</v>
      </c>
      <c r="J16" s="2">
        <v>14</v>
      </c>
      <c r="K16" s="2">
        <v>0.82499999999999996</v>
      </c>
      <c r="L16" s="2">
        <v>-17.397705846670299</v>
      </c>
      <c r="M16" s="2">
        <v>4.3921952476529897</v>
      </c>
      <c r="N16" s="2">
        <v>81.040486401928504</v>
      </c>
      <c r="O16" s="2" t="s">
        <v>16</v>
      </c>
      <c r="Q16" s="2">
        <v>14</v>
      </c>
      <c r="R16" s="2">
        <v>1.075</v>
      </c>
      <c r="S16" s="2">
        <v>2.26356938204927E-2</v>
      </c>
      <c r="T16" s="2">
        <v>-1.01940520501671E-2</v>
      </c>
      <c r="U16" s="2">
        <v>-2.4599557485365602E-3</v>
      </c>
      <c r="V16" s="2">
        <v>-1.0922073619547201E-3</v>
      </c>
      <c r="X16" s="2">
        <f t="shared" ref="X16:AA16" si="13">S17-S16</f>
        <v>1.1174648147100202E-2</v>
      </c>
      <c r="Y16" s="2">
        <f t="shared" si="13"/>
        <v>-1.6179561537938997E-3</v>
      </c>
      <c r="Z16" s="2">
        <f t="shared" si="13"/>
        <v>-2.0316364917302297E-3</v>
      </c>
      <c r="AA16" s="2">
        <f t="shared" si="13"/>
        <v>-9.5388393395309974E-4</v>
      </c>
    </row>
    <row r="17" spans="2:27" ht="14.25" customHeight="1" x14ac:dyDescent="0.3">
      <c r="B17" s="2">
        <v>15</v>
      </c>
      <c r="C17" s="11">
        <v>0.8</v>
      </c>
      <c r="D17" s="2">
        <v>-123.867061335895</v>
      </c>
      <c r="E17" s="2">
        <v>0.79445649694956899</v>
      </c>
      <c r="F17" s="2">
        <v>1.2430000000000001</v>
      </c>
      <c r="G17" s="2">
        <v>98.740589650356497</v>
      </c>
      <c r="H17" s="11" t="s">
        <v>27</v>
      </c>
      <c r="J17" s="2">
        <v>15</v>
      </c>
      <c r="K17" s="2">
        <v>0.82499999999999996</v>
      </c>
      <c r="L17" s="2">
        <v>-30.532992343477801</v>
      </c>
      <c r="M17" s="2">
        <v>3.7767750821594599</v>
      </c>
      <c r="N17" s="2">
        <v>80.158518758937504</v>
      </c>
      <c r="O17" s="2" t="s">
        <v>17</v>
      </c>
      <c r="Q17" s="2">
        <v>15</v>
      </c>
      <c r="R17" s="2">
        <v>1.1000000000000001</v>
      </c>
      <c r="S17" s="2">
        <v>3.3810341967592902E-2</v>
      </c>
      <c r="T17" s="2">
        <v>-1.1812008203961E-2</v>
      </c>
      <c r="U17" s="2">
        <v>-4.49159224026679E-3</v>
      </c>
      <c r="V17" s="2">
        <v>-2.0460912959078198E-3</v>
      </c>
      <c r="X17" s="2">
        <f t="shared" ref="X17:AA17" si="14">S18-S17</f>
        <v>1.1181134833666395E-2</v>
      </c>
      <c r="Y17" s="2">
        <f t="shared" si="14"/>
        <v>-1.6188953487982997E-3</v>
      </c>
      <c r="Z17" s="2">
        <f t="shared" si="14"/>
        <v>-2.03281582094356E-3</v>
      </c>
      <c r="AA17" s="2">
        <f t="shared" si="14"/>
        <v>-9.5443764678292999E-4</v>
      </c>
    </row>
    <row r="18" spans="2:27" ht="14.25" customHeight="1" x14ac:dyDescent="0.3">
      <c r="B18" s="2">
        <v>16</v>
      </c>
      <c r="C18" s="5">
        <v>0.82499999999999996</v>
      </c>
      <c r="D18" s="2">
        <v>114.729662809469</v>
      </c>
      <c r="E18" s="2">
        <v>0.161410682708204</v>
      </c>
      <c r="F18" s="2">
        <v>7.3999999999999996E-2</v>
      </c>
      <c r="G18" s="2">
        <v>-27.923557576115201</v>
      </c>
      <c r="H18" s="5" t="s">
        <v>6</v>
      </c>
      <c r="J18" s="2">
        <v>16</v>
      </c>
      <c r="K18" s="11">
        <v>0.82499999999999996</v>
      </c>
      <c r="L18" s="2">
        <v>-8.7086729570312507</v>
      </c>
      <c r="M18" s="2">
        <v>4.0333564102942097</v>
      </c>
      <c r="N18" s="2">
        <v>81.094465142850197</v>
      </c>
      <c r="O18" s="2" t="s">
        <v>18</v>
      </c>
      <c r="Q18" s="2">
        <v>16</v>
      </c>
      <c r="R18" s="2">
        <v>1.125</v>
      </c>
      <c r="S18" s="2">
        <v>4.4991476801259297E-2</v>
      </c>
      <c r="T18" s="2">
        <v>-1.3430903552759299E-2</v>
      </c>
      <c r="U18" s="2">
        <v>-6.5244080612103499E-3</v>
      </c>
      <c r="V18" s="2">
        <v>-3.0005289426907498E-3</v>
      </c>
      <c r="X18" s="2">
        <f t="shared" ref="X18:AA18" si="15">S19-S18</f>
        <v>1.1187027115334001E-2</v>
      </c>
      <c r="Y18" s="2">
        <f t="shared" si="15"/>
        <v>-1.6197484811187011E-3</v>
      </c>
      <c r="Z18" s="2">
        <f t="shared" si="15"/>
        <v>-2.0338870828189599E-3</v>
      </c>
      <c r="AA18" s="2">
        <f t="shared" si="15"/>
        <v>-9.5494062035789053E-4</v>
      </c>
    </row>
    <row r="19" spans="2:27" ht="14.25" customHeight="1" x14ac:dyDescent="0.3">
      <c r="B19" s="2">
        <v>17</v>
      </c>
      <c r="C19" s="2">
        <v>0.82499999999999996</v>
      </c>
      <c r="D19" s="2">
        <v>-17.2780114625414</v>
      </c>
      <c r="E19" s="2">
        <v>2.80025057673046</v>
      </c>
      <c r="F19" s="2">
        <v>1.4610000000000001</v>
      </c>
      <c r="G19" s="2">
        <v>91.092770195599996</v>
      </c>
      <c r="H19" s="2" t="s">
        <v>16</v>
      </c>
      <c r="J19" s="2">
        <v>17</v>
      </c>
      <c r="K19" s="5">
        <v>0.85</v>
      </c>
      <c r="L19" s="2">
        <v>117.67082840167799</v>
      </c>
      <c r="M19" s="15">
        <v>4.7525773080081701E-10</v>
      </c>
      <c r="N19" s="2">
        <v>-27.3634298177322</v>
      </c>
      <c r="O19" s="5" t="s">
        <v>6</v>
      </c>
      <c r="Q19" s="2">
        <v>17</v>
      </c>
      <c r="R19" s="2">
        <v>1.1499999999999999</v>
      </c>
      <c r="S19" s="2">
        <v>5.6178503916593299E-2</v>
      </c>
      <c r="T19" s="2">
        <v>-1.5050652033878001E-2</v>
      </c>
      <c r="U19" s="2">
        <v>-8.5582951440293098E-3</v>
      </c>
      <c r="V19" s="2">
        <v>-3.9554695630486403E-3</v>
      </c>
      <c r="X19" s="2">
        <f t="shared" ref="X19:AA19" si="16">S20-S19</f>
        <v>1.1193223260303704E-2</v>
      </c>
      <c r="Y19" s="2">
        <f t="shared" si="16"/>
        <v>-1.620645609236299E-3</v>
      </c>
      <c r="Z19" s="2">
        <f t="shared" si="16"/>
        <v>-2.0350135893311902E-3</v>
      </c>
      <c r="AA19" s="2">
        <f t="shared" si="16"/>
        <v>-9.5546953213656964E-4</v>
      </c>
    </row>
    <row r="20" spans="2:27" ht="14.25" customHeight="1" x14ac:dyDescent="0.3">
      <c r="B20" s="2">
        <v>18</v>
      </c>
      <c r="C20" s="2">
        <v>0.82499999999999996</v>
      </c>
      <c r="D20" s="2">
        <v>-30.3181377015678</v>
      </c>
      <c r="E20" s="2">
        <v>2.1459520024284</v>
      </c>
      <c r="F20" s="2">
        <v>1.4750000000000001</v>
      </c>
      <c r="G20" s="2">
        <v>92.270088651358193</v>
      </c>
      <c r="H20" s="2" t="s">
        <v>17</v>
      </c>
      <c r="J20" s="2">
        <v>18</v>
      </c>
      <c r="K20" s="2">
        <v>0.85</v>
      </c>
      <c r="L20" s="2">
        <v>-17.3977058460138</v>
      </c>
      <c r="M20" s="2">
        <v>4.3921952516342202</v>
      </c>
      <c r="N20" s="2">
        <v>81.040486429137303</v>
      </c>
      <c r="O20" s="2" t="s">
        <v>16</v>
      </c>
      <c r="Q20" s="2">
        <v>18</v>
      </c>
      <c r="R20" s="2">
        <v>1.175</v>
      </c>
      <c r="S20" s="2">
        <v>6.7371727176897003E-2</v>
      </c>
      <c r="T20" s="2">
        <v>-1.66712976431143E-2</v>
      </c>
      <c r="U20" s="2">
        <v>-1.05933087333605E-2</v>
      </c>
      <c r="V20" s="2">
        <v>-4.91093909518521E-3</v>
      </c>
      <c r="X20" s="2">
        <f t="shared" ref="X20:AA20" si="17">S21-S20</f>
        <v>1.1199423905648195E-2</v>
      </c>
      <c r="Y20" s="2">
        <f t="shared" si="17"/>
        <v>-1.6215433889356992E-3</v>
      </c>
      <c r="Z20" s="2">
        <f t="shared" si="17"/>
        <v>-2.0361409141044003E-3</v>
      </c>
      <c r="AA20" s="2">
        <f t="shared" si="17"/>
        <v>-9.5599882810989013E-4</v>
      </c>
    </row>
    <row r="21" spans="2:27" ht="14.25" customHeight="1" x14ac:dyDescent="0.3">
      <c r="B21" s="2">
        <v>19</v>
      </c>
      <c r="C21" s="2">
        <v>0.82499999999999996</v>
      </c>
      <c r="D21" s="2">
        <v>-8.6500293386198397</v>
      </c>
      <c r="E21" s="2">
        <v>2.4847577898292399</v>
      </c>
      <c r="F21" s="2">
        <v>1.4079999999999999</v>
      </c>
      <c r="G21" s="2">
        <v>91.7354837710011</v>
      </c>
      <c r="H21" s="2" t="s">
        <v>18</v>
      </c>
      <c r="J21" s="2">
        <v>19</v>
      </c>
      <c r="K21" s="2">
        <v>0.85</v>
      </c>
      <c r="L21" s="2">
        <v>-30.532992343377298</v>
      </c>
      <c r="M21" s="2">
        <v>3.7767750825253099</v>
      </c>
      <c r="N21" s="2">
        <v>80.158518762079694</v>
      </c>
      <c r="O21" s="2" t="s">
        <v>17</v>
      </c>
      <c r="Q21" s="2">
        <v>19</v>
      </c>
      <c r="R21" s="2">
        <v>1.2</v>
      </c>
      <c r="S21" s="2">
        <v>7.8571151082545199E-2</v>
      </c>
      <c r="T21" s="2">
        <v>-1.8292841032049999E-2</v>
      </c>
      <c r="U21" s="2">
        <v>-1.26294496474649E-2</v>
      </c>
      <c r="V21" s="2">
        <v>-5.8669379232951001E-3</v>
      </c>
      <c r="X21" s="2">
        <f t="shared" ref="X21:AA21" si="18">S22-S21</f>
        <v>1.1205629054748201E-2</v>
      </c>
      <c r="Y21" s="2">
        <f t="shared" si="18"/>
        <v>-1.6224418207287025E-3</v>
      </c>
      <c r="Z21" s="2">
        <f t="shared" si="18"/>
        <v>-2.037269057666399E-3</v>
      </c>
      <c r="AA21" s="2">
        <f t="shared" si="18"/>
        <v>-9.565285084784797E-4</v>
      </c>
    </row>
    <row r="22" spans="2:27" ht="14.25" customHeight="1" x14ac:dyDescent="0.3">
      <c r="B22" s="2">
        <v>20</v>
      </c>
      <c r="C22" s="11">
        <v>0.82499999999999996</v>
      </c>
      <c r="D22" s="2">
        <v>-123.867061337362</v>
      </c>
      <c r="E22" s="2">
        <v>0.79445649422848996</v>
      </c>
      <c r="F22" s="2">
        <v>1.2430000000000001</v>
      </c>
      <c r="G22" s="2">
        <v>98.740589666712793</v>
      </c>
      <c r="H22" s="11" t="s">
        <v>27</v>
      </c>
      <c r="J22" s="2">
        <v>20</v>
      </c>
      <c r="K22" s="11">
        <v>0.85</v>
      </c>
      <c r="L22" s="2">
        <v>-8.7086729568137198</v>
      </c>
      <c r="M22" s="2">
        <v>4.03335641551375</v>
      </c>
      <c r="N22" s="2">
        <v>81.094465185126396</v>
      </c>
      <c r="O22" s="2" t="s">
        <v>18</v>
      </c>
      <c r="Q22" s="2">
        <v>20</v>
      </c>
      <c r="R22" s="2">
        <v>1.2250000000000001</v>
      </c>
      <c r="S22" s="2">
        <v>8.9776780137293399E-2</v>
      </c>
      <c r="T22" s="2">
        <v>-1.9915282852778701E-2</v>
      </c>
      <c r="U22" s="2">
        <v>-1.4666718705131299E-2</v>
      </c>
      <c r="V22" s="2">
        <v>-6.8234664317735798E-3</v>
      </c>
      <c r="X22" s="2">
        <f t="shared" ref="X22:AA22" si="19">S23-S22</f>
        <v>1.1211838711132599E-2</v>
      </c>
      <c r="Y22" s="2">
        <f t="shared" si="19"/>
        <v>-1.6233409051124997E-3</v>
      </c>
      <c r="Z22" s="2">
        <f t="shared" si="19"/>
        <v>-2.0383980206466999E-3</v>
      </c>
      <c r="AA22" s="2">
        <f t="shared" si="19"/>
        <v>-9.5705857362685977E-4</v>
      </c>
    </row>
    <row r="23" spans="2:27" ht="14.25" customHeight="1" x14ac:dyDescent="0.3">
      <c r="B23" s="2">
        <v>21</v>
      </c>
      <c r="C23" s="5">
        <v>0.85</v>
      </c>
      <c r="D23" s="2">
        <v>114.729508614824</v>
      </c>
      <c r="E23" s="2">
        <v>0.16133391952203999</v>
      </c>
      <c r="F23" s="2">
        <v>7.3999999999999996E-2</v>
      </c>
      <c r="G23" s="2">
        <v>-27.9233934791996</v>
      </c>
      <c r="H23" s="5" t="s">
        <v>6</v>
      </c>
      <c r="J23" s="2">
        <v>21</v>
      </c>
      <c r="K23" s="5">
        <v>0.875</v>
      </c>
      <c r="L23" s="2">
        <v>117.670828401817</v>
      </c>
      <c r="M23" s="2">
        <v>6.8110376492881101E-3</v>
      </c>
      <c r="N23" s="2">
        <v>-27.363429817684601</v>
      </c>
      <c r="O23" s="5" t="s">
        <v>6</v>
      </c>
      <c r="Q23" s="2">
        <v>21</v>
      </c>
      <c r="R23" s="2">
        <v>1.25</v>
      </c>
      <c r="S23" s="16">
        <v>0.100988618848426</v>
      </c>
      <c r="T23" s="17">
        <v>-2.1538623757891201E-2</v>
      </c>
      <c r="U23" s="17">
        <v>-1.6705116725777999E-2</v>
      </c>
      <c r="V23" s="17">
        <v>-7.7805250054004396E-3</v>
      </c>
    </row>
    <row r="24" spans="2:27" ht="14.25" customHeight="1" x14ac:dyDescent="0.3">
      <c r="B24" s="2">
        <v>22</v>
      </c>
      <c r="C24" s="2">
        <v>0.85</v>
      </c>
      <c r="D24" s="2">
        <v>-17.278011461996801</v>
      </c>
      <c r="E24" s="2">
        <v>2.8002505832804201</v>
      </c>
      <c r="F24" s="2">
        <v>1.4610000000000001</v>
      </c>
      <c r="G24" s="2">
        <v>91.092770186392897</v>
      </c>
      <c r="H24" s="2" t="s">
        <v>16</v>
      </c>
      <c r="J24" s="2">
        <v>22</v>
      </c>
      <c r="K24" s="2">
        <v>0.875</v>
      </c>
      <c r="L24" s="2">
        <v>-17.397705899967001</v>
      </c>
      <c r="M24" s="2">
        <v>4.3921952433098896</v>
      </c>
      <c r="N24" s="2">
        <v>81.040486465912196</v>
      </c>
      <c r="O24" s="2" t="s">
        <v>16</v>
      </c>
    </row>
    <row r="25" spans="2:27" ht="14.25" customHeight="1" x14ac:dyDescent="0.3">
      <c r="B25" s="2">
        <v>23</v>
      </c>
      <c r="C25" s="2">
        <v>0.85</v>
      </c>
      <c r="D25" s="2">
        <v>-30.318137701477699</v>
      </c>
      <c r="E25" s="2">
        <v>2.14595200302545</v>
      </c>
      <c r="F25" s="2">
        <v>1.4750000000000001</v>
      </c>
      <c r="G25" s="2">
        <v>92.270088650393902</v>
      </c>
      <c r="H25" s="2" t="s">
        <v>17</v>
      </c>
      <c r="J25" s="2">
        <v>23</v>
      </c>
      <c r="K25" s="2">
        <v>0.875</v>
      </c>
      <c r="L25" s="2">
        <v>-30.5329923809003</v>
      </c>
      <c r="M25" s="2">
        <v>3.7767750802103701</v>
      </c>
      <c r="N25" s="2">
        <v>80.158518775325703</v>
      </c>
      <c r="O25" s="2" t="s">
        <v>17</v>
      </c>
    </row>
    <row r="26" spans="2:27" ht="14.25" customHeight="1" x14ac:dyDescent="0.3">
      <c r="B26" s="2">
        <v>24</v>
      </c>
      <c r="C26" s="2">
        <v>0.85</v>
      </c>
      <c r="D26" s="2">
        <v>-8.6500293385341305</v>
      </c>
      <c r="E26" s="2">
        <v>2.4847577998263799</v>
      </c>
      <c r="F26" s="2">
        <v>1.4079999999999999</v>
      </c>
      <c r="G26" s="2">
        <v>91.735483752132893</v>
      </c>
      <c r="H26" s="2" t="s">
        <v>18</v>
      </c>
      <c r="J26" s="2">
        <v>24</v>
      </c>
      <c r="K26" s="11">
        <v>0.875</v>
      </c>
      <c r="L26" s="2">
        <v>-8.7086729753132097</v>
      </c>
      <c r="M26" s="2">
        <v>4.0333564104709803</v>
      </c>
      <c r="N26" s="2">
        <v>81.094465200210806</v>
      </c>
      <c r="O26" s="2" t="s">
        <v>18</v>
      </c>
    </row>
    <row r="27" spans="2:27" ht="14.25" customHeight="1" x14ac:dyDescent="0.3">
      <c r="B27" s="2">
        <v>25</v>
      </c>
      <c r="C27" s="11">
        <v>0.85</v>
      </c>
      <c r="D27" s="2">
        <v>-123.86706133589399</v>
      </c>
      <c r="E27" s="2">
        <v>0.79445649695029597</v>
      </c>
      <c r="F27" s="2">
        <v>1.2430000000000001</v>
      </c>
      <c r="G27" s="2">
        <v>98.740589650364299</v>
      </c>
      <c r="H27" s="11" t="s">
        <v>27</v>
      </c>
      <c r="J27" s="2">
        <v>25</v>
      </c>
      <c r="K27" s="5">
        <v>0.9</v>
      </c>
      <c r="L27" s="2">
        <v>117.67082839906899</v>
      </c>
      <c r="M27" s="15">
        <v>6.4258218750338995E-7</v>
      </c>
      <c r="N27" s="2">
        <v>-27.3634298179784</v>
      </c>
      <c r="O27" s="5" t="s">
        <v>6</v>
      </c>
    </row>
    <row r="28" spans="2:27" ht="14.25" customHeight="1" x14ac:dyDescent="0.3">
      <c r="B28" s="2">
        <v>26</v>
      </c>
      <c r="C28" s="5">
        <v>0.875</v>
      </c>
      <c r="D28" s="2">
        <v>114.72953733603801</v>
      </c>
      <c r="E28" s="2">
        <v>0.161522551940493</v>
      </c>
      <c r="F28" s="2">
        <v>7.3999999999999996E-2</v>
      </c>
      <c r="G28" s="2">
        <v>-27.9239117915306</v>
      </c>
      <c r="H28" s="5" t="s">
        <v>6</v>
      </c>
      <c r="J28" s="2">
        <v>26</v>
      </c>
      <c r="K28" s="2">
        <v>0.9</v>
      </c>
      <c r="L28" s="2">
        <v>-17.3977058462659</v>
      </c>
      <c r="M28" s="2">
        <v>4.3921952515299303</v>
      </c>
      <c r="N28" s="2">
        <v>81.040486423845906</v>
      </c>
      <c r="O28" s="2" t="s">
        <v>16</v>
      </c>
    </row>
    <row r="29" spans="2:27" ht="14.25" customHeight="1" x14ac:dyDescent="0.3">
      <c r="B29" s="2">
        <v>27</v>
      </c>
      <c r="C29" s="2">
        <v>0.875</v>
      </c>
      <c r="D29" s="2">
        <v>-17.278011515996699</v>
      </c>
      <c r="E29" s="2">
        <v>2.8002505807332301</v>
      </c>
      <c r="F29" s="2">
        <v>1.4610000000000001</v>
      </c>
      <c r="G29" s="2">
        <v>91.092770201554004</v>
      </c>
      <c r="H29" s="2" t="s">
        <v>16</v>
      </c>
      <c r="J29" s="2">
        <v>27</v>
      </c>
      <c r="K29" s="2">
        <v>0.9</v>
      </c>
      <c r="L29" s="2">
        <v>-30.532992343497501</v>
      </c>
      <c r="M29" s="2">
        <v>3.7767750833127698</v>
      </c>
      <c r="N29" s="2">
        <v>80.158518766278206</v>
      </c>
      <c r="O29" s="2" t="s">
        <v>17</v>
      </c>
    </row>
    <row r="30" spans="2:27" ht="14.25" customHeight="1" x14ac:dyDescent="0.3">
      <c r="B30" s="2">
        <v>28</v>
      </c>
      <c r="C30" s="2">
        <v>0.875</v>
      </c>
      <c r="D30" s="2">
        <v>-30.3181377389893</v>
      </c>
      <c r="E30" s="2">
        <v>2.14595200275346</v>
      </c>
      <c r="F30" s="2">
        <v>1.4750000000000001</v>
      </c>
      <c r="G30" s="2">
        <v>92.270088654273394</v>
      </c>
      <c r="H30" s="2" t="s">
        <v>17</v>
      </c>
      <c r="J30" s="2">
        <v>28</v>
      </c>
      <c r="K30" s="11">
        <v>0.9</v>
      </c>
      <c r="L30" s="2">
        <v>-8.7086729568890107</v>
      </c>
      <c r="M30" s="2">
        <v>4.0333564156053603</v>
      </c>
      <c r="N30" s="2">
        <v>81.094465184178304</v>
      </c>
      <c r="O30" s="2" t="s">
        <v>18</v>
      </c>
    </row>
    <row r="31" spans="2:27" ht="14.25" customHeight="1" x14ac:dyDescent="0.3">
      <c r="B31" s="2">
        <v>29</v>
      </c>
      <c r="C31" s="2">
        <v>0.875</v>
      </c>
      <c r="D31" s="2">
        <v>-8.6500293570102897</v>
      </c>
      <c r="E31" s="2">
        <v>2.4847577975839599</v>
      </c>
      <c r="F31" s="2">
        <v>1.4079999999999999</v>
      </c>
      <c r="G31" s="2">
        <v>91.735483761994303</v>
      </c>
      <c r="H31" s="2" t="s">
        <v>18</v>
      </c>
      <c r="J31" s="2">
        <v>29</v>
      </c>
      <c r="K31" s="5">
        <v>0.92500000000000004</v>
      </c>
      <c r="L31" s="2">
        <v>117.671275768225</v>
      </c>
      <c r="M31" s="15">
        <v>4.7523113434854203E-10</v>
      </c>
      <c r="N31" s="2">
        <v>-27.363498791788899</v>
      </c>
      <c r="O31" s="5" t="s">
        <v>6</v>
      </c>
    </row>
    <row r="32" spans="2:27" ht="14.25" customHeight="1" x14ac:dyDescent="0.3">
      <c r="B32" s="2">
        <v>30</v>
      </c>
      <c r="C32" s="11">
        <v>0.875</v>
      </c>
      <c r="D32" s="2">
        <v>-123.8670613362</v>
      </c>
      <c r="E32" s="2">
        <v>0.79445649694990395</v>
      </c>
      <c r="F32" s="2">
        <v>1.2430000000000001</v>
      </c>
      <c r="G32" s="2">
        <v>98.740589650350998</v>
      </c>
      <c r="H32" s="11" t="s">
        <v>27</v>
      </c>
      <c r="J32" s="2">
        <v>30</v>
      </c>
      <c r="K32" s="2">
        <v>0.92500000000000004</v>
      </c>
      <c r="L32" s="2">
        <v>-17.394179837964899</v>
      </c>
      <c r="M32" s="2">
        <v>4.3927137315272597</v>
      </c>
      <c r="N32" s="2">
        <v>81.038261178598205</v>
      </c>
      <c r="O32" s="2" t="s">
        <v>16</v>
      </c>
    </row>
    <row r="33" spans="2:15" ht="14.25" customHeight="1" x14ac:dyDescent="0.3">
      <c r="B33" s="2">
        <v>31</v>
      </c>
      <c r="C33" s="5">
        <v>0.9</v>
      </c>
      <c r="D33" s="2">
        <v>114.72948007839101</v>
      </c>
      <c r="E33" s="2">
        <v>0.16102215520107099</v>
      </c>
      <c r="F33" s="2">
        <v>7.8E-2</v>
      </c>
      <c r="G33" s="2">
        <v>-27.924485729440601</v>
      </c>
      <c r="H33" s="5" t="s">
        <v>6</v>
      </c>
      <c r="J33" s="2">
        <v>31</v>
      </c>
      <c r="K33" s="2">
        <v>0.92500000000000004</v>
      </c>
      <c r="L33" s="2">
        <v>-30.530401830145301</v>
      </c>
      <c r="M33" s="2">
        <v>3.7769451563789702</v>
      </c>
      <c r="N33" s="2">
        <v>80.157834610327896</v>
      </c>
      <c r="O33" s="2" t="s">
        <v>17</v>
      </c>
    </row>
    <row r="34" spans="2:15" ht="14.25" customHeight="1" x14ac:dyDescent="0.3">
      <c r="B34" s="2">
        <v>32</v>
      </c>
      <c r="C34" s="2">
        <v>0.9</v>
      </c>
      <c r="D34" s="2">
        <v>-17.278011462252699</v>
      </c>
      <c r="E34" s="2">
        <v>2.8002505828481699</v>
      </c>
      <c r="F34" s="2">
        <v>1.4610000000000001</v>
      </c>
      <c r="G34" s="2">
        <v>91.092770185593693</v>
      </c>
      <c r="H34" s="2" t="s">
        <v>16</v>
      </c>
      <c r="J34" s="2">
        <v>32</v>
      </c>
      <c r="K34" s="11">
        <v>0.92500000000000004</v>
      </c>
      <c r="L34" s="2">
        <v>-8.7072316778785499</v>
      </c>
      <c r="M34" s="2">
        <v>4.03373585629092</v>
      </c>
      <c r="N34" s="2">
        <v>81.093097448212703</v>
      </c>
      <c r="O34" s="2" t="s">
        <v>18</v>
      </c>
    </row>
    <row r="35" spans="2:15" ht="14.25" customHeight="1" x14ac:dyDescent="0.3">
      <c r="B35" s="2">
        <v>33</v>
      </c>
      <c r="C35" s="2">
        <v>0.9</v>
      </c>
      <c r="D35" s="2">
        <v>-30.318137701662</v>
      </c>
      <c r="E35" s="2">
        <v>2.14595200432051</v>
      </c>
      <c r="F35" s="2">
        <v>1.4750000000000001</v>
      </c>
      <c r="G35" s="2">
        <v>92.270088646936799</v>
      </c>
      <c r="H35" s="2" t="s">
        <v>17</v>
      </c>
      <c r="J35" s="2">
        <v>33</v>
      </c>
      <c r="K35" s="5">
        <v>0.95</v>
      </c>
      <c r="L35" s="2">
        <v>117.671275768116</v>
      </c>
      <c r="M35" s="15">
        <v>4.7523113436578802E-10</v>
      </c>
      <c r="N35" s="2">
        <v>-27.3634987917895</v>
      </c>
      <c r="O35" s="5" t="s">
        <v>6</v>
      </c>
    </row>
    <row r="36" spans="2:15" ht="14.25" customHeight="1" x14ac:dyDescent="0.3">
      <c r="B36" s="2">
        <v>34</v>
      </c>
      <c r="C36" s="2">
        <v>0.9</v>
      </c>
      <c r="D36" s="2">
        <v>-8.6500293386217493</v>
      </c>
      <c r="E36" s="2">
        <v>2.4847577999954402</v>
      </c>
      <c r="F36" s="2">
        <v>1.4079999999999999</v>
      </c>
      <c r="G36" s="2">
        <v>91.735483752101899</v>
      </c>
      <c r="H36" s="2" t="s">
        <v>18</v>
      </c>
      <c r="J36" s="2">
        <v>34</v>
      </c>
      <c r="K36" s="2">
        <v>0.95</v>
      </c>
      <c r="L36" s="2">
        <v>-17.394179837894001</v>
      </c>
      <c r="M36" s="2">
        <v>4.3927137315877003</v>
      </c>
      <c r="N36" s="2">
        <v>81.0382611816447</v>
      </c>
      <c r="O36" s="2" t="s">
        <v>16</v>
      </c>
    </row>
    <row r="37" spans="2:15" ht="14.25" customHeight="1" x14ac:dyDescent="0.3">
      <c r="B37" s="2">
        <v>35</v>
      </c>
      <c r="C37" s="11">
        <v>0.9</v>
      </c>
      <c r="D37" s="2">
        <v>-123.86706133724699</v>
      </c>
      <c r="E37" s="2">
        <v>0.794456494611257</v>
      </c>
      <c r="F37" s="2">
        <v>1.2430000000000001</v>
      </c>
      <c r="G37" s="2">
        <v>98.740589664949795</v>
      </c>
      <c r="H37" s="11" t="s">
        <v>27</v>
      </c>
      <c r="J37" s="2">
        <v>35</v>
      </c>
      <c r="K37" s="2">
        <v>0.95</v>
      </c>
      <c r="L37" s="2">
        <v>-30.530401830115</v>
      </c>
      <c r="M37" s="2">
        <v>3.7769451563818399</v>
      </c>
      <c r="N37" s="2">
        <v>80.157834610278698</v>
      </c>
      <c r="O37" s="2" t="s">
        <v>17</v>
      </c>
    </row>
    <row r="38" spans="2:15" ht="14.25" customHeight="1" x14ac:dyDescent="0.3">
      <c r="B38" s="2">
        <v>36</v>
      </c>
      <c r="C38" s="5">
        <v>0.92500000000000004</v>
      </c>
      <c r="D38" s="2">
        <v>114.730024993977</v>
      </c>
      <c r="E38" s="2">
        <v>0.16138062978655399</v>
      </c>
      <c r="F38" s="2">
        <v>7.3999999999999996E-2</v>
      </c>
      <c r="G38" s="2">
        <v>-27.923571616596099</v>
      </c>
      <c r="H38" s="5" t="s">
        <v>6</v>
      </c>
      <c r="J38" s="2">
        <v>36</v>
      </c>
      <c r="K38" s="11">
        <v>0.95</v>
      </c>
      <c r="L38" s="2">
        <v>-8.7072316778769707</v>
      </c>
      <c r="M38" s="2">
        <v>4.0337358562447303</v>
      </c>
      <c r="N38" s="2">
        <v>81.093097447718307</v>
      </c>
      <c r="O38" s="2" t="s">
        <v>18</v>
      </c>
    </row>
    <row r="39" spans="2:15" ht="14.25" customHeight="1" x14ac:dyDescent="0.3">
      <c r="B39" s="2">
        <v>37</v>
      </c>
      <c r="C39" s="2">
        <v>0.92500000000000004</v>
      </c>
      <c r="D39" s="2">
        <v>-17.274485859539599</v>
      </c>
      <c r="E39" s="2">
        <v>2.8004272480423298</v>
      </c>
      <c r="F39" s="2">
        <v>1.462</v>
      </c>
      <c r="G39" s="2">
        <v>91.091830869651503</v>
      </c>
      <c r="H39" s="2" t="s">
        <v>16</v>
      </c>
      <c r="J39" s="2">
        <v>37</v>
      </c>
      <c r="K39" s="5">
        <v>0.97499999999999998</v>
      </c>
      <c r="L39" s="2">
        <v>117.67136901123401</v>
      </c>
      <c r="M39" s="15">
        <v>4.7522644589787096E-10</v>
      </c>
      <c r="N39" s="2">
        <v>-11.7707751263614</v>
      </c>
      <c r="O39" s="5" t="s">
        <v>6</v>
      </c>
    </row>
    <row r="40" spans="2:15" ht="14.25" customHeight="1" x14ac:dyDescent="0.3">
      <c r="B40" s="2">
        <v>38</v>
      </c>
      <c r="C40" s="2">
        <v>0.92500000000000004</v>
      </c>
      <c r="D40" s="2">
        <v>-30.315550723415399</v>
      </c>
      <c r="E40" s="2">
        <v>2.1460079836633401</v>
      </c>
      <c r="F40" s="2">
        <v>1.4750000000000001</v>
      </c>
      <c r="G40" s="2">
        <v>92.269723801878897</v>
      </c>
      <c r="H40" s="2" t="s">
        <v>17</v>
      </c>
      <c r="J40" s="2">
        <v>38</v>
      </c>
      <c r="K40" s="2">
        <v>0.97499999999999998</v>
      </c>
      <c r="L40" s="2">
        <v>-17.393537592593599</v>
      </c>
      <c r="M40" s="2">
        <v>4.3928005864864001</v>
      </c>
      <c r="N40" s="2">
        <v>82.781005563707396</v>
      </c>
      <c r="O40" s="2" t="s">
        <v>16</v>
      </c>
    </row>
    <row r="41" spans="2:15" ht="14.25" customHeight="1" x14ac:dyDescent="0.3">
      <c r="B41" s="2">
        <v>39</v>
      </c>
      <c r="C41" s="2">
        <v>0.92500000000000004</v>
      </c>
      <c r="D41" s="2">
        <v>-8.6485893082488303</v>
      </c>
      <c r="E41" s="2">
        <v>2.4848970433223299</v>
      </c>
      <c r="F41" s="2">
        <v>1.409</v>
      </c>
      <c r="G41" s="2">
        <v>91.734775398032397</v>
      </c>
      <c r="H41" s="2" t="s">
        <v>18</v>
      </c>
      <c r="J41" s="2">
        <v>39</v>
      </c>
      <c r="K41" s="2">
        <v>0.97499999999999998</v>
      </c>
      <c r="L41" s="2">
        <v>-30.529741174684101</v>
      </c>
      <c r="M41" s="2">
        <v>3.77698734949904</v>
      </c>
      <c r="N41" s="2">
        <v>82.114205003589305</v>
      </c>
      <c r="O41" s="2" t="s">
        <v>17</v>
      </c>
    </row>
    <row r="42" spans="2:15" ht="14.25" customHeight="1" x14ac:dyDescent="0.3">
      <c r="B42" s="2">
        <v>40</v>
      </c>
      <c r="C42" s="11">
        <v>0.92500000000000004</v>
      </c>
      <c r="D42" s="2">
        <v>-123.866602925603</v>
      </c>
      <c r="E42" s="2">
        <v>0.79445693830021202</v>
      </c>
      <c r="F42" s="2">
        <v>1.2430000000000001</v>
      </c>
      <c r="G42" s="2">
        <v>98.740586601418897</v>
      </c>
      <c r="H42" s="11" t="s">
        <v>27</v>
      </c>
      <c r="J42" s="2">
        <v>40</v>
      </c>
      <c r="K42" s="11">
        <v>0.97499999999999998</v>
      </c>
      <c r="L42" s="2">
        <v>-8.7069251841892896</v>
      </c>
      <c r="M42" s="2">
        <v>4.0338130823261302</v>
      </c>
      <c r="N42" s="2">
        <v>82.911675186102599</v>
      </c>
      <c r="O42" s="2" t="s">
        <v>18</v>
      </c>
    </row>
    <row r="43" spans="2:15" ht="14.25" customHeight="1" x14ac:dyDescent="0.3">
      <c r="B43" s="2">
        <v>41</v>
      </c>
      <c r="C43" s="5">
        <v>0.95</v>
      </c>
      <c r="D43" s="2">
        <v>114.729976200652</v>
      </c>
      <c r="E43" s="2">
        <v>0.16086928970748099</v>
      </c>
      <c r="F43" s="2">
        <v>7.8E-2</v>
      </c>
      <c r="G43" s="2">
        <v>-27.924108395784899</v>
      </c>
      <c r="H43" s="5" t="s">
        <v>6</v>
      </c>
      <c r="J43" s="2">
        <v>41</v>
      </c>
      <c r="K43" s="5">
        <v>1</v>
      </c>
      <c r="L43" s="2">
        <v>117.67136900911601</v>
      </c>
      <c r="M43" s="15">
        <v>9.5045289726359498E-10</v>
      </c>
      <c r="N43" s="2">
        <v>-11.770775126820901</v>
      </c>
      <c r="O43" s="5" t="s">
        <v>6</v>
      </c>
    </row>
    <row r="44" spans="2:15" ht="14.25" customHeight="1" x14ac:dyDescent="0.3">
      <c r="B44" s="2">
        <v>42</v>
      </c>
      <c r="C44" s="2">
        <v>0.95</v>
      </c>
      <c r="D44" s="2">
        <v>-17.2744858594757</v>
      </c>
      <c r="E44" s="2">
        <v>2.8004272483721002</v>
      </c>
      <c r="F44" s="2">
        <v>1.462</v>
      </c>
      <c r="G44" s="2">
        <v>91.091830869450604</v>
      </c>
      <c r="H44" s="2" t="s">
        <v>16</v>
      </c>
      <c r="J44" s="2">
        <v>42</v>
      </c>
      <c r="K44" s="2">
        <v>1</v>
      </c>
      <c r="L44" s="2">
        <v>-17.393537592517301</v>
      </c>
      <c r="M44" s="2">
        <v>4.3928005928949103</v>
      </c>
      <c r="N44" s="2">
        <v>82.781005595278202</v>
      </c>
      <c r="O44" s="2" t="s">
        <v>16</v>
      </c>
    </row>
    <row r="45" spans="2:15" ht="14.25" customHeight="1" x14ac:dyDescent="0.3">
      <c r="B45" s="2">
        <v>43</v>
      </c>
      <c r="C45" s="2">
        <v>0.95</v>
      </c>
      <c r="D45" s="2">
        <v>-30.3155507233846</v>
      </c>
      <c r="E45" s="2">
        <v>2.14600798366045</v>
      </c>
      <c r="F45" s="2">
        <v>1.4750000000000001</v>
      </c>
      <c r="G45" s="2">
        <v>92.269723801865297</v>
      </c>
      <c r="H45" s="2" t="s">
        <v>17</v>
      </c>
      <c r="J45" s="2">
        <v>43</v>
      </c>
      <c r="K45" s="2">
        <v>1</v>
      </c>
      <c r="L45" s="2">
        <v>-30.529741174893299</v>
      </c>
      <c r="M45" s="2">
        <v>3.7769873560573499</v>
      </c>
      <c r="N45" s="2">
        <v>82.1142050359975</v>
      </c>
      <c r="O45" s="2" t="s">
        <v>17</v>
      </c>
    </row>
    <row r="46" spans="2:15" ht="14.25" customHeight="1" x14ac:dyDescent="0.3">
      <c r="B46" s="2">
        <v>44</v>
      </c>
      <c r="C46" s="2">
        <v>0.95</v>
      </c>
      <c r="D46" s="2">
        <v>-8.6485893082465299</v>
      </c>
      <c r="E46" s="2">
        <v>2.4848970432264998</v>
      </c>
      <c r="F46" s="2">
        <v>1.409</v>
      </c>
      <c r="G46" s="2">
        <v>91.734775398310504</v>
      </c>
      <c r="H46" s="2" t="s">
        <v>18</v>
      </c>
      <c r="J46" s="2">
        <v>44</v>
      </c>
      <c r="K46" s="11">
        <v>1</v>
      </c>
      <c r="L46" s="2">
        <v>-8.7069251843244597</v>
      </c>
      <c r="M46" s="2">
        <v>4.0338130879998699</v>
      </c>
      <c r="N46" s="2">
        <v>82.911675209395497</v>
      </c>
      <c r="O46" s="2" t="s">
        <v>18</v>
      </c>
    </row>
    <row r="47" spans="2:15" ht="14.25" customHeight="1" x14ac:dyDescent="0.3">
      <c r="B47" s="2">
        <v>45</v>
      </c>
      <c r="C47" s="11">
        <v>0.95</v>
      </c>
      <c r="D47" s="2">
        <v>-123.866602925603</v>
      </c>
      <c r="E47" s="2">
        <v>0.79445693830041397</v>
      </c>
      <c r="F47" s="2">
        <v>1.2430000000000001</v>
      </c>
      <c r="G47" s="2">
        <v>98.740586601418599</v>
      </c>
      <c r="H47" s="11" t="s">
        <v>27</v>
      </c>
      <c r="J47" s="2">
        <v>45</v>
      </c>
      <c r="K47" s="5">
        <v>1.0249999999999999</v>
      </c>
      <c r="L47" s="2">
        <v>117.670828404297</v>
      </c>
      <c r="M47" s="15">
        <v>4.7525773835950804E-10</v>
      </c>
      <c r="N47" s="2">
        <v>-27.363429817403102</v>
      </c>
      <c r="O47" s="5" t="s">
        <v>6</v>
      </c>
    </row>
    <row r="48" spans="2:15" ht="14.25" customHeight="1" x14ac:dyDescent="0.3">
      <c r="B48" s="2">
        <v>46</v>
      </c>
      <c r="C48" s="5">
        <v>0.97499999999999998</v>
      </c>
      <c r="D48" s="2">
        <v>114.688673968174</v>
      </c>
      <c r="E48" s="2">
        <v>0.167036422149484</v>
      </c>
      <c r="F48" s="2">
        <v>0.56799999999999995</v>
      </c>
      <c r="G48" s="2">
        <v>-13.8564104093733</v>
      </c>
      <c r="H48" s="5" t="s">
        <v>6</v>
      </c>
      <c r="J48" s="2">
        <v>46</v>
      </c>
      <c r="K48" s="2">
        <v>1.0249999999999999</v>
      </c>
      <c r="L48" s="2">
        <v>-17.3977058461453</v>
      </c>
      <c r="M48" s="2">
        <v>4.3921952521791701</v>
      </c>
      <c r="N48" s="2">
        <v>81.040486428469904</v>
      </c>
      <c r="O48" s="2" t="s">
        <v>16</v>
      </c>
    </row>
    <row r="49" spans="2:15" ht="14.25" customHeight="1" x14ac:dyDescent="0.3">
      <c r="B49" s="2">
        <v>47</v>
      </c>
      <c r="C49" s="2">
        <v>0.97499999999999998</v>
      </c>
      <c r="D49" s="2">
        <v>-17.273844389026198</v>
      </c>
      <c r="E49" s="2">
        <v>2.8004614436904398</v>
      </c>
      <c r="F49" s="2">
        <v>1.462</v>
      </c>
      <c r="G49" s="2">
        <v>91.910571549272305</v>
      </c>
      <c r="H49" s="2" t="s">
        <v>16</v>
      </c>
      <c r="J49" s="2">
        <v>47</v>
      </c>
      <c r="K49" s="2">
        <v>1.0249999999999999</v>
      </c>
      <c r="L49" s="2">
        <v>-30.53299234336</v>
      </c>
      <c r="M49" s="2">
        <v>3.7767750830255098</v>
      </c>
      <c r="N49" s="2">
        <v>80.158518765591893</v>
      </c>
      <c r="O49" s="2" t="s">
        <v>17</v>
      </c>
    </row>
    <row r="50" spans="2:15" ht="14.25" customHeight="1" x14ac:dyDescent="0.3">
      <c r="B50" s="2">
        <v>48</v>
      </c>
      <c r="C50" s="2">
        <v>0.97499999999999998</v>
      </c>
      <c r="D50" s="2">
        <v>-30.314891300330899</v>
      </c>
      <c r="E50" s="2">
        <v>2.1460235631916502</v>
      </c>
      <c r="F50" s="2">
        <v>1.4750000000000001</v>
      </c>
      <c r="G50" s="2">
        <v>93.031877082383403</v>
      </c>
      <c r="H50" s="2" t="s">
        <v>17</v>
      </c>
      <c r="J50" s="2">
        <v>48</v>
      </c>
      <c r="K50" s="11">
        <v>1.0249999999999999</v>
      </c>
      <c r="L50" s="2">
        <v>-8.7086729568134604</v>
      </c>
      <c r="M50" s="2">
        <v>4.0333564162159297</v>
      </c>
      <c r="N50" s="2">
        <v>81.094465190181197</v>
      </c>
      <c r="O50" s="2" t="s">
        <v>18</v>
      </c>
    </row>
    <row r="51" spans="2:15" ht="14.25" customHeight="1" x14ac:dyDescent="0.3">
      <c r="B51" s="2">
        <v>49</v>
      </c>
      <c r="C51" s="2">
        <v>0.97499999999999998</v>
      </c>
      <c r="D51" s="2">
        <v>-8.6482831318575908</v>
      </c>
      <c r="E51" s="2">
        <v>2.4849248980853802</v>
      </c>
      <c r="F51" s="2">
        <v>1.409</v>
      </c>
      <c r="G51" s="2">
        <v>92.529754187708605</v>
      </c>
      <c r="H51" s="2" t="s">
        <v>18</v>
      </c>
      <c r="J51" s="2">
        <v>49</v>
      </c>
      <c r="K51" s="5">
        <v>1.05</v>
      </c>
      <c r="L51" s="2">
        <v>117.670828401854</v>
      </c>
      <c r="M51" s="15">
        <v>4.75257738414946E-10</v>
      </c>
      <c r="N51" s="2">
        <v>-27.363429817732101</v>
      </c>
      <c r="O51" s="5" t="s">
        <v>6</v>
      </c>
    </row>
    <row r="52" spans="2:15" ht="14.25" customHeight="1" x14ac:dyDescent="0.3">
      <c r="B52" s="2">
        <v>50</v>
      </c>
      <c r="C52" s="11">
        <v>0.97499999999999998</v>
      </c>
      <c r="D52" s="2">
        <v>-123.8665072598</v>
      </c>
      <c r="E52" s="2">
        <v>0.79445699969336703</v>
      </c>
      <c r="F52" s="2">
        <v>1.2430000000000001</v>
      </c>
      <c r="G52" s="2">
        <v>98.894179986750203</v>
      </c>
      <c r="H52" s="11" t="s">
        <v>27</v>
      </c>
      <c r="J52" s="2">
        <v>50</v>
      </c>
      <c r="K52" s="2">
        <v>1.05</v>
      </c>
      <c r="L52" s="2">
        <v>-17.3977058467561</v>
      </c>
      <c r="M52" s="2">
        <v>4.3921952511328399</v>
      </c>
      <c r="N52" s="2">
        <v>81.040486404998205</v>
      </c>
      <c r="O52" s="2" t="s">
        <v>16</v>
      </c>
    </row>
    <row r="53" spans="2:15" ht="14.25" customHeight="1" x14ac:dyDescent="0.3">
      <c r="B53" s="2">
        <v>51</v>
      </c>
      <c r="C53" s="5">
        <v>1</v>
      </c>
      <c r="D53" s="2">
        <v>114.688594606552</v>
      </c>
      <c r="E53" s="2">
        <v>0.16704439211823599</v>
      </c>
      <c r="F53" s="2">
        <v>0.56799999999999995</v>
      </c>
      <c r="G53" s="2">
        <v>-13.856642506217501</v>
      </c>
      <c r="H53" s="5" t="s">
        <v>6</v>
      </c>
      <c r="J53" s="2">
        <v>51</v>
      </c>
      <c r="K53" s="2">
        <v>1.05</v>
      </c>
      <c r="L53" s="2">
        <v>-30.532992343442999</v>
      </c>
      <c r="M53" s="2">
        <v>3.7767750825289998</v>
      </c>
      <c r="N53" s="2">
        <v>80.158518762458797</v>
      </c>
      <c r="O53" s="2" t="s">
        <v>17</v>
      </c>
    </row>
    <row r="54" spans="2:15" ht="14.25" customHeight="1" x14ac:dyDescent="0.3">
      <c r="B54" s="2">
        <v>52</v>
      </c>
      <c r="C54" s="2">
        <v>1</v>
      </c>
      <c r="D54" s="2">
        <v>-17.273844389175601</v>
      </c>
      <c r="E54" s="2">
        <v>2.8004614540139499</v>
      </c>
      <c r="F54" s="2">
        <v>1.462</v>
      </c>
      <c r="G54" s="2">
        <v>91.910571532838802</v>
      </c>
      <c r="H54" s="2" t="s">
        <v>16</v>
      </c>
      <c r="J54" s="2">
        <v>52</v>
      </c>
      <c r="K54" s="11">
        <v>1.05</v>
      </c>
      <c r="L54" s="2">
        <v>-8.7086729568540804</v>
      </c>
      <c r="M54" s="2">
        <v>4.03335641585132</v>
      </c>
      <c r="N54" s="2">
        <v>81.094465187124001</v>
      </c>
      <c r="O54" s="2" t="s">
        <v>18</v>
      </c>
    </row>
    <row r="55" spans="2:15" ht="14.25" customHeight="1" x14ac:dyDescent="0.3">
      <c r="B55" s="2">
        <v>53</v>
      </c>
      <c r="C55" s="2">
        <v>1</v>
      </c>
      <c r="D55" s="2">
        <v>-30.314891300943302</v>
      </c>
      <c r="E55" s="2">
        <v>2.14602357353349</v>
      </c>
      <c r="F55" s="2">
        <v>1.4750000000000001</v>
      </c>
      <c r="G55" s="2">
        <v>93.031877059640095</v>
      </c>
      <c r="H55" s="2" t="s">
        <v>17</v>
      </c>
      <c r="J55" s="2">
        <v>53</v>
      </c>
      <c r="K55" s="5">
        <v>1.075</v>
      </c>
      <c r="L55" s="2">
        <v>117.67082839874701</v>
      </c>
      <c r="M55" s="15">
        <v>4.7525773079885205E-10</v>
      </c>
      <c r="N55" s="2">
        <v>-27.363429818049202</v>
      </c>
      <c r="O55" s="5" t="s">
        <v>6</v>
      </c>
    </row>
    <row r="56" spans="2:15" ht="14.25" customHeight="1" x14ac:dyDescent="0.3">
      <c r="B56" s="2">
        <v>54</v>
      </c>
      <c r="C56" s="2">
        <v>1</v>
      </c>
      <c r="D56" s="2">
        <v>-8.6482831321290998</v>
      </c>
      <c r="E56" s="2">
        <v>2.48492490726241</v>
      </c>
      <c r="F56" s="2">
        <v>1.409</v>
      </c>
      <c r="G56" s="2">
        <v>92.529754173140404</v>
      </c>
      <c r="H56" s="2" t="s">
        <v>18</v>
      </c>
      <c r="J56" s="2">
        <v>54</v>
      </c>
      <c r="K56" s="2">
        <v>1.075</v>
      </c>
      <c r="L56" s="2">
        <v>-17.397705846670299</v>
      </c>
      <c r="M56" s="2">
        <v>4.3921952476529897</v>
      </c>
      <c r="N56" s="2">
        <v>81.040486401928504</v>
      </c>
      <c r="O56" s="2" t="s">
        <v>16</v>
      </c>
    </row>
    <row r="57" spans="2:15" ht="14.25" customHeight="1" x14ac:dyDescent="0.3">
      <c r="B57" s="2">
        <v>55</v>
      </c>
      <c r="C57" s="11">
        <v>1</v>
      </c>
      <c r="D57" s="2">
        <v>-123.866507261013</v>
      </c>
      <c r="E57" s="2">
        <v>0.79445699820707905</v>
      </c>
      <c r="F57" s="2">
        <v>1.2430000000000001</v>
      </c>
      <c r="G57" s="2">
        <v>98.894179996770205</v>
      </c>
      <c r="H57" s="11" t="s">
        <v>27</v>
      </c>
      <c r="J57" s="2">
        <v>55</v>
      </c>
      <c r="K57" s="2">
        <v>1.075</v>
      </c>
      <c r="L57" s="2">
        <v>-30.532992343477801</v>
      </c>
      <c r="M57" s="2">
        <v>3.7767750821594599</v>
      </c>
      <c r="N57" s="2">
        <v>80.158518758937504</v>
      </c>
      <c r="O57" s="2" t="s">
        <v>17</v>
      </c>
    </row>
    <row r="58" spans="2:15" ht="14.25" customHeight="1" x14ac:dyDescent="0.3">
      <c r="B58" s="2">
        <v>56</v>
      </c>
      <c r="C58" s="5">
        <v>1.0249999999999999</v>
      </c>
      <c r="D58" s="2">
        <v>114.729682107345</v>
      </c>
      <c r="E58" s="2">
        <v>0.160852172657624</v>
      </c>
      <c r="F58" s="2">
        <v>7.5999999999999998E-2</v>
      </c>
      <c r="G58" s="2">
        <v>-27.9229637105527</v>
      </c>
      <c r="H58" s="5" t="s">
        <v>6</v>
      </c>
      <c r="J58" s="2">
        <v>56</v>
      </c>
      <c r="K58" s="11">
        <v>1.075</v>
      </c>
      <c r="L58" s="2">
        <v>-8.7086729570312507</v>
      </c>
      <c r="M58" s="2">
        <v>4.0333564102942097</v>
      </c>
      <c r="N58" s="2">
        <v>81.094465142850197</v>
      </c>
      <c r="O58" s="2" t="s">
        <v>18</v>
      </c>
    </row>
    <row r="59" spans="2:15" ht="14.25" customHeight="1" x14ac:dyDescent="0.3">
      <c r="B59" s="2">
        <v>57</v>
      </c>
      <c r="C59" s="2">
        <v>1.0249999999999999</v>
      </c>
      <c r="D59" s="2">
        <v>-17.278011462138199</v>
      </c>
      <c r="E59" s="2">
        <v>2.80025058381531</v>
      </c>
      <c r="F59" s="2">
        <v>1.4610000000000001</v>
      </c>
      <c r="G59" s="2">
        <v>91.092770185275299</v>
      </c>
      <c r="H59" s="2" t="s">
        <v>16</v>
      </c>
      <c r="J59" s="2">
        <v>57</v>
      </c>
      <c r="K59" s="5">
        <v>1.1000000000000001</v>
      </c>
      <c r="L59" s="2">
        <v>117.67082840167799</v>
      </c>
      <c r="M59" s="15">
        <v>4.7525773080081701E-10</v>
      </c>
      <c r="N59" s="2">
        <v>-27.3634298177322</v>
      </c>
      <c r="O59" s="5" t="s">
        <v>6</v>
      </c>
    </row>
    <row r="60" spans="2:15" ht="14.25" customHeight="1" x14ac:dyDescent="0.3">
      <c r="B60" s="2">
        <v>58</v>
      </c>
      <c r="C60" s="2">
        <v>1.0249999999999999</v>
      </c>
      <c r="D60" s="2">
        <v>-30.3181377014722</v>
      </c>
      <c r="E60" s="2">
        <v>2.1459520037945601</v>
      </c>
      <c r="F60" s="2">
        <v>1.4750000000000001</v>
      </c>
      <c r="G60" s="2">
        <v>92.270088648435703</v>
      </c>
      <c r="H60" s="2" t="s">
        <v>17</v>
      </c>
      <c r="J60" s="2">
        <v>58</v>
      </c>
      <c r="K60" s="2">
        <v>1.1000000000000001</v>
      </c>
      <c r="L60" s="2">
        <v>-17.3977058460138</v>
      </c>
      <c r="M60" s="2">
        <v>4.3921952516342202</v>
      </c>
      <c r="N60" s="2">
        <v>81.040486429137303</v>
      </c>
      <c r="O60" s="2" t="s">
        <v>16</v>
      </c>
    </row>
    <row r="61" spans="2:15" ht="14.25" customHeight="1" x14ac:dyDescent="0.3">
      <c r="B61" s="2">
        <v>59</v>
      </c>
      <c r="C61" s="2">
        <v>1.0249999999999999</v>
      </c>
      <c r="D61" s="2">
        <v>-8.6500293385512705</v>
      </c>
      <c r="E61" s="2">
        <v>2.4847578011121398</v>
      </c>
      <c r="F61" s="2">
        <v>1.4079999999999999</v>
      </c>
      <c r="G61" s="2">
        <v>91.735483749863604</v>
      </c>
      <c r="H61" s="2" t="s">
        <v>18</v>
      </c>
      <c r="J61" s="2">
        <v>59</v>
      </c>
      <c r="K61" s="2">
        <v>1.1000000000000001</v>
      </c>
      <c r="L61" s="2">
        <v>-30.532992343377298</v>
      </c>
      <c r="M61" s="2">
        <v>3.7767750825253099</v>
      </c>
      <c r="N61" s="2">
        <v>80.158518762079694</v>
      </c>
      <c r="O61" s="2" t="s">
        <v>17</v>
      </c>
    </row>
    <row r="62" spans="2:15" ht="14.25" customHeight="1" x14ac:dyDescent="0.3">
      <c r="B62" s="2">
        <v>60</v>
      </c>
      <c r="C62" s="11">
        <v>1.0249999999999999</v>
      </c>
      <c r="D62" s="2">
        <v>-123.86706133480899</v>
      </c>
      <c r="E62" s="2">
        <v>0.79445649925596695</v>
      </c>
      <c r="F62" s="2">
        <v>1.2430000000000001</v>
      </c>
      <c r="G62" s="2">
        <v>98.740589637469796</v>
      </c>
      <c r="H62" s="11" t="s">
        <v>27</v>
      </c>
      <c r="J62" s="2">
        <v>60</v>
      </c>
      <c r="K62" s="11">
        <v>1.1000000000000001</v>
      </c>
      <c r="L62" s="2">
        <v>-8.7086729568137198</v>
      </c>
      <c r="M62" s="2">
        <v>4.03335641551375</v>
      </c>
      <c r="N62" s="2">
        <v>81.094465185126396</v>
      </c>
      <c r="O62" s="2" t="s">
        <v>18</v>
      </c>
    </row>
    <row r="63" spans="2:15" ht="14.25" customHeight="1" x14ac:dyDescent="0.3">
      <c r="B63" s="2">
        <v>61</v>
      </c>
      <c r="C63" s="5">
        <v>1.05</v>
      </c>
      <c r="D63" s="2">
        <v>114.729527221259</v>
      </c>
      <c r="E63" s="2">
        <v>0.16101794057859101</v>
      </c>
      <c r="F63" s="2">
        <v>7.8E-2</v>
      </c>
      <c r="G63" s="2">
        <v>-27.924458410087698</v>
      </c>
      <c r="H63" s="5" t="s">
        <v>6</v>
      </c>
      <c r="J63" s="2">
        <v>61</v>
      </c>
      <c r="K63" s="5">
        <v>1.125</v>
      </c>
      <c r="L63" s="2">
        <v>117.670828401817</v>
      </c>
      <c r="M63" s="2">
        <v>6.8110376492881101E-3</v>
      </c>
      <c r="N63" s="2">
        <v>-27.363429817684601</v>
      </c>
      <c r="O63" s="5" t="s">
        <v>6</v>
      </c>
    </row>
    <row r="64" spans="2:15" ht="14.25" customHeight="1" x14ac:dyDescent="0.3">
      <c r="B64" s="2">
        <v>62</v>
      </c>
      <c r="C64" s="2">
        <v>1.05</v>
      </c>
      <c r="D64" s="2">
        <v>-17.2780114626905</v>
      </c>
      <c r="E64" s="2">
        <v>2.8002505807198901</v>
      </c>
      <c r="F64" s="2">
        <v>1.4610000000000001</v>
      </c>
      <c r="G64" s="2">
        <v>91.092770187175702</v>
      </c>
      <c r="H64" s="2" t="s">
        <v>16</v>
      </c>
      <c r="J64" s="2">
        <v>62</v>
      </c>
      <c r="K64" s="2">
        <v>1.125</v>
      </c>
      <c r="L64" s="2">
        <v>-17.397705899967001</v>
      </c>
      <c r="M64" s="2">
        <v>4.3921952433098896</v>
      </c>
      <c r="N64" s="2">
        <v>81.040486465912196</v>
      </c>
      <c r="O64" s="2" t="s">
        <v>16</v>
      </c>
    </row>
    <row r="65" spans="2:15" ht="14.25" customHeight="1" x14ac:dyDescent="0.3">
      <c r="B65" s="2">
        <v>63</v>
      </c>
      <c r="C65" s="2">
        <v>1.05</v>
      </c>
      <c r="D65" s="2">
        <v>-30.318137701546</v>
      </c>
      <c r="E65" s="2">
        <v>2.1459520030775798</v>
      </c>
      <c r="F65" s="2">
        <v>1.4750000000000001</v>
      </c>
      <c r="G65" s="2">
        <v>92.270088649932205</v>
      </c>
      <c r="H65" s="2" t="s">
        <v>17</v>
      </c>
      <c r="J65" s="2">
        <v>63</v>
      </c>
      <c r="K65" s="2">
        <v>1.125</v>
      </c>
      <c r="L65" s="2">
        <v>-30.5329923809003</v>
      </c>
      <c r="M65" s="2">
        <v>3.7767750802103701</v>
      </c>
      <c r="N65" s="2">
        <v>80.158518775325703</v>
      </c>
      <c r="O65" s="2" t="s">
        <v>17</v>
      </c>
    </row>
    <row r="66" spans="2:15" ht="14.25" customHeight="1" x14ac:dyDescent="0.3">
      <c r="B66" s="2">
        <v>64</v>
      </c>
      <c r="C66" s="2">
        <v>1.05</v>
      </c>
      <c r="D66" s="2">
        <v>-8.6500293385862399</v>
      </c>
      <c r="E66" s="2">
        <v>2.4847578004620798</v>
      </c>
      <c r="F66" s="2">
        <v>1.4079999999999999</v>
      </c>
      <c r="G66" s="2">
        <v>91.735483751005205</v>
      </c>
      <c r="H66" s="2" t="s">
        <v>18</v>
      </c>
      <c r="J66" s="2">
        <v>64</v>
      </c>
      <c r="K66" s="11">
        <v>1.125</v>
      </c>
      <c r="L66" s="2">
        <v>-8.7086729753132097</v>
      </c>
      <c r="M66" s="2">
        <v>4.0333564104709803</v>
      </c>
      <c r="N66" s="2">
        <v>81.094465200210806</v>
      </c>
      <c r="O66" s="2" t="s">
        <v>18</v>
      </c>
    </row>
    <row r="67" spans="2:15" ht="14.25" customHeight="1" x14ac:dyDescent="0.3">
      <c r="B67" s="2">
        <v>65</v>
      </c>
      <c r="C67" s="11">
        <v>1.05</v>
      </c>
      <c r="D67" s="2">
        <v>-123.867061335895</v>
      </c>
      <c r="E67" s="2">
        <v>0.79445649694956899</v>
      </c>
      <c r="F67" s="2">
        <v>1.2430000000000001</v>
      </c>
      <c r="G67" s="2">
        <v>98.740589650356497</v>
      </c>
      <c r="H67" s="11" t="s">
        <v>27</v>
      </c>
      <c r="J67" s="2">
        <v>65</v>
      </c>
      <c r="K67" s="5">
        <v>1.1499999999999999</v>
      </c>
      <c r="L67" s="2">
        <v>117.67082839906899</v>
      </c>
      <c r="M67" s="15">
        <v>6.4258218750338995E-7</v>
      </c>
      <c r="N67" s="2">
        <v>-27.3634298179784</v>
      </c>
      <c r="O67" s="5" t="s">
        <v>6</v>
      </c>
    </row>
    <row r="68" spans="2:15" ht="14.25" customHeight="1" x14ac:dyDescent="0.3">
      <c r="B68" s="2">
        <v>66</v>
      </c>
      <c r="C68" s="5">
        <v>1.075</v>
      </c>
      <c r="D68" s="2">
        <v>114.729662809469</v>
      </c>
      <c r="E68" s="2">
        <v>0.161410682708204</v>
      </c>
      <c r="F68" s="2">
        <v>7.3999999999999996E-2</v>
      </c>
      <c r="G68" s="2">
        <v>-27.923557576115201</v>
      </c>
      <c r="H68" s="5" t="s">
        <v>6</v>
      </c>
      <c r="J68" s="2">
        <v>66</v>
      </c>
      <c r="K68" s="2">
        <v>1.1499999999999999</v>
      </c>
      <c r="L68" s="2">
        <v>-17.3977058462659</v>
      </c>
      <c r="M68" s="2">
        <v>4.3921952515299303</v>
      </c>
      <c r="N68" s="2">
        <v>81.040486423845906</v>
      </c>
      <c r="O68" s="2" t="s">
        <v>16</v>
      </c>
    </row>
    <row r="69" spans="2:15" ht="14.25" customHeight="1" x14ac:dyDescent="0.3">
      <c r="B69" s="2">
        <v>67</v>
      </c>
      <c r="C69" s="2">
        <v>1.075</v>
      </c>
      <c r="D69" s="2">
        <v>-17.2780114625414</v>
      </c>
      <c r="E69" s="2">
        <v>2.80025057673046</v>
      </c>
      <c r="F69" s="2">
        <v>1.4610000000000001</v>
      </c>
      <c r="G69" s="2">
        <v>91.092770195599996</v>
      </c>
      <c r="H69" s="2" t="s">
        <v>16</v>
      </c>
      <c r="J69" s="2">
        <v>67</v>
      </c>
      <c r="K69" s="2">
        <v>1.1499999999999999</v>
      </c>
      <c r="L69" s="2">
        <v>-30.532992343497501</v>
      </c>
      <c r="M69" s="2">
        <v>3.7767750833127698</v>
      </c>
      <c r="N69" s="2">
        <v>80.158518766278206</v>
      </c>
      <c r="O69" s="2" t="s">
        <v>17</v>
      </c>
    </row>
    <row r="70" spans="2:15" ht="14.25" customHeight="1" x14ac:dyDescent="0.3">
      <c r="B70" s="2">
        <v>68</v>
      </c>
      <c r="C70" s="2">
        <v>1.075</v>
      </c>
      <c r="D70" s="2">
        <v>-30.3181377015678</v>
      </c>
      <c r="E70" s="2">
        <v>2.1459520024284</v>
      </c>
      <c r="F70" s="2">
        <v>1.4750000000000001</v>
      </c>
      <c r="G70" s="2">
        <v>92.270088651358193</v>
      </c>
      <c r="H70" s="2" t="s">
        <v>17</v>
      </c>
      <c r="J70" s="2">
        <v>68</v>
      </c>
      <c r="K70" s="11">
        <v>1.1499999999999999</v>
      </c>
      <c r="L70" s="2">
        <v>-8.7086729568890107</v>
      </c>
      <c r="M70" s="2">
        <v>4.0333564156053603</v>
      </c>
      <c r="N70" s="2">
        <v>81.094465184178304</v>
      </c>
      <c r="O70" s="2" t="s">
        <v>18</v>
      </c>
    </row>
    <row r="71" spans="2:15" ht="14.25" customHeight="1" x14ac:dyDescent="0.3">
      <c r="B71" s="2">
        <v>69</v>
      </c>
      <c r="C71" s="2">
        <v>1.075</v>
      </c>
      <c r="D71" s="2">
        <v>-8.6500293386198397</v>
      </c>
      <c r="E71" s="2">
        <v>2.4847577898292399</v>
      </c>
      <c r="F71" s="2">
        <v>1.4079999999999999</v>
      </c>
      <c r="G71" s="2">
        <v>91.7354837710011</v>
      </c>
      <c r="H71" s="2" t="s">
        <v>18</v>
      </c>
      <c r="J71" s="2">
        <v>69</v>
      </c>
      <c r="K71" s="5">
        <v>1.175</v>
      </c>
      <c r="L71" s="2">
        <v>117.671275768225</v>
      </c>
      <c r="M71" s="15">
        <v>4.7523113434854203E-10</v>
      </c>
      <c r="N71" s="2">
        <v>-27.363498791788899</v>
      </c>
      <c r="O71" s="5" t="s">
        <v>6</v>
      </c>
    </row>
    <row r="72" spans="2:15" ht="14.25" customHeight="1" x14ac:dyDescent="0.3">
      <c r="B72" s="2">
        <v>70</v>
      </c>
      <c r="C72" s="11">
        <v>1.075</v>
      </c>
      <c r="D72" s="2">
        <v>-123.867061337362</v>
      </c>
      <c r="E72" s="2">
        <v>0.79445649422848996</v>
      </c>
      <c r="F72" s="2">
        <v>1.2430000000000001</v>
      </c>
      <c r="G72" s="2">
        <v>98.740589666712793</v>
      </c>
      <c r="H72" s="11" t="s">
        <v>27</v>
      </c>
      <c r="J72" s="2">
        <v>70</v>
      </c>
      <c r="K72" s="2">
        <v>1.175</v>
      </c>
      <c r="L72" s="2">
        <v>-17.394179837964899</v>
      </c>
      <c r="M72" s="2">
        <v>4.3927137315272597</v>
      </c>
      <c r="N72" s="2">
        <v>81.038261178598205</v>
      </c>
      <c r="O72" s="2" t="s">
        <v>16</v>
      </c>
    </row>
    <row r="73" spans="2:15" ht="14.25" customHeight="1" x14ac:dyDescent="0.3">
      <c r="B73" s="2">
        <v>71</v>
      </c>
      <c r="C73" s="5">
        <v>1.1000000000000001</v>
      </c>
      <c r="D73" s="2">
        <v>114.729508614824</v>
      </c>
      <c r="E73" s="2">
        <v>0.16133391952203999</v>
      </c>
      <c r="F73" s="2">
        <v>7.3999999999999996E-2</v>
      </c>
      <c r="G73" s="2">
        <v>-27.9233934791996</v>
      </c>
      <c r="H73" s="5" t="s">
        <v>6</v>
      </c>
      <c r="J73" s="2">
        <v>71</v>
      </c>
      <c r="K73" s="2">
        <v>1.175</v>
      </c>
      <c r="L73" s="2">
        <v>-30.530401830145301</v>
      </c>
      <c r="M73" s="2">
        <v>3.7769451563789702</v>
      </c>
      <c r="N73" s="2">
        <v>80.157834610327896</v>
      </c>
      <c r="O73" s="2" t="s">
        <v>17</v>
      </c>
    </row>
    <row r="74" spans="2:15" ht="14.25" customHeight="1" x14ac:dyDescent="0.3">
      <c r="B74" s="2">
        <v>72</v>
      </c>
      <c r="C74" s="2">
        <v>1.1000000000000001</v>
      </c>
      <c r="D74" s="2">
        <v>-17.278011461996801</v>
      </c>
      <c r="E74" s="2">
        <v>2.8002505832804201</v>
      </c>
      <c r="F74" s="2">
        <v>1.4610000000000001</v>
      </c>
      <c r="G74" s="2">
        <v>91.092770186392897</v>
      </c>
      <c r="H74" s="2" t="s">
        <v>16</v>
      </c>
      <c r="J74" s="2">
        <v>72</v>
      </c>
      <c r="K74" s="11">
        <v>1.175</v>
      </c>
      <c r="L74" s="2">
        <v>-8.7072316778785499</v>
      </c>
      <c r="M74" s="2">
        <v>4.03373585629092</v>
      </c>
      <c r="N74" s="2">
        <v>81.093097448212703</v>
      </c>
      <c r="O74" s="2" t="s">
        <v>18</v>
      </c>
    </row>
    <row r="75" spans="2:15" ht="14.25" customHeight="1" x14ac:dyDescent="0.3">
      <c r="B75" s="2">
        <v>73</v>
      </c>
      <c r="C75" s="2">
        <v>1.1000000000000001</v>
      </c>
      <c r="D75" s="2">
        <v>-30.318137701477699</v>
      </c>
      <c r="E75" s="2">
        <v>2.14595200302545</v>
      </c>
      <c r="F75" s="2">
        <v>1.4750000000000001</v>
      </c>
      <c r="G75" s="2">
        <v>92.270088650393902</v>
      </c>
      <c r="H75" s="2" t="s">
        <v>17</v>
      </c>
      <c r="J75" s="2">
        <v>73</v>
      </c>
      <c r="K75" s="5">
        <v>1.2</v>
      </c>
      <c r="L75" s="2">
        <v>117.671275768116</v>
      </c>
      <c r="M75" s="15">
        <v>4.7523113436578802E-10</v>
      </c>
      <c r="N75" s="2">
        <v>-27.3634987917895</v>
      </c>
      <c r="O75" s="5" t="s">
        <v>6</v>
      </c>
    </row>
    <row r="76" spans="2:15" ht="14.25" customHeight="1" x14ac:dyDescent="0.3">
      <c r="B76" s="2">
        <v>74</v>
      </c>
      <c r="C76" s="2">
        <v>1.1000000000000001</v>
      </c>
      <c r="D76" s="2">
        <v>-8.6500293385341305</v>
      </c>
      <c r="E76" s="2">
        <v>2.4847577998263799</v>
      </c>
      <c r="F76" s="2">
        <v>1.4079999999999999</v>
      </c>
      <c r="G76" s="2">
        <v>91.735483752132893</v>
      </c>
      <c r="H76" s="2" t="s">
        <v>18</v>
      </c>
      <c r="J76" s="2">
        <v>74</v>
      </c>
      <c r="K76" s="2">
        <v>1.2</v>
      </c>
      <c r="L76" s="2">
        <v>-17.394179837894001</v>
      </c>
      <c r="M76" s="2">
        <v>4.3927137315877003</v>
      </c>
      <c r="N76" s="2">
        <v>81.0382611816447</v>
      </c>
      <c r="O76" s="2" t="s">
        <v>16</v>
      </c>
    </row>
    <row r="77" spans="2:15" ht="14.25" customHeight="1" x14ac:dyDescent="0.3">
      <c r="B77" s="2">
        <v>75</v>
      </c>
      <c r="C77" s="11">
        <v>1.1000000000000001</v>
      </c>
      <c r="D77" s="2">
        <v>-123.86706133589399</v>
      </c>
      <c r="E77" s="2">
        <v>0.79445649695029597</v>
      </c>
      <c r="F77" s="2">
        <v>1.2430000000000001</v>
      </c>
      <c r="G77" s="2">
        <v>98.740589650364299</v>
      </c>
      <c r="H77" s="11" t="s">
        <v>27</v>
      </c>
      <c r="J77" s="2">
        <v>75</v>
      </c>
      <c r="K77" s="2">
        <v>1.2</v>
      </c>
      <c r="L77" s="2">
        <v>-30.530401830115</v>
      </c>
      <c r="M77" s="2">
        <v>3.7769451563818399</v>
      </c>
      <c r="N77" s="2">
        <v>80.157834610278698</v>
      </c>
      <c r="O77" s="2" t="s">
        <v>17</v>
      </c>
    </row>
    <row r="78" spans="2:15" ht="14.25" customHeight="1" x14ac:dyDescent="0.3">
      <c r="B78" s="2">
        <v>76</v>
      </c>
      <c r="C78" s="5">
        <v>1.125</v>
      </c>
      <c r="D78" s="2">
        <v>114.72953733603801</v>
      </c>
      <c r="E78" s="2">
        <v>0.161522551940493</v>
      </c>
      <c r="F78" s="2">
        <v>7.3999999999999996E-2</v>
      </c>
      <c r="G78" s="2">
        <v>-27.9239117915306</v>
      </c>
      <c r="H78" s="5" t="s">
        <v>6</v>
      </c>
      <c r="J78" s="2">
        <v>76</v>
      </c>
      <c r="K78" s="11">
        <v>1.2</v>
      </c>
      <c r="L78" s="2">
        <v>-8.7072316778769707</v>
      </c>
      <c r="M78" s="2">
        <v>4.0337358562447303</v>
      </c>
      <c r="N78" s="2">
        <v>81.093097447718307</v>
      </c>
      <c r="O78" s="2" t="s">
        <v>18</v>
      </c>
    </row>
    <row r="79" spans="2:15" ht="14.25" customHeight="1" x14ac:dyDescent="0.3">
      <c r="B79" s="2">
        <v>77</v>
      </c>
      <c r="C79" s="2">
        <v>1.125</v>
      </c>
      <c r="D79" s="2">
        <v>-17.278011515996699</v>
      </c>
      <c r="E79" s="2">
        <v>2.8002505807332301</v>
      </c>
      <c r="F79" s="2">
        <v>1.4610000000000001</v>
      </c>
      <c r="G79" s="2">
        <v>91.092770201554004</v>
      </c>
      <c r="H79" s="2" t="s">
        <v>16</v>
      </c>
      <c r="J79" s="2">
        <v>77</v>
      </c>
      <c r="K79" s="5">
        <v>1.2250000000000001</v>
      </c>
      <c r="L79" s="2">
        <v>117.67136901123401</v>
      </c>
      <c r="M79" s="15">
        <v>4.7522644589787096E-10</v>
      </c>
      <c r="N79" s="2">
        <v>-11.7707751263614</v>
      </c>
      <c r="O79" s="5" t="s">
        <v>6</v>
      </c>
    </row>
    <row r="80" spans="2:15" ht="14.25" customHeight="1" x14ac:dyDescent="0.3">
      <c r="B80" s="2">
        <v>78</v>
      </c>
      <c r="C80" s="2">
        <v>1.125</v>
      </c>
      <c r="D80" s="2">
        <v>-30.3181377389893</v>
      </c>
      <c r="E80" s="2">
        <v>2.14595200275346</v>
      </c>
      <c r="F80" s="2">
        <v>1.4750000000000001</v>
      </c>
      <c r="G80" s="2">
        <v>92.270088654273394</v>
      </c>
      <c r="H80" s="2" t="s">
        <v>17</v>
      </c>
      <c r="J80" s="2">
        <v>78</v>
      </c>
      <c r="K80" s="2">
        <v>1.2250000000000001</v>
      </c>
      <c r="L80" s="2">
        <v>-17.393537592593599</v>
      </c>
      <c r="M80" s="2">
        <v>4.3928005864864001</v>
      </c>
      <c r="N80" s="2">
        <v>82.781005563707396</v>
      </c>
      <c r="O80" s="2" t="s">
        <v>16</v>
      </c>
    </row>
    <row r="81" spans="2:15" ht="14.25" customHeight="1" x14ac:dyDescent="0.3">
      <c r="B81" s="2">
        <v>79</v>
      </c>
      <c r="C81" s="2">
        <v>1.125</v>
      </c>
      <c r="D81" s="2">
        <v>-8.6500293570102897</v>
      </c>
      <c r="E81" s="2">
        <v>2.4847577975839599</v>
      </c>
      <c r="F81" s="2">
        <v>1.4079999999999999</v>
      </c>
      <c r="G81" s="2">
        <v>91.735483761994303</v>
      </c>
      <c r="H81" s="2" t="s">
        <v>18</v>
      </c>
      <c r="J81" s="2">
        <v>79</v>
      </c>
      <c r="K81" s="2">
        <v>1.2250000000000001</v>
      </c>
      <c r="L81" s="2">
        <v>-30.529741174684101</v>
      </c>
      <c r="M81" s="2">
        <v>3.77698734949904</v>
      </c>
      <c r="N81" s="2">
        <v>82.114205003589305</v>
      </c>
      <c r="O81" s="2" t="s">
        <v>17</v>
      </c>
    </row>
    <row r="82" spans="2:15" ht="14.25" customHeight="1" x14ac:dyDescent="0.3">
      <c r="B82" s="2">
        <v>80</v>
      </c>
      <c r="C82" s="11">
        <v>1.125</v>
      </c>
      <c r="D82" s="2">
        <v>-123.8670613362</v>
      </c>
      <c r="E82" s="2">
        <v>0.79445649694990395</v>
      </c>
      <c r="F82" s="2">
        <v>1.2430000000000001</v>
      </c>
      <c r="G82" s="2">
        <v>98.740589650350998</v>
      </c>
      <c r="H82" s="11" t="s">
        <v>27</v>
      </c>
      <c r="J82" s="2">
        <v>80</v>
      </c>
      <c r="K82" s="11">
        <v>1.2250000000000001</v>
      </c>
      <c r="L82" s="2">
        <v>-8.7069251841892896</v>
      </c>
      <c r="M82" s="2">
        <v>4.0338130823261302</v>
      </c>
      <c r="N82" s="2">
        <v>82.911675186102599</v>
      </c>
      <c r="O82" s="2" t="s">
        <v>18</v>
      </c>
    </row>
    <row r="83" spans="2:15" ht="14.25" customHeight="1" x14ac:dyDescent="0.3">
      <c r="B83" s="2">
        <v>81</v>
      </c>
      <c r="C83" s="5">
        <v>1.1499999999999999</v>
      </c>
      <c r="D83" s="2">
        <v>114.72948007839101</v>
      </c>
      <c r="E83" s="2">
        <v>0.16102215520107099</v>
      </c>
      <c r="F83" s="2">
        <v>7.8E-2</v>
      </c>
      <c r="G83" s="2">
        <v>-27.924485729440601</v>
      </c>
      <c r="H83" s="5" t="s">
        <v>6</v>
      </c>
      <c r="J83" s="2">
        <v>81</v>
      </c>
      <c r="K83" s="5">
        <v>1.25</v>
      </c>
      <c r="L83" s="2">
        <v>117.67136900911601</v>
      </c>
      <c r="M83" s="15">
        <v>9.5045289726359498E-10</v>
      </c>
      <c r="N83" s="2">
        <v>-11.770775126820901</v>
      </c>
      <c r="O83" s="5" t="s">
        <v>6</v>
      </c>
    </row>
    <row r="84" spans="2:15" ht="14.25" customHeight="1" x14ac:dyDescent="0.3">
      <c r="B84" s="2">
        <v>82</v>
      </c>
      <c r="C84" s="2">
        <v>1.1499999999999999</v>
      </c>
      <c r="D84" s="2">
        <v>-17.278011462252699</v>
      </c>
      <c r="E84" s="2">
        <v>2.8002505828481699</v>
      </c>
      <c r="F84" s="2">
        <v>1.4610000000000001</v>
      </c>
      <c r="G84" s="2">
        <v>91.092770185593693</v>
      </c>
      <c r="H84" s="2" t="s">
        <v>16</v>
      </c>
      <c r="J84" s="2">
        <v>82</v>
      </c>
      <c r="K84" s="2">
        <v>1.25</v>
      </c>
      <c r="L84" s="2">
        <v>-17.393537592517301</v>
      </c>
      <c r="M84" s="2">
        <v>4.3928005928949103</v>
      </c>
      <c r="N84" s="2">
        <v>82.781005595278202</v>
      </c>
      <c r="O84" s="2" t="s">
        <v>16</v>
      </c>
    </row>
    <row r="85" spans="2:15" ht="14.25" customHeight="1" x14ac:dyDescent="0.3">
      <c r="B85" s="2">
        <v>83</v>
      </c>
      <c r="C85" s="2">
        <v>1.1499999999999999</v>
      </c>
      <c r="D85" s="2">
        <v>-30.318137701662</v>
      </c>
      <c r="E85" s="2">
        <v>2.14595200432051</v>
      </c>
      <c r="F85" s="2">
        <v>1.4750000000000001</v>
      </c>
      <c r="G85" s="2">
        <v>92.270088646936799</v>
      </c>
      <c r="H85" s="2" t="s">
        <v>17</v>
      </c>
      <c r="J85" s="2">
        <v>83</v>
      </c>
      <c r="K85" s="2">
        <v>1.25</v>
      </c>
      <c r="L85" s="2">
        <v>-30.529741174893299</v>
      </c>
      <c r="M85" s="2">
        <v>3.7769873560573499</v>
      </c>
      <c r="N85" s="2">
        <v>82.1142050359975</v>
      </c>
      <c r="O85" s="2" t="s">
        <v>17</v>
      </c>
    </row>
    <row r="86" spans="2:15" ht="14.25" customHeight="1" x14ac:dyDescent="0.3">
      <c r="B86" s="2">
        <v>84</v>
      </c>
      <c r="C86" s="2">
        <v>1.1499999999999999</v>
      </c>
      <c r="D86" s="2">
        <v>-8.6500293386217493</v>
      </c>
      <c r="E86" s="2">
        <v>2.4847577999954402</v>
      </c>
      <c r="F86" s="2">
        <v>1.4079999999999999</v>
      </c>
      <c r="G86" s="2">
        <v>91.735483752101899</v>
      </c>
      <c r="H86" s="2" t="s">
        <v>18</v>
      </c>
      <c r="J86" s="2">
        <v>84</v>
      </c>
      <c r="K86" s="2">
        <v>1.25</v>
      </c>
      <c r="L86" s="2">
        <v>-8.7069251843244597</v>
      </c>
      <c r="M86" s="2">
        <v>4.0338130879998699</v>
      </c>
      <c r="N86" s="2">
        <v>82.911675209395497</v>
      </c>
      <c r="O86" s="2" t="s">
        <v>18</v>
      </c>
    </row>
    <row r="87" spans="2:15" ht="14.25" customHeight="1" x14ac:dyDescent="0.3">
      <c r="B87" s="2">
        <v>85</v>
      </c>
      <c r="C87" s="11">
        <v>1.1499999999999999</v>
      </c>
      <c r="D87" s="2">
        <v>-123.86706133724699</v>
      </c>
      <c r="E87" s="2">
        <v>0.794456494611257</v>
      </c>
      <c r="F87" s="2">
        <v>1.2430000000000001</v>
      </c>
      <c r="G87" s="2">
        <v>98.740589664949795</v>
      </c>
      <c r="H87" s="11" t="s">
        <v>27</v>
      </c>
    </row>
    <row r="88" spans="2:15" ht="14.25" customHeight="1" x14ac:dyDescent="0.3">
      <c r="B88" s="2">
        <v>86</v>
      </c>
      <c r="C88" s="5">
        <v>1.175</v>
      </c>
      <c r="D88" s="2">
        <v>114.730024993977</v>
      </c>
      <c r="E88" s="2">
        <v>0.16138062978655399</v>
      </c>
      <c r="F88" s="2">
        <v>7.3999999999999996E-2</v>
      </c>
      <c r="G88" s="2">
        <v>-27.923571616596099</v>
      </c>
      <c r="H88" s="5" t="s">
        <v>6</v>
      </c>
    </row>
    <row r="89" spans="2:15" ht="14.25" customHeight="1" x14ac:dyDescent="0.3">
      <c r="B89" s="2">
        <v>87</v>
      </c>
      <c r="C89" s="2">
        <v>1.175</v>
      </c>
      <c r="D89" s="2">
        <v>-17.274485859539599</v>
      </c>
      <c r="E89" s="2">
        <v>2.8004272480423298</v>
      </c>
      <c r="F89" s="2">
        <v>1.462</v>
      </c>
      <c r="G89" s="2">
        <v>91.091830869651503</v>
      </c>
      <c r="H89" s="2" t="s">
        <v>16</v>
      </c>
    </row>
    <row r="90" spans="2:15" ht="14.25" customHeight="1" x14ac:dyDescent="0.3">
      <c r="B90" s="2">
        <v>88</v>
      </c>
      <c r="C90" s="2">
        <v>1.175</v>
      </c>
      <c r="D90" s="2">
        <v>-30.315550723415399</v>
      </c>
      <c r="E90" s="2">
        <v>2.1460079836633401</v>
      </c>
      <c r="F90" s="2">
        <v>1.4750000000000001</v>
      </c>
      <c r="G90" s="2">
        <v>92.269723801878897</v>
      </c>
      <c r="H90" s="2" t="s">
        <v>17</v>
      </c>
    </row>
    <row r="91" spans="2:15" ht="14.25" customHeight="1" x14ac:dyDescent="0.3">
      <c r="B91" s="2">
        <v>89</v>
      </c>
      <c r="C91" s="2">
        <v>1.175</v>
      </c>
      <c r="D91" s="2">
        <v>-8.6485893082488303</v>
      </c>
      <c r="E91" s="2">
        <v>2.4848970433223299</v>
      </c>
      <c r="F91" s="2">
        <v>1.409</v>
      </c>
      <c r="G91" s="2">
        <v>91.734775398032397</v>
      </c>
      <c r="H91" s="2" t="s">
        <v>18</v>
      </c>
    </row>
    <row r="92" spans="2:15" ht="14.25" customHeight="1" x14ac:dyDescent="0.3">
      <c r="B92" s="2">
        <v>90</v>
      </c>
      <c r="C92" s="11">
        <v>1.175</v>
      </c>
      <c r="D92" s="2">
        <v>-123.866602925603</v>
      </c>
      <c r="E92" s="2">
        <v>0.79445693830021202</v>
      </c>
      <c r="F92" s="2">
        <v>1.2430000000000001</v>
      </c>
      <c r="G92" s="2">
        <v>98.740586601418897</v>
      </c>
      <c r="H92" s="11" t="s">
        <v>27</v>
      </c>
    </row>
    <row r="93" spans="2:15" ht="14.25" customHeight="1" x14ac:dyDescent="0.3">
      <c r="B93" s="2">
        <v>91</v>
      </c>
      <c r="C93" s="5">
        <v>1.2</v>
      </c>
      <c r="D93" s="2">
        <v>114.729976200652</v>
      </c>
      <c r="E93" s="2">
        <v>0.16086928970748099</v>
      </c>
      <c r="F93" s="2">
        <v>7.8E-2</v>
      </c>
      <c r="G93" s="2">
        <v>-27.924108395784899</v>
      </c>
      <c r="H93" s="5" t="s">
        <v>6</v>
      </c>
    </row>
    <row r="94" spans="2:15" ht="14.25" customHeight="1" x14ac:dyDescent="0.3">
      <c r="B94" s="2">
        <v>92</v>
      </c>
      <c r="C94" s="2">
        <v>1.2</v>
      </c>
      <c r="D94" s="2">
        <v>-17.2744858594757</v>
      </c>
      <c r="E94" s="2">
        <v>2.8004272483721002</v>
      </c>
      <c r="F94" s="2">
        <v>1.462</v>
      </c>
      <c r="G94" s="2">
        <v>91.091830869450604</v>
      </c>
      <c r="H94" s="2" t="s">
        <v>16</v>
      </c>
    </row>
    <row r="95" spans="2:15" ht="14.25" customHeight="1" x14ac:dyDescent="0.3">
      <c r="B95" s="2">
        <v>93</v>
      </c>
      <c r="C95" s="2">
        <v>1.2</v>
      </c>
      <c r="D95" s="2">
        <v>-30.3155507233846</v>
      </c>
      <c r="E95" s="2">
        <v>2.14600798366045</v>
      </c>
      <c r="F95" s="2">
        <v>1.4750000000000001</v>
      </c>
      <c r="G95" s="2">
        <v>92.269723801865297</v>
      </c>
      <c r="H95" s="2" t="s">
        <v>17</v>
      </c>
    </row>
    <row r="96" spans="2:15" ht="14.25" customHeight="1" x14ac:dyDescent="0.3">
      <c r="B96" s="2">
        <v>94</v>
      </c>
      <c r="C96" s="2">
        <v>1.2</v>
      </c>
      <c r="D96" s="2">
        <v>-8.6485893082465299</v>
      </c>
      <c r="E96" s="2">
        <v>2.4848970432264998</v>
      </c>
      <c r="F96" s="2">
        <v>1.409</v>
      </c>
      <c r="G96" s="2">
        <v>91.734775398310504</v>
      </c>
      <c r="H96" s="2" t="s">
        <v>18</v>
      </c>
    </row>
    <row r="97" spans="2:8" ht="14.25" customHeight="1" x14ac:dyDescent="0.3">
      <c r="B97" s="2">
        <v>95</v>
      </c>
      <c r="C97" s="11">
        <v>1.2</v>
      </c>
      <c r="D97" s="2">
        <v>-123.866602925603</v>
      </c>
      <c r="E97" s="2">
        <v>0.79445693830041397</v>
      </c>
      <c r="F97" s="2">
        <v>1.2430000000000001</v>
      </c>
      <c r="G97" s="2">
        <v>98.740586601418599</v>
      </c>
      <c r="H97" s="11" t="s">
        <v>27</v>
      </c>
    </row>
    <row r="98" spans="2:8" ht="14.25" customHeight="1" x14ac:dyDescent="0.3">
      <c r="B98" s="2">
        <v>96</v>
      </c>
      <c r="C98" s="5">
        <v>1.2250000000000001</v>
      </c>
      <c r="D98" s="2">
        <v>114.688673968174</v>
      </c>
      <c r="E98" s="2">
        <v>0.167036422149484</v>
      </c>
      <c r="F98" s="2">
        <v>0.56799999999999995</v>
      </c>
      <c r="G98" s="2">
        <v>-13.8564104093733</v>
      </c>
      <c r="H98" s="5" t="s">
        <v>6</v>
      </c>
    </row>
    <row r="99" spans="2:8" ht="14.25" customHeight="1" x14ac:dyDescent="0.3">
      <c r="B99" s="2">
        <v>97</v>
      </c>
      <c r="C99" s="2">
        <v>1.2250000000000001</v>
      </c>
      <c r="D99" s="2">
        <v>-17.273844389026198</v>
      </c>
      <c r="E99" s="2">
        <v>2.8004614436904398</v>
      </c>
      <c r="F99" s="2">
        <v>1.462</v>
      </c>
      <c r="G99" s="2">
        <v>91.910571549272305</v>
      </c>
      <c r="H99" s="2" t="s">
        <v>16</v>
      </c>
    </row>
    <row r="100" spans="2:8" ht="14.25" customHeight="1" x14ac:dyDescent="0.3">
      <c r="B100" s="2">
        <v>98</v>
      </c>
      <c r="C100" s="2">
        <v>1.2250000000000001</v>
      </c>
      <c r="D100" s="2">
        <v>-30.314891300330899</v>
      </c>
      <c r="E100" s="2">
        <v>2.1460235631916502</v>
      </c>
      <c r="F100" s="2">
        <v>1.4750000000000001</v>
      </c>
      <c r="G100" s="2">
        <v>93.031877082383403</v>
      </c>
      <c r="H100" s="2" t="s">
        <v>17</v>
      </c>
    </row>
    <row r="101" spans="2:8" ht="14.25" customHeight="1" x14ac:dyDescent="0.3">
      <c r="B101" s="2">
        <v>99</v>
      </c>
      <c r="C101" s="2">
        <v>1.2250000000000001</v>
      </c>
      <c r="D101" s="2">
        <v>-8.6482831318575908</v>
      </c>
      <c r="E101" s="2">
        <v>2.4849248980853802</v>
      </c>
      <c r="F101" s="2">
        <v>1.409</v>
      </c>
      <c r="G101" s="2">
        <v>92.529754187708605</v>
      </c>
      <c r="H101" s="2" t="s">
        <v>18</v>
      </c>
    </row>
    <row r="102" spans="2:8" ht="14.25" customHeight="1" x14ac:dyDescent="0.3">
      <c r="B102" s="2">
        <v>100</v>
      </c>
      <c r="C102" s="11">
        <v>1.2250000000000001</v>
      </c>
      <c r="D102" s="2">
        <v>-123.8665072598</v>
      </c>
      <c r="E102" s="2">
        <v>0.79445699969336703</v>
      </c>
      <c r="F102" s="2">
        <v>1.2430000000000001</v>
      </c>
      <c r="G102" s="2">
        <v>98.894179986750203</v>
      </c>
      <c r="H102" s="11" t="s">
        <v>27</v>
      </c>
    </row>
    <row r="103" spans="2:8" ht="14.25" customHeight="1" x14ac:dyDescent="0.3">
      <c r="B103" s="2">
        <v>101</v>
      </c>
      <c r="C103" s="5">
        <v>1.25</v>
      </c>
      <c r="D103" s="2">
        <v>114.688594606552</v>
      </c>
      <c r="E103" s="2">
        <v>0.16704439211823599</v>
      </c>
      <c r="F103" s="2">
        <v>0.56799999999999995</v>
      </c>
      <c r="G103" s="2">
        <v>-13.856642506217501</v>
      </c>
      <c r="H103" s="5" t="s">
        <v>6</v>
      </c>
    </row>
    <row r="104" spans="2:8" ht="14.25" customHeight="1" x14ac:dyDescent="0.3">
      <c r="B104" s="2">
        <v>102</v>
      </c>
      <c r="C104" s="2">
        <v>1.25</v>
      </c>
      <c r="D104" s="2">
        <v>-17.273844389175601</v>
      </c>
      <c r="E104" s="2">
        <v>2.8004614540139499</v>
      </c>
      <c r="F104" s="2">
        <v>1.462</v>
      </c>
      <c r="G104" s="2">
        <v>91.910571532838802</v>
      </c>
      <c r="H104" s="2" t="s">
        <v>16</v>
      </c>
    </row>
    <row r="105" spans="2:8" ht="14.25" customHeight="1" x14ac:dyDescent="0.3">
      <c r="B105" s="2">
        <v>103</v>
      </c>
      <c r="C105" s="2">
        <v>1.25</v>
      </c>
      <c r="D105" s="2">
        <v>-30.314891300943302</v>
      </c>
      <c r="E105" s="2">
        <v>2.14602357353349</v>
      </c>
      <c r="F105" s="2">
        <v>1.4750000000000001</v>
      </c>
      <c r="G105" s="2">
        <v>93.031877059640095</v>
      </c>
      <c r="H105" s="2" t="s">
        <v>17</v>
      </c>
    </row>
    <row r="106" spans="2:8" ht="14.25" customHeight="1" x14ac:dyDescent="0.3">
      <c r="B106" s="2">
        <v>104</v>
      </c>
      <c r="C106" s="2">
        <v>1.25</v>
      </c>
      <c r="D106" s="2">
        <v>-8.6482831321290998</v>
      </c>
      <c r="E106" s="2">
        <v>2.48492490726241</v>
      </c>
      <c r="F106" s="2">
        <v>1.409</v>
      </c>
      <c r="G106" s="2">
        <v>92.529754173140404</v>
      </c>
      <c r="H106" s="2" t="s">
        <v>18</v>
      </c>
    </row>
    <row r="107" spans="2:8" ht="14.25" customHeight="1" x14ac:dyDescent="0.3">
      <c r="B107" s="2">
        <v>105</v>
      </c>
      <c r="C107" s="11">
        <v>1.25</v>
      </c>
      <c r="D107" s="2">
        <v>-123.866507261013</v>
      </c>
      <c r="E107" s="2">
        <v>0.79445699820707905</v>
      </c>
      <c r="F107" s="2">
        <v>1.2430000000000001</v>
      </c>
      <c r="G107" s="2">
        <v>98.894179996770205</v>
      </c>
      <c r="H107" s="11" t="s">
        <v>27</v>
      </c>
    </row>
    <row r="108" spans="2:8" ht="14.25" customHeight="1" x14ac:dyDescent="0.3"/>
    <row r="109" spans="2:8" ht="14.25" customHeight="1" x14ac:dyDescent="0.3"/>
    <row r="110" spans="2:8" ht="14.25" customHeight="1" x14ac:dyDescent="0.3"/>
    <row r="111" spans="2:8" ht="14.25" customHeight="1" x14ac:dyDescent="0.3"/>
    <row r="112" spans="2:8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B1:H1"/>
    <mergeCell ref="J1:O1"/>
    <mergeCell ref="Q1:V1"/>
  </mergeCells>
  <conditionalFormatting sqref="G3:G10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8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6565"/>
  </sheetPr>
  <dimension ref="A1:AA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6.6640625" customWidth="1"/>
    <col min="3" max="8" width="8.6640625" customWidth="1"/>
    <col min="9" max="9" width="4.88671875" customWidth="1"/>
    <col min="10" max="10" width="6.33203125" customWidth="1"/>
    <col min="11" max="15" width="8.6640625" customWidth="1"/>
    <col min="16" max="16" width="5.109375" customWidth="1"/>
    <col min="17" max="27" width="8.6640625" customWidth="1"/>
  </cols>
  <sheetData>
    <row r="1" spans="1:22" ht="14.25" customHeight="1" x14ac:dyDescent="0.3">
      <c r="A1" s="2" t="s">
        <v>1</v>
      </c>
      <c r="B1" s="52" t="s">
        <v>20</v>
      </c>
      <c r="C1" s="53"/>
      <c r="D1" s="53"/>
      <c r="E1" s="53"/>
      <c r="F1" s="53"/>
      <c r="G1" s="53"/>
      <c r="H1" s="53"/>
      <c r="J1" s="52" t="s">
        <v>21</v>
      </c>
      <c r="K1" s="53"/>
      <c r="L1" s="53"/>
      <c r="M1" s="53"/>
      <c r="N1" s="53"/>
      <c r="O1" s="53"/>
      <c r="Q1" s="52" t="s">
        <v>22</v>
      </c>
      <c r="R1" s="53"/>
      <c r="S1" s="53"/>
      <c r="T1" s="53"/>
      <c r="U1" s="53"/>
      <c r="V1" s="53"/>
    </row>
    <row r="2" spans="1:22" ht="14.25" customHeight="1" x14ac:dyDescent="0.3">
      <c r="B2" s="2" t="s">
        <v>23</v>
      </c>
      <c r="C2" s="2" t="s">
        <v>24</v>
      </c>
      <c r="D2" s="2" t="s">
        <v>11</v>
      </c>
      <c r="E2" s="2" t="s">
        <v>12</v>
      </c>
      <c r="F2" s="2" t="s">
        <v>13</v>
      </c>
      <c r="G2" s="2" t="s">
        <v>25</v>
      </c>
      <c r="H2" s="2" t="s">
        <v>26</v>
      </c>
      <c r="J2" s="2" t="s">
        <v>23</v>
      </c>
      <c r="K2" s="2" t="s">
        <v>24</v>
      </c>
      <c r="L2" s="2" t="s">
        <v>11</v>
      </c>
      <c r="M2" s="2" t="s">
        <v>12</v>
      </c>
      <c r="N2" s="2" t="s">
        <v>25</v>
      </c>
      <c r="O2" s="2" t="s">
        <v>26</v>
      </c>
      <c r="Q2" s="2" t="s">
        <v>23</v>
      </c>
      <c r="R2" s="2" t="s">
        <v>24</v>
      </c>
      <c r="S2" s="2" t="s">
        <v>6</v>
      </c>
      <c r="T2" s="2" t="s">
        <v>16</v>
      </c>
      <c r="U2" s="2" t="s">
        <v>17</v>
      </c>
      <c r="V2" s="2" t="s">
        <v>18</v>
      </c>
    </row>
    <row r="3" spans="1:22" ht="14.25" customHeight="1" x14ac:dyDescent="0.3">
      <c r="B3" s="2">
        <v>1</v>
      </c>
      <c r="C3" s="5">
        <v>0.75</v>
      </c>
      <c r="D3" s="2">
        <v>-1.9546183313639301E-4</v>
      </c>
      <c r="E3" s="2">
        <v>3.5666008971783998</v>
      </c>
      <c r="F3" s="2">
        <v>4.1500000000000004</v>
      </c>
      <c r="G3" s="2">
        <v>87.491054625658904</v>
      </c>
      <c r="H3" s="5" t="s">
        <v>6</v>
      </c>
      <c r="J3" s="2">
        <v>1</v>
      </c>
      <c r="K3" s="5">
        <v>0.75</v>
      </c>
      <c r="L3" s="2">
        <v>-1.9832856629202299E-4</v>
      </c>
      <c r="M3" s="15">
        <v>7.7593771615617397</v>
      </c>
      <c r="N3" s="2">
        <v>74.579124470229502</v>
      </c>
      <c r="O3" s="5" t="s">
        <v>6</v>
      </c>
      <c r="Q3" s="2">
        <v>1</v>
      </c>
      <c r="R3" s="2">
        <v>0.75</v>
      </c>
      <c r="S3" s="17">
        <v>-1.0851210789000599E-2</v>
      </c>
      <c r="T3" s="16">
        <v>-0.125128887820878</v>
      </c>
      <c r="U3" s="16">
        <v>0.137603284630643</v>
      </c>
      <c r="V3" s="17">
        <v>-6.8853310181663505E-2</v>
      </c>
    </row>
    <row r="4" spans="1:22" ht="14.25" customHeight="1" x14ac:dyDescent="0.3">
      <c r="B4" s="2">
        <v>2</v>
      </c>
      <c r="C4" s="2">
        <v>0.75</v>
      </c>
      <c r="D4" s="2">
        <v>37.284916657043503</v>
      </c>
      <c r="E4" s="2">
        <v>0.32917585799207799</v>
      </c>
      <c r="F4" s="2">
        <v>6.7629999999999999</v>
      </c>
      <c r="G4" s="2">
        <v>53.313559709627498</v>
      </c>
      <c r="H4" s="2" t="s">
        <v>16</v>
      </c>
      <c r="J4" s="2">
        <v>2</v>
      </c>
      <c r="K4" s="2">
        <v>0.75</v>
      </c>
      <c r="L4" s="2">
        <v>37.073362810517402</v>
      </c>
      <c r="M4" s="2">
        <v>4.58721713115703</v>
      </c>
      <c r="N4" s="2">
        <v>47.159781132730103</v>
      </c>
      <c r="O4" s="2" t="s">
        <v>16</v>
      </c>
      <c r="Q4" s="2">
        <v>2</v>
      </c>
      <c r="R4" s="2">
        <v>0.77500000000000002</v>
      </c>
      <c r="S4" s="2">
        <v>-1.08512107889858E-2</v>
      </c>
      <c r="T4" s="2">
        <v>-0.12512888782089299</v>
      </c>
      <c r="U4" s="2">
        <v>0.13760328463062299</v>
      </c>
      <c r="V4" s="2">
        <v>-6.8853310181663505E-2</v>
      </c>
    </row>
    <row r="5" spans="1:22" ht="14.25" customHeight="1" x14ac:dyDescent="0.3">
      <c r="B5" s="2">
        <v>3</v>
      </c>
      <c r="C5" s="2">
        <v>0.75</v>
      </c>
      <c r="D5" s="2">
        <v>-56.858031608969398</v>
      </c>
      <c r="E5" s="2">
        <v>2.9753538163596698</v>
      </c>
      <c r="F5" s="2">
        <v>6.7370000000000001</v>
      </c>
      <c r="G5" s="2">
        <v>91.545143692416801</v>
      </c>
      <c r="H5" s="2" t="s">
        <v>17</v>
      </c>
      <c r="J5" s="2">
        <v>3</v>
      </c>
      <c r="K5" s="2">
        <v>0.75</v>
      </c>
      <c r="L5" s="2">
        <v>-58.489101187618203</v>
      </c>
      <c r="M5" s="2">
        <v>10.3851103960912</v>
      </c>
      <c r="N5" s="2">
        <v>64.372807726103602</v>
      </c>
      <c r="O5" s="2" t="s">
        <v>17</v>
      </c>
      <c r="Q5" s="2">
        <v>3</v>
      </c>
      <c r="R5" s="2">
        <v>0.8</v>
      </c>
      <c r="S5" s="2">
        <v>-1.0851210789000599E-2</v>
      </c>
      <c r="T5" s="2">
        <v>-0.12512888782089299</v>
      </c>
      <c r="U5" s="2">
        <v>0.137603284630643</v>
      </c>
      <c r="V5" s="2">
        <v>-6.8853310181663505E-2</v>
      </c>
    </row>
    <row r="6" spans="1:22" ht="14.25" customHeight="1" x14ac:dyDescent="0.3">
      <c r="B6" s="2">
        <v>4</v>
      </c>
      <c r="C6" s="2">
        <v>0.75</v>
      </c>
      <c r="D6" s="2">
        <v>18.812884122373099</v>
      </c>
      <c r="E6" s="2">
        <v>1.5828467076241799</v>
      </c>
      <c r="F6" s="2">
        <v>1.8080000000000001</v>
      </c>
      <c r="G6" s="2">
        <v>50.970122547594798</v>
      </c>
      <c r="H6" s="2" t="s">
        <v>18</v>
      </c>
      <c r="J6" s="2">
        <v>4</v>
      </c>
      <c r="K6" s="11">
        <v>0.75</v>
      </c>
      <c r="L6" s="2">
        <v>18.7722893686771</v>
      </c>
      <c r="M6" s="2">
        <v>2.8288887192177001</v>
      </c>
      <c r="N6" s="2">
        <v>44.104166253307099</v>
      </c>
      <c r="O6" s="2" t="s">
        <v>18</v>
      </c>
      <c r="Q6" s="2">
        <v>4</v>
      </c>
      <c r="R6" s="2">
        <v>0.82499999999999996</v>
      </c>
      <c r="S6" s="2">
        <v>-1.08512107889858E-2</v>
      </c>
      <c r="T6" s="2">
        <v>-0.12512888782089299</v>
      </c>
      <c r="U6" s="2">
        <v>0.137603284630643</v>
      </c>
      <c r="V6" s="2">
        <v>-6.8853310181663505E-2</v>
      </c>
    </row>
    <row r="7" spans="1:22" ht="14.25" customHeight="1" x14ac:dyDescent="0.3">
      <c r="B7" s="2">
        <v>5</v>
      </c>
      <c r="C7" s="11">
        <v>0.75</v>
      </c>
      <c r="D7" s="2">
        <v>-1.9546183313639301E-4</v>
      </c>
      <c r="E7" s="2">
        <v>3.5666008971783998</v>
      </c>
      <c r="F7" s="2">
        <v>4.1500000000000004</v>
      </c>
      <c r="G7" s="2">
        <v>87.491054625658904</v>
      </c>
      <c r="H7" s="11" t="s">
        <v>27</v>
      </c>
      <c r="J7" s="2">
        <v>5</v>
      </c>
      <c r="K7" s="5">
        <v>0.77500000000000002</v>
      </c>
      <c r="L7" s="2">
        <v>-6.7316288226622301E-5</v>
      </c>
      <c r="M7" s="15">
        <v>8.3962642627400896</v>
      </c>
      <c r="N7" s="2">
        <v>72.506939086954304</v>
      </c>
      <c r="O7" s="5" t="s">
        <v>6</v>
      </c>
      <c r="Q7" s="2">
        <v>5</v>
      </c>
      <c r="R7" s="2">
        <v>0.85</v>
      </c>
      <c r="S7" s="2">
        <v>-1.08512107889858E-2</v>
      </c>
      <c r="T7" s="2">
        <v>-0.12512888782089299</v>
      </c>
      <c r="U7" s="2">
        <v>0.13760328463062299</v>
      </c>
      <c r="V7" s="2">
        <v>-6.8853310181663505E-2</v>
      </c>
    </row>
    <row r="8" spans="1:22" ht="14.25" customHeight="1" x14ac:dyDescent="0.3">
      <c r="B8" s="2">
        <v>6</v>
      </c>
      <c r="C8" s="5">
        <v>0.77500000000000002</v>
      </c>
      <c r="D8" s="15">
        <v>-6.6141457590309396E-5</v>
      </c>
      <c r="E8" s="2">
        <v>3.2750687495299502</v>
      </c>
      <c r="F8" s="2">
        <v>5.069</v>
      </c>
      <c r="G8" s="2">
        <v>86.653846079766396</v>
      </c>
      <c r="H8" s="5" t="s">
        <v>6</v>
      </c>
      <c r="J8" s="2">
        <v>6</v>
      </c>
      <c r="K8" s="2">
        <v>0.77500000000000002</v>
      </c>
      <c r="L8" s="2">
        <v>37.069096827013603</v>
      </c>
      <c r="M8" s="2">
        <v>4.6939313035341801</v>
      </c>
      <c r="N8" s="2">
        <v>46.940712469705801</v>
      </c>
      <c r="O8" s="2" t="s">
        <v>16</v>
      </c>
      <c r="Q8" s="2">
        <v>6</v>
      </c>
      <c r="R8" s="2">
        <v>0.875</v>
      </c>
      <c r="S8" s="2">
        <v>-1.0851210789000599E-2</v>
      </c>
      <c r="T8" s="2">
        <v>-0.125128887820878</v>
      </c>
      <c r="U8" s="2">
        <v>0.137603284630643</v>
      </c>
      <c r="V8" s="2">
        <v>-6.88533101816802E-2</v>
      </c>
    </row>
    <row r="9" spans="1:22" ht="14.25" customHeight="1" x14ac:dyDescent="0.3">
      <c r="B9" s="2">
        <v>7</v>
      </c>
      <c r="C9" s="2">
        <v>0.77500000000000002</v>
      </c>
      <c r="D9" s="2">
        <v>37.136623276290898</v>
      </c>
      <c r="E9" s="2">
        <v>1.508276435969</v>
      </c>
      <c r="F9" s="2">
        <v>4.5640000000000001</v>
      </c>
      <c r="G9" s="2">
        <v>54.7642328778905</v>
      </c>
      <c r="H9" s="2" t="s">
        <v>16</v>
      </c>
      <c r="J9" s="2">
        <v>7</v>
      </c>
      <c r="K9" s="2">
        <v>0.77500000000000002</v>
      </c>
      <c r="L9" s="2">
        <v>-58.503884097414797</v>
      </c>
      <c r="M9" s="2">
        <v>10.57147356237</v>
      </c>
      <c r="N9" s="2">
        <v>64.055741836926899</v>
      </c>
      <c r="O9" s="2" t="s">
        <v>17</v>
      </c>
      <c r="Q9" s="2">
        <v>7</v>
      </c>
      <c r="R9" s="2">
        <v>0.9</v>
      </c>
      <c r="S9" s="2">
        <v>-1.0851210789000599E-2</v>
      </c>
      <c r="T9" s="2">
        <v>-0.12512888782089299</v>
      </c>
      <c r="U9" s="2">
        <v>0.13760328463062299</v>
      </c>
      <c r="V9" s="2">
        <v>-6.8853310181663505E-2</v>
      </c>
    </row>
    <row r="10" spans="1:22" ht="14.25" customHeight="1" x14ac:dyDescent="0.3">
      <c r="B10" s="2">
        <v>8</v>
      </c>
      <c r="C10" s="2">
        <v>0.77500000000000002</v>
      </c>
      <c r="D10" s="2">
        <v>-56.764337871189603</v>
      </c>
      <c r="E10" s="2">
        <v>2.4829881572300598</v>
      </c>
      <c r="F10" s="2">
        <v>7.4390000000000001</v>
      </c>
      <c r="G10" s="2">
        <v>91.415644950132801</v>
      </c>
      <c r="H10" s="2" t="s">
        <v>17</v>
      </c>
      <c r="J10" s="2">
        <v>8</v>
      </c>
      <c r="K10" s="11">
        <v>0.77500000000000002</v>
      </c>
      <c r="L10" s="2">
        <v>18.757627475274901</v>
      </c>
      <c r="M10" s="2">
        <v>2.91996924763869</v>
      </c>
      <c r="N10" s="2">
        <v>44.258060939350798</v>
      </c>
      <c r="O10" s="2" t="s">
        <v>18</v>
      </c>
      <c r="Q10" s="2">
        <v>8</v>
      </c>
      <c r="R10" s="2">
        <v>0.92500000000000004</v>
      </c>
      <c r="S10" s="2">
        <v>-1.08512107889858E-2</v>
      </c>
      <c r="T10" s="2">
        <v>-0.12512888782089299</v>
      </c>
      <c r="U10" s="2">
        <v>0.137603284630643</v>
      </c>
      <c r="V10" s="2">
        <v>-6.8853310181663505E-2</v>
      </c>
    </row>
    <row r="11" spans="1:22" ht="14.25" customHeight="1" x14ac:dyDescent="0.3">
      <c r="B11" s="2">
        <v>9</v>
      </c>
      <c r="C11" s="2">
        <v>0.77500000000000002</v>
      </c>
      <c r="D11" s="2">
        <v>18.795221395345798</v>
      </c>
      <c r="E11" s="2">
        <v>1.67346707031732</v>
      </c>
      <c r="F11" s="2">
        <v>1.8029999999999999</v>
      </c>
      <c r="G11" s="2">
        <v>50.813386804486903</v>
      </c>
      <c r="H11" s="2" t="s">
        <v>18</v>
      </c>
      <c r="J11" s="2">
        <v>9</v>
      </c>
      <c r="K11" s="5">
        <v>0.8</v>
      </c>
      <c r="L11" s="2">
        <v>-1.9832725367341801E-4</v>
      </c>
      <c r="M11" s="15">
        <v>7.7593131558288899</v>
      </c>
      <c r="N11" s="2">
        <v>74.579132090902803</v>
      </c>
      <c r="O11" s="5" t="s">
        <v>6</v>
      </c>
      <c r="Q11" s="2">
        <v>9</v>
      </c>
      <c r="R11" s="2">
        <v>0.95</v>
      </c>
      <c r="S11" s="2">
        <v>-1.08512107889858E-2</v>
      </c>
      <c r="T11" s="2">
        <v>-0.12512888782089299</v>
      </c>
      <c r="U11" s="2">
        <v>0.137603284630643</v>
      </c>
      <c r="V11" s="2">
        <v>-6.8853310181663505E-2</v>
      </c>
    </row>
    <row r="12" spans="1:22" ht="14.25" customHeight="1" x14ac:dyDescent="0.3">
      <c r="B12" s="2">
        <v>10</v>
      </c>
      <c r="C12" s="11">
        <v>0.77500000000000002</v>
      </c>
      <c r="D12" s="15">
        <v>-6.6141457590309396E-5</v>
      </c>
      <c r="E12" s="2">
        <v>3.2750687495299502</v>
      </c>
      <c r="F12" s="2">
        <v>5.069</v>
      </c>
      <c r="G12" s="2">
        <v>86.653846079766396</v>
      </c>
      <c r="H12" s="11" t="s">
        <v>27</v>
      </c>
      <c r="J12" s="2">
        <v>10</v>
      </c>
      <c r="K12" s="2">
        <v>0.8</v>
      </c>
      <c r="L12" s="2">
        <v>37.0733651521128</v>
      </c>
      <c r="M12" s="2">
        <v>4.58717494434977</v>
      </c>
      <c r="N12" s="2">
        <v>47.159734899122498</v>
      </c>
      <c r="O12" s="2" t="s">
        <v>16</v>
      </c>
      <c r="Q12" s="2">
        <v>10</v>
      </c>
      <c r="R12" s="2">
        <v>0.97499999999999998</v>
      </c>
      <c r="S12" s="2">
        <v>-1.0851210789000599E-2</v>
      </c>
      <c r="T12" s="2">
        <v>-0.125128887820878</v>
      </c>
      <c r="U12" s="2">
        <v>0.137603284630643</v>
      </c>
      <c r="V12" s="2">
        <v>-6.8853310181663505E-2</v>
      </c>
    </row>
    <row r="13" spans="1:22" ht="14.25" customHeight="1" x14ac:dyDescent="0.3">
      <c r="B13" s="2">
        <v>11</v>
      </c>
      <c r="C13" s="5">
        <v>0.8</v>
      </c>
      <c r="D13" s="2">
        <v>-1.95460554960998E-4</v>
      </c>
      <c r="E13" s="2">
        <v>3.5665496583015499</v>
      </c>
      <c r="F13" s="2">
        <v>4.1500000000000004</v>
      </c>
      <c r="G13" s="2">
        <v>87.4911338974442</v>
      </c>
      <c r="H13" s="5" t="s">
        <v>6</v>
      </c>
      <c r="J13" s="2">
        <v>11</v>
      </c>
      <c r="K13" s="2">
        <v>0.8</v>
      </c>
      <c r="L13" s="2">
        <v>-58.489073468381697</v>
      </c>
      <c r="M13" s="2">
        <v>10.3850186389563</v>
      </c>
      <c r="N13" s="2">
        <v>64.372904341550296</v>
      </c>
      <c r="O13" s="2" t="s">
        <v>17</v>
      </c>
      <c r="Q13" s="2">
        <v>11</v>
      </c>
      <c r="R13" s="2">
        <v>1</v>
      </c>
      <c r="S13" s="2">
        <v>-1.0851210789000599E-2</v>
      </c>
      <c r="T13" s="2">
        <v>-0.125128887820878</v>
      </c>
      <c r="U13" s="2">
        <v>0.137603284630643</v>
      </c>
      <c r="V13" s="2">
        <v>-6.8853310181663505E-2</v>
      </c>
    </row>
    <row r="14" spans="1:22" ht="14.25" customHeight="1" x14ac:dyDescent="0.3">
      <c r="B14" s="2">
        <v>12</v>
      </c>
      <c r="C14" s="2">
        <v>0.8</v>
      </c>
      <c r="D14" s="2">
        <v>37.284923705726598</v>
      </c>
      <c r="E14" s="2">
        <v>0.32912237794076499</v>
      </c>
      <c r="F14" s="2">
        <v>6.7629999999999999</v>
      </c>
      <c r="G14" s="2">
        <v>53.313442343371698</v>
      </c>
      <c r="H14" s="2" t="s">
        <v>16</v>
      </c>
      <c r="J14" s="2">
        <v>12</v>
      </c>
      <c r="K14" s="11">
        <v>0.8</v>
      </c>
      <c r="L14" s="2">
        <v>18.772286714781</v>
      </c>
      <c r="M14" s="2">
        <v>2.82887441451162</v>
      </c>
      <c r="N14" s="2">
        <v>44.104173154325402</v>
      </c>
      <c r="O14" s="2" t="s">
        <v>18</v>
      </c>
      <c r="Q14" s="2">
        <v>12</v>
      </c>
      <c r="R14" s="2">
        <v>1.0249999999999999</v>
      </c>
      <c r="S14" s="2">
        <v>-1.08512107889858E-2</v>
      </c>
      <c r="T14" s="2">
        <v>-0.125128887820878</v>
      </c>
      <c r="U14" s="2">
        <v>0.137603284630643</v>
      </c>
      <c r="V14" s="2">
        <v>-6.8853310181663505E-2</v>
      </c>
    </row>
    <row r="15" spans="1:22" ht="14.25" customHeight="1" x14ac:dyDescent="0.3">
      <c r="B15" s="2">
        <v>13</v>
      </c>
      <c r="C15" s="2">
        <v>0.8</v>
      </c>
      <c r="D15" s="2">
        <v>-56.858018998672598</v>
      </c>
      <c r="E15" s="2">
        <v>2.97530057439752</v>
      </c>
      <c r="F15" s="2">
        <v>6.7370000000000001</v>
      </c>
      <c r="G15" s="2">
        <v>91.545301209875902</v>
      </c>
      <c r="H15" s="2" t="s">
        <v>17</v>
      </c>
      <c r="J15" s="2">
        <v>13</v>
      </c>
      <c r="K15" s="5">
        <v>0.82499999999999996</v>
      </c>
      <c r="L15" s="2">
        <v>-1.9832888087298499E-4</v>
      </c>
      <c r="M15" s="15">
        <v>7.75920990021263</v>
      </c>
      <c r="N15" s="2">
        <v>74.579152062261898</v>
      </c>
      <c r="O15" s="5" t="s">
        <v>6</v>
      </c>
      <c r="Q15" s="2">
        <v>13</v>
      </c>
      <c r="R15" s="2">
        <v>1.05</v>
      </c>
      <c r="S15" s="2">
        <v>-1.08512107889858E-2</v>
      </c>
      <c r="T15" s="2">
        <v>-0.12512888782089299</v>
      </c>
      <c r="U15" s="2">
        <v>0.137603284630643</v>
      </c>
      <c r="V15" s="2">
        <v>-6.8853310181663505E-2</v>
      </c>
    </row>
    <row r="16" spans="1:22" ht="14.25" customHeight="1" x14ac:dyDescent="0.3">
      <c r="B16" s="2">
        <v>14</v>
      </c>
      <c r="C16" s="2">
        <v>0.8</v>
      </c>
      <c r="D16" s="2">
        <v>18.812882005179301</v>
      </c>
      <c r="E16" s="2">
        <v>1.5828322476704599</v>
      </c>
      <c r="F16" s="2">
        <v>1.8080000000000001</v>
      </c>
      <c r="G16" s="2">
        <v>50.970199057823102</v>
      </c>
      <c r="H16" s="2" t="s">
        <v>18</v>
      </c>
      <c r="J16" s="2">
        <v>14</v>
      </c>
      <c r="K16" s="2">
        <v>0.82499999999999996</v>
      </c>
      <c r="L16" s="2">
        <v>37.073363841733901</v>
      </c>
      <c r="M16" s="2">
        <v>4.5871143132516004</v>
      </c>
      <c r="N16" s="2">
        <v>47.159768086518199</v>
      </c>
      <c r="O16" s="2" t="s">
        <v>16</v>
      </c>
      <c r="Q16" s="2">
        <v>14</v>
      </c>
      <c r="R16" s="2">
        <v>1.075</v>
      </c>
      <c r="S16" s="2">
        <v>-1.0851210789000599E-2</v>
      </c>
      <c r="T16" s="2">
        <v>-0.125128887820878</v>
      </c>
      <c r="U16" s="2">
        <v>0.137603284630643</v>
      </c>
      <c r="V16" s="2">
        <v>-6.8853310181663505E-2</v>
      </c>
    </row>
    <row r="17" spans="2:27" ht="14.25" customHeight="1" x14ac:dyDescent="0.3">
      <c r="B17" s="2">
        <v>15</v>
      </c>
      <c r="C17" s="11">
        <v>0.8</v>
      </c>
      <c r="D17" s="2">
        <v>-1.95460554960998E-4</v>
      </c>
      <c r="E17" s="2">
        <v>3.5665496583015499</v>
      </c>
      <c r="F17" s="2">
        <v>4.1500000000000004</v>
      </c>
      <c r="G17" s="2">
        <v>87.4911338974442</v>
      </c>
      <c r="H17" s="11" t="s">
        <v>27</v>
      </c>
      <c r="J17" s="2">
        <v>15</v>
      </c>
      <c r="K17" s="2">
        <v>0.82499999999999996</v>
      </c>
      <c r="L17" s="2">
        <v>-58.489028948736603</v>
      </c>
      <c r="M17" s="2">
        <v>10.3848693600583</v>
      </c>
      <c r="N17" s="2">
        <v>64.373006738850904</v>
      </c>
      <c r="O17" s="2" t="s">
        <v>17</v>
      </c>
      <c r="Q17" s="2">
        <v>15</v>
      </c>
      <c r="R17" s="2">
        <v>1.1000000000000001</v>
      </c>
      <c r="S17" s="2">
        <v>-1.08512107889858E-2</v>
      </c>
      <c r="T17" s="2">
        <v>-0.125128887820878</v>
      </c>
      <c r="U17" s="2">
        <v>0.13760328463062299</v>
      </c>
      <c r="V17" s="2">
        <v>-6.8853310181663505E-2</v>
      </c>
    </row>
    <row r="18" spans="2:27" ht="14.25" customHeight="1" x14ac:dyDescent="0.3">
      <c r="B18" s="2">
        <v>16</v>
      </c>
      <c r="C18" s="5">
        <v>0.82499999999999996</v>
      </c>
      <c r="D18" s="2">
        <v>-1.95462190387437E-4</v>
      </c>
      <c r="E18" s="2">
        <v>3.56646933185788</v>
      </c>
      <c r="F18" s="2">
        <v>4.1500000000000004</v>
      </c>
      <c r="G18" s="2">
        <v>87.491077384595997</v>
      </c>
      <c r="H18" s="5" t="s">
        <v>6</v>
      </c>
      <c r="J18" s="2">
        <v>16</v>
      </c>
      <c r="K18" s="11">
        <v>0.82499999999999996</v>
      </c>
      <c r="L18" s="2">
        <v>18.7722798338575</v>
      </c>
      <c r="M18" s="2">
        <v>2.8288444352745499</v>
      </c>
      <c r="N18" s="2">
        <v>44.104347120436103</v>
      </c>
      <c r="O18" s="2" t="s">
        <v>18</v>
      </c>
      <c r="Q18" s="2">
        <v>16</v>
      </c>
      <c r="R18" s="2">
        <v>1.125</v>
      </c>
      <c r="S18" s="2">
        <v>-1.0851210789000599E-2</v>
      </c>
      <c r="T18" s="2">
        <v>-0.125128887820878</v>
      </c>
      <c r="U18" s="2">
        <v>0.137603284630643</v>
      </c>
      <c r="V18" s="2">
        <v>-6.88533101816802E-2</v>
      </c>
    </row>
    <row r="19" spans="2:27" ht="14.25" customHeight="1" x14ac:dyDescent="0.3">
      <c r="B19" s="2">
        <v>17</v>
      </c>
      <c r="C19" s="2">
        <v>0.82499999999999996</v>
      </c>
      <c r="D19" s="2">
        <v>37.284928112797601</v>
      </c>
      <c r="E19" s="2">
        <v>0.329042919073536</v>
      </c>
      <c r="F19" s="2">
        <v>6.7629999999999999</v>
      </c>
      <c r="G19" s="2">
        <v>53.313299285850199</v>
      </c>
      <c r="H19" s="2" t="s">
        <v>16</v>
      </c>
      <c r="J19" s="2">
        <v>17</v>
      </c>
      <c r="K19" s="5">
        <v>0.85</v>
      </c>
      <c r="L19" s="2">
        <v>-6.7293002371887701E-5</v>
      </c>
      <c r="M19" s="15">
        <v>8.2210607362129604</v>
      </c>
      <c r="N19" s="2">
        <v>72.957857307638605</v>
      </c>
      <c r="O19" s="5" t="s">
        <v>6</v>
      </c>
      <c r="Q19" s="2">
        <v>17</v>
      </c>
      <c r="R19" s="2">
        <v>1.1499999999999999</v>
      </c>
      <c r="S19" s="2">
        <v>-1.0851210789000599E-2</v>
      </c>
      <c r="T19" s="2">
        <v>-0.12512888782089299</v>
      </c>
      <c r="U19" s="2">
        <v>0.13760328463062299</v>
      </c>
      <c r="V19" s="2">
        <v>-6.8853310181663505E-2</v>
      </c>
    </row>
    <row r="20" spans="2:27" ht="14.25" customHeight="1" x14ac:dyDescent="0.3">
      <c r="B20" s="2">
        <v>18</v>
      </c>
      <c r="C20" s="2">
        <v>0.82499999999999996</v>
      </c>
      <c r="D20" s="2">
        <v>-56.857997928417603</v>
      </c>
      <c r="E20" s="2">
        <v>2.9752046314555902</v>
      </c>
      <c r="F20" s="2">
        <v>6.7370000000000001</v>
      </c>
      <c r="G20" s="2">
        <v>91.545541355592505</v>
      </c>
      <c r="H20" s="2" t="s">
        <v>17</v>
      </c>
      <c r="J20" s="2">
        <v>18</v>
      </c>
      <c r="K20" s="2">
        <v>0.85</v>
      </c>
      <c r="L20" s="2">
        <v>37.074360704849397</v>
      </c>
      <c r="M20" s="2">
        <v>4.5872492677863201</v>
      </c>
      <c r="N20" s="2">
        <v>47.160604529627598</v>
      </c>
      <c r="O20" s="2" t="s">
        <v>16</v>
      </c>
      <c r="Q20" s="2">
        <v>18</v>
      </c>
      <c r="R20" s="2">
        <v>1.175</v>
      </c>
      <c r="S20" s="2">
        <v>-1.08512107889858E-2</v>
      </c>
      <c r="T20" s="2">
        <v>-0.12512888782089299</v>
      </c>
      <c r="U20" s="2">
        <v>0.137603284630643</v>
      </c>
      <c r="V20" s="2">
        <v>-6.8853310181663505E-2</v>
      </c>
    </row>
    <row r="21" spans="2:27" ht="14.25" customHeight="1" x14ac:dyDescent="0.3">
      <c r="B21" s="2">
        <v>19</v>
      </c>
      <c r="C21" s="2">
        <v>0.82499999999999996</v>
      </c>
      <c r="D21" s="2">
        <v>18.812874858433599</v>
      </c>
      <c r="E21" s="2">
        <v>1.5828052439264499</v>
      </c>
      <c r="F21" s="2">
        <v>1.8069999999999999</v>
      </c>
      <c r="G21" s="2">
        <v>50.970447995927501</v>
      </c>
      <c r="H21" s="2" t="s">
        <v>18</v>
      </c>
      <c r="J21" s="2">
        <v>19</v>
      </c>
      <c r="K21" s="2">
        <v>0.85</v>
      </c>
      <c r="L21" s="2">
        <v>-58.488330448985003</v>
      </c>
      <c r="M21" s="2">
        <v>10.3850519535189</v>
      </c>
      <c r="N21" s="2">
        <v>64.372762437340199</v>
      </c>
      <c r="O21" s="2" t="s">
        <v>17</v>
      </c>
      <c r="Q21" s="2">
        <v>19</v>
      </c>
      <c r="R21" s="2">
        <v>1.2</v>
      </c>
      <c r="S21" s="2">
        <v>-1.08512107889858E-2</v>
      </c>
      <c r="T21" s="2">
        <v>-0.12512888782089299</v>
      </c>
      <c r="U21" s="2">
        <v>0.137603284630643</v>
      </c>
      <c r="V21" s="2">
        <v>-6.8853310181663505E-2</v>
      </c>
    </row>
    <row r="22" spans="2:27" ht="14.25" customHeight="1" x14ac:dyDescent="0.3">
      <c r="B22" s="2">
        <v>20</v>
      </c>
      <c r="C22" s="11">
        <v>0.82499999999999996</v>
      </c>
      <c r="D22" s="2">
        <v>-1.95462194627313E-4</v>
      </c>
      <c r="E22" s="2">
        <v>3.5664692955290298</v>
      </c>
      <c r="F22" s="2">
        <v>4.1500000000000004</v>
      </c>
      <c r="G22" s="2">
        <v>87.491076305968505</v>
      </c>
      <c r="H22" s="11" t="s">
        <v>27</v>
      </c>
      <c r="J22" s="2">
        <v>20</v>
      </c>
      <c r="K22" s="11">
        <v>0.85</v>
      </c>
      <c r="L22" s="2">
        <v>18.772682018953301</v>
      </c>
      <c r="M22" s="2">
        <v>2.8289240748347999</v>
      </c>
      <c r="N22" s="2">
        <v>44.105242311858497</v>
      </c>
      <c r="O22" s="2" t="s">
        <v>18</v>
      </c>
      <c r="Q22" s="2">
        <v>20</v>
      </c>
      <c r="R22" s="2">
        <v>1.2250000000000001</v>
      </c>
      <c r="S22" s="2">
        <v>-1.0851210789000599E-2</v>
      </c>
      <c r="T22" s="2">
        <v>-0.125128887820878</v>
      </c>
      <c r="U22" s="2">
        <v>0.137603284630643</v>
      </c>
      <c r="V22" s="2">
        <v>-6.8853310181663505E-2</v>
      </c>
    </row>
    <row r="23" spans="2:27" ht="14.25" customHeight="1" x14ac:dyDescent="0.3">
      <c r="B23" s="2">
        <v>21</v>
      </c>
      <c r="C23" s="5">
        <v>0.85</v>
      </c>
      <c r="D23" s="15">
        <v>-6.6128125378229704E-5</v>
      </c>
      <c r="E23" s="2">
        <v>3.1722217064468299</v>
      </c>
      <c r="F23" s="2">
        <v>5.0449999999999999</v>
      </c>
      <c r="G23" s="2">
        <v>85.617421040776904</v>
      </c>
      <c r="H23" s="5" t="s">
        <v>6</v>
      </c>
      <c r="J23" s="2">
        <v>21</v>
      </c>
      <c r="K23" s="5">
        <v>0.875</v>
      </c>
      <c r="L23" s="2">
        <v>-6.7294985638529395E-5</v>
      </c>
      <c r="M23" s="2">
        <v>8.2209412354163405</v>
      </c>
      <c r="N23" s="2">
        <v>72.957942310445404</v>
      </c>
      <c r="O23" s="5" t="s">
        <v>6</v>
      </c>
      <c r="Q23" s="2">
        <v>21</v>
      </c>
      <c r="R23" s="2">
        <v>1.25</v>
      </c>
      <c r="S23" s="2">
        <v>-1.0851210789000599E-2</v>
      </c>
      <c r="T23" s="2">
        <v>-0.125128887820878</v>
      </c>
      <c r="U23" s="2">
        <v>0.137603284630643</v>
      </c>
      <c r="V23" s="2">
        <v>-6.8853310181663505E-2</v>
      </c>
    </row>
    <row r="24" spans="2:27" ht="14.25" customHeight="1" x14ac:dyDescent="0.3">
      <c r="B24" s="2">
        <v>22</v>
      </c>
      <c r="C24" s="2">
        <v>0.85</v>
      </c>
      <c r="D24" s="2">
        <v>37.285902055128503</v>
      </c>
      <c r="E24" s="2">
        <v>0.32914670566979598</v>
      </c>
      <c r="F24" s="2">
        <v>6.7629999999999999</v>
      </c>
      <c r="G24" s="2">
        <v>53.314647882239697</v>
      </c>
      <c r="H24" s="2" t="s">
        <v>16</v>
      </c>
      <c r="J24" s="2">
        <v>22</v>
      </c>
      <c r="K24" s="2">
        <v>0.875</v>
      </c>
      <c r="L24" s="2">
        <v>37.074359991008002</v>
      </c>
      <c r="M24" s="2">
        <v>4.5871865918840902</v>
      </c>
      <c r="N24" s="2">
        <v>47.160628103196103</v>
      </c>
      <c r="O24" s="2" t="s">
        <v>16</v>
      </c>
    </row>
    <row r="25" spans="2:27" ht="14.25" customHeight="1" x14ac:dyDescent="0.3">
      <c r="B25" s="2">
        <v>23</v>
      </c>
      <c r="C25" s="2">
        <v>0.85</v>
      </c>
      <c r="D25" s="2">
        <v>-56.857287175700101</v>
      </c>
      <c r="E25" s="2">
        <v>2.9753033563073501</v>
      </c>
      <c r="F25" s="2">
        <v>6.7370000000000001</v>
      </c>
      <c r="G25" s="2">
        <v>91.545362897994394</v>
      </c>
      <c r="H25" s="2" t="s">
        <v>17</v>
      </c>
      <c r="J25" s="2">
        <v>23</v>
      </c>
      <c r="K25" s="2">
        <v>0.875</v>
      </c>
      <c r="L25" s="2">
        <v>-58.488285431530997</v>
      </c>
      <c r="M25" s="2">
        <v>10.384901358185401</v>
      </c>
      <c r="N25" s="2">
        <v>64.3728741549793</v>
      </c>
      <c r="O25" s="2" t="s">
        <v>17</v>
      </c>
    </row>
    <row r="26" spans="2:27" ht="14.25" customHeight="1" x14ac:dyDescent="0.3">
      <c r="B26" s="2">
        <v>24</v>
      </c>
      <c r="C26" s="2">
        <v>0.85</v>
      </c>
      <c r="D26" s="2">
        <v>18.813274932796201</v>
      </c>
      <c r="E26" s="2">
        <v>1.5828646518031699</v>
      </c>
      <c r="F26" s="2">
        <v>1.8080000000000001</v>
      </c>
      <c r="G26" s="2">
        <v>50.971426365450696</v>
      </c>
      <c r="H26" s="2" t="s">
        <v>18</v>
      </c>
      <c r="J26" s="2">
        <v>24</v>
      </c>
      <c r="K26" s="11">
        <v>0.875</v>
      </c>
      <c r="L26" s="2">
        <v>18.772675564960601</v>
      </c>
      <c r="M26" s="2">
        <v>2.8288937022335898</v>
      </c>
      <c r="N26" s="2">
        <v>44.105396086170899</v>
      </c>
      <c r="O26" s="2" t="s">
        <v>18</v>
      </c>
      <c r="Q26" s="52" t="s">
        <v>22</v>
      </c>
      <c r="R26" s="53"/>
      <c r="S26" s="53"/>
      <c r="T26" s="53"/>
      <c r="U26" s="53"/>
      <c r="V26" s="53"/>
    </row>
    <row r="27" spans="2:27" ht="14.25" customHeight="1" x14ac:dyDescent="0.3">
      <c r="B27" s="2">
        <v>25</v>
      </c>
      <c r="C27" s="11">
        <v>0.85</v>
      </c>
      <c r="D27" s="15">
        <v>-6.6128125378229704E-5</v>
      </c>
      <c r="E27" s="2">
        <v>3.1722217064468299</v>
      </c>
      <c r="F27" s="2">
        <v>5.0449999999999999</v>
      </c>
      <c r="G27" s="2">
        <v>85.617421040776904</v>
      </c>
      <c r="H27" s="11" t="s">
        <v>27</v>
      </c>
      <c r="J27" s="2">
        <v>25</v>
      </c>
      <c r="K27" s="5">
        <v>0.9</v>
      </c>
      <c r="L27" s="2">
        <v>-3.9903266898688501E-5</v>
      </c>
      <c r="M27" s="15">
        <v>8.5453136481385208</v>
      </c>
      <c r="N27" s="2">
        <v>73.474196160015694</v>
      </c>
      <c r="O27" s="5" t="s">
        <v>6</v>
      </c>
      <c r="Q27" s="2" t="s">
        <v>23</v>
      </c>
      <c r="R27" s="2" t="s">
        <v>24</v>
      </c>
      <c r="S27" s="2" t="s">
        <v>6</v>
      </c>
      <c r="T27" s="2" t="s">
        <v>16</v>
      </c>
      <c r="U27" s="2" t="s">
        <v>17</v>
      </c>
      <c r="V27" s="2" t="s">
        <v>18</v>
      </c>
    </row>
    <row r="28" spans="2:27" ht="14.25" customHeight="1" x14ac:dyDescent="0.3">
      <c r="B28" s="2">
        <v>26</v>
      </c>
      <c r="C28" s="5">
        <v>0.875</v>
      </c>
      <c r="D28" s="15">
        <v>-6.6130090019667995E-5</v>
      </c>
      <c r="E28" s="2">
        <v>3.1721384218047399</v>
      </c>
      <c r="F28" s="2">
        <v>5.0439999999999996</v>
      </c>
      <c r="G28" s="2">
        <v>85.617214279179194</v>
      </c>
      <c r="H28" s="5" t="s">
        <v>6</v>
      </c>
      <c r="J28" s="2">
        <v>26</v>
      </c>
      <c r="K28" s="2">
        <v>0.9</v>
      </c>
      <c r="L28" s="2">
        <v>37.069277730612399</v>
      </c>
      <c r="M28" s="2">
        <v>4.6939467785269402</v>
      </c>
      <c r="N28" s="2">
        <v>50.220663027385797</v>
      </c>
      <c r="O28" s="2" t="s">
        <v>16</v>
      </c>
      <c r="Q28" s="2">
        <v>1</v>
      </c>
      <c r="R28" s="2">
        <v>0.75</v>
      </c>
      <c r="S28" s="17">
        <v>-1.08512107889858E-2</v>
      </c>
      <c r="T28" s="16">
        <v>-0.12512888782089299</v>
      </c>
      <c r="U28" s="16">
        <v>0.137603284630643</v>
      </c>
      <c r="V28" s="17">
        <v>-6.8853310181663505E-2</v>
      </c>
      <c r="X28" s="2">
        <f t="shared" ref="X28:AA28" si="0">S29-S28</f>
        <v>0</v>
      </c>
      <c r="Y28" s="2">
        <f t="shared" si="0"/>
        <v>1.1852872851960988E-2</v>
      </c>
      <c r="Z28" s="2">
        <f t="shared" si="0"/>
        <v>-1.3257180788437004E-2</v>
      </c>
      <c r="AA28" s="2">
        <f t="shared" si="0"/>
        <v>6.9879922013757062E-3</v>
      </c>
    </row>
    <row r="29" spans="2:27" ht="14.25" customHeight="1" x14ac:dyDescent="0.3">
      <c r="B29" s="2">
        <v>27</v>
      </c>
      <c r="C29" s="2">
        <v>0.875</v>
      </c>
      <c r="D29" s="2">
        <v>37.285907327308102</v>
      </c>
      <c r="E29" s="2">
        <v>0.32906562662462402</v>
      </c>
      <c r="F29" s="2">
        <v>6.7629999999999999</v>
      </c>
      <c r="G29" s="2">
        <v>53.3144903418506</v>
      </c>
      <c r="H29" s="2" t="s">
        <v>16</v>
      </c>
      <c r="J29" s="2">
        <v>27</v>
      </c>
      <c r="K29" s="2">
        <v>0.9</v>
      </c>
      <c r="L29" s="2">
        <v>-58.503693951834698</v>
      </c>
      <c r="M29" s="2">
        <v>10.571480377751399</v>
      </c>
      <c r="N29" s="2">
        <v>65.592190946725907</v>
      </c>
      <c r="O29" s="2" t="s">
        <v>17</v>
      </c>
      <c r="Q29" s="2">
        <v>2</v>
      </c>
      <c r="R29" s="2">
        <v>0.77500000000000002</v>
      </c>
      <c r="S29" s="2">
        <v>-1.08512107889858E-2</v>
      </c>
      <c r="T29" s="2">
        <v>-0.113276014968932</v>
      </c>
      <c r="U29" s="2">
        <v>0.124346103842206</v>
      </c>
      <c r="V29" s="2">
        <v>-6.1865317980287798E-2</v>
      </c>
      <c r="X29" s="2">
        <f t="shared" ref="X29:AA29" si="1">S30-S29</f>
        <v>-1.4798925973558141E-14</v>
      </c>
      <c r="Y29" s="2">
        <f t="shared" si="1"/>
        <v>1.1880597047650002E-2</v>
      </c>
      <c r="Z29" s="2">
        <f t="shared" si="1"/>
        <v>-1.3288189698994993E-2</v>
      </c>
      <c r="AA29" s="2">
        <f t="shared" si="1"/>
        <v>7.0043373073378004E-3</v>
      </c>
    </row>
    <row r="30" spans="2:27" ht="14.25" customHeight="1" x14ac:dyDescent="0.3">
      <c r="B30" s="2">
        <v>28</v>
      </c>
      <c r="C30" s="2">
        <v>0.875</v>
      </c>
      <c r="D30" s="2">
        <v>-56.857266074609001</v>
      </c>
      <c r="E30" s="2">
        <v>2.9752081131158099</v>
      </c>
      <c r="F30" s="2">
        <v>6.7370000000000001</v>
      </c>
      <c r="G30" s="2">
        <v>91.545601370322302</v>
      </c>
      <c r="H30" s="2" t="s">
        <v>17</v>
      </c>
      <c r="J30" s="2">
        <v>28</v>
      </c>
      <c r="K30" s="11">
        <v>0.9</v>
      </c>
      <c r="L30" s="2">
        <v>18.757711526561199</v>
      </c>
      <c r="M30" s="2">
        <v>2.9199800616256302</v>
      </c>
      <c r="N30" s="2">
        <v>48.506465477277303</v>
      </c>
      <c r="O30" s="2" t="s">
        <v>18</v>
      </c>
      <c r="Q30" s="2">
        <v>3</v>
      </c>
      <c r="R30" s="2">
        <v>0.8</v>
      </c>
      <c r="S30" s="2">
        <v>-1.0851210789000599E-2</v>
      </c>
      <c r="T30" s="2">
        <v>-0.101395417921282</v>
      </c>
      <c r="U30" s="2">
        <v>0.11105791414321101</v>
      </c>
      <c r="V30" s="2">
        <v>-5.4860980672949998E-2</v>
      </c>
      <c r="X30" s="2">
        <f t="shared" ref="X30:AA30" si="2">S31-S30</f>
        <v>0</v>
      </c>
      <c r="Y30" s="2">
        <f t="shared" si="2"/>
        <v>1.190823086028589E-2</v>
      </c>
      <c r="Z30" s="2">
        <f t="shared" si="2"/>
        <v>-1.3319097518100703E-2</v>
      </c>
      <c r="AA30" s="2">
        <f t="shared" si="2"/>
        <v>7.020629127075198E-3</v>
      </c>
    </row>
    <row r="31" spans="2:27" ht="14.25" customHeight="1" x14ac:dyDescent="0.3">
      <c r="B31" s="2">
        <v>29</v>
      </c>
      <c r="C31" s="2">
        <v>0.875</v>
      </c>
      <c r="D31" s="2">
        <v>18.813268341418599</v>
      </c>
      <c r="E31" s="2">
        <v>1.5828371863119</v>
      </c>
      <c r="F31" s="2">
        <v>1.8080000000000001</v>
      </c>
      <c r="G31" s="2">
        <v>50.971658627248999</v>
      </c>
      <c r="H31" s="2" t="s">
        <v>18</v>
      </c>
      <c r="J31" s="2">
        <v>29</v>
      </c>
      <c r="K31" s="5">
        <v>0.92500000000000004</v>
      </c>
      <c r="L31" s="2">
        <v>-1.9839270448378799E-4</v>
      </c>
      <c r="M31" s="15">
        <v>7.9317680596032298</v>
      </c>
      <c r="N31" s="2">
        <v>74.107070160919704</v>
      </c>
      <c r="O31" s="5" t="s">
        <v>6</v>
      </c>
      <c r="Q31" s="2">
        <v>4</v>
      </c>
      <c r="R31" s="2">
        <v>0.82499999999999996</v>
      </c>
      <c r="S31" s="2">
        <v>-1.0851210789000599E-2</v>
      </c>
      <c r="T31" s="2">
        <v>-8.9487187060996107E-2</v>
      </c>
      <c r="U31" s="2">
        <v>9.7738816625110303E-2</v>
      </c>
      <c r="V31" s="2">
        <v>-4.78403515458748E-2</v>
      </c>
      <c r="X31" s="2">
        <f t="shared" ref="X31:AA31" si="3">S32-S31</f>
        <v>1.4798925973558141E-14</v>
      </c>
      <c r="Y31" s="2">
        <f t="shared" si="3"/>
        <v>1.1936043532685403E-2</v>
      </c>
      <c r="Z31" s="2">
        <f t="shared" si="3"/>
        <v>-1.3350205387995709E-2</v>
      </c>
      <c r="AA31" s="2">
        <f t="shared" si="3"/>
        <v>7.0370263954673967E-3</v>
      </c>
    </row>
    <row r="32" spans="2:27" ht="14.25" customHeight="1" x14ac:dyDescent="0.3">
      <c r="B32" s="2">
        <v>30</v>
      </c>
      <c r="C32" s="11">
        <v>0.875</v>
      </c>
      <c r="D32" s="15">
        <v>-6.6130090019667995E-5</v>
      </c>
      <c r="E32" s="2">
        <v>3.1721384218047399</v>
      </c>
      <c r="F32" s="2">
        <v>5.0439999999999996</v>
      </c>
      <c r="G32" s="2">
        <v>85.617214279179194</v>
      </c>
      <c r="H32" s="11" t="s">
        <v>27</v>
      </c>
      <c r="J32" s="2">
        <v>30</v>
      </c>
      <c r="K32" s="2">
        <v>0.92500000000000004</v>
      </c>
      <c r="L32" s="2">
        <v>37.068099639917399</v>
      </c>
      <c r="M32" s="2">
        <v>4.6938571375734703</v>
      </c>
      <c r="N32" s="2">
        <v>46.939854010107503</v>
      </c>
      <c r="O32" s="2" t="s">
        <v>16</v>
      </c>
      <c r="Q32" s="2">
        <v>5</v>
      </c>
      <c r="R32" s="2">
        <v>0.85</v>
      </c>
      <c r="S32" s="2">
        <v>-1.08512107889858E-2</v>
      </c>
      <c r="T32" s="2">
        <v>-7.7551143528310704E-2</v>
      </c>
      <c r="U32" s="2">
        <v>8.4388611237114594E-2</v>
      </c>
      <c r="V32" s="2">
        <v>-4.0803325150407403E-2</v>
      </c>
      <c r="X32" s="2">
        <f t="shared" ref="X32:AA32" si="4">S33-S32</f>
        <v>0</v>
      </c>
      <c r="Y32" s="2">
        <f t="shared" si="4"/>
        <v>1.1964036246809001E-2</v>
      </c>
      <c r="Z32" s="2">
        <f t="shared" si="4"/>
        <v>-1.338151463057459E-2</v>
      </c>
      <c r="AA32" s="2">
        <f t="shared" si="4"/>
        <v>7.0535298094984017E-3</v>
      </c>
    </row>
    <row r="33" spans="2:27" ht="14.25" customHeight="1" x14ac:dyDescent="0.3">
      <c r="B33" s="2">
        <v>31</v>
      </c>
      <c r="C33" s="5">
        <v>0.9</v>
      </c>
      <c r="D33" s="15">
        <v>-3.9243596567015897E-5</v>
      </c>
      <c r="E33" s="2">
        <v>3.8051207298082801</v>
      </c>
      <c r="F33" s="2">
        <v>4.5739999999999998</v>
      </c>
      <c r="G33" s="2">
        <v>88.9608561247951</v>
      </c>
      <c r="H33" s="5" t="s">
        <v>6</v>
      </c>
      <c r="J33" s="2">
        <v>31</v>
      </c>
      <c r="K33" s="2">
        <v>0.92500000000000004</v>
      </c>
      <c r="L33" s="2">
        <v>-58.504627819194901</v>
      </c>
      <c r="M33" s="2">
        <v>10.5714408515967</v>
      </c>
      <c r="N33" s="2">
        <v>64.055869597591894</v>
      </c>
      <c r="O33" s="2" t="s">
        <v>17</v>
      </c>
      <c r="Q33" s="2">
        <v>6</v>
      </c>
      <c r="R33" s="2">
        <v>0.875</v>
      </c>
      <c r="S33" s="2">
        <v>-1.08512107889858E-2</v>
      </c>
      <c r="T33" s="2">
        <v>-6.5587107281501703E-2</v>
      </c>
      <c r="U33" s="2">
        <v>7.1007096606540004E-2</v>
      </c>
      <c r="V33" s="2">
        <v>-3.3749795340909002E-2</v>
      </c>
      <c r="X33" s="2">
        <f t="shared" ref="X33:AA33" si="5">S34-S33</f>
        <v>-1.4798925973558141E-14</v>
      </c>
      <c r="Y33" s="2">
        <f t="shared" si="5"/>
        <v>1.1991938345047901E-2</v>
      </c>
      <c r="Z33" s="2">
        <f t="shared" si="5"/>
        <v>-1.3412722521337607E-2</v>
      </c>
      <c r="AA33" s="2">
        <f t="shared" si="5"/>
        <v>7.0699797999275033E-3</v>
      </c>
    </row>
    <row r="34" spans="2:27" ht="14.25" customHeight="1" x14ac:dyDescent="0.3">
      <c r="B34" s="2">
        <v>32</v>
      </c>
      <c r="C34" s="2">
        <v>0.9</v>
      </c>
      <c r="D34" s="2">
        <v>37.136801050043402</v>
      </c>
      <c r="E34" s="2">
        <v>1.50828147438459</v>
      </c>
      <c r="F34" s="2">
        <v>4.5640000000000001</v>
      </c>
      <c r="G34" s="2">
        <v>57.560637204334299</v>
      </c>
      <c r="H34" s="2" t="s">
        <v>16</v>
      </c>
      <c r="J34" s="2">
        <v>32</v>
      </c>
      <c r="K34" s="11">
        <v>0.92500000000000004</v>
      </c>
      <c r="L34" s="2">
        <v>18.7572311659242</v>
      </c>
      <c r="M34" s="2">
        <v>2.91991788353937</v>
      </c>
      <c r="N34" s="2">
        <v>44.257020445856703</v>
      </c>
      <c r="O34" s="2" t="s">
        <v>18</v>
      </c>
      <c r="Q34" s="2">
        <v>7</v>
      </c>
      <c r="R34" s="2">
        <v>0.9</v>
      </c>
      <c r="S34" s="2">
        <v>-1.0851210789000599E-2</v>
      </c>
      <c r="T34" s="2">
        <v>-5.3595168936453802E-2</v>
      </c>
      <c r="U34" s="2">
        <v>5.7594374085202397E-2</v>
      </c>
      <c r="V34" s="2">
        <v>-2.6679815540981498E-2</v>
      </c>
      <c r="X34" s="2">
        <f t="shared" ref="X34:AA34" si="6">S35-S34</f>
        <v>0</v>
      </c>
      <c r="Y34" s="2">
        <f t="shared" si="6"/>
        <v>1.2020020962651805E-2</v>
      </c>
      <c r="Z34" s="2">
        <f t="shared" si="6"/>
        <v>-1.3444132319031195E-2</v>
      </c>
      <c r="AA34" s="2">
        <f t="shared" si="6"/>
        <v>7.0865362175374993E-3</v>
      </c>
    </row>
    <row r="35" spans="2:27" ht="14.25" customHeight="1" x14ac:dyDescent="0.3">
      <c r="B35" s="2">
        <v>33</v>
      </c>
      <c r="C35" s="2">
        <v>0.9</v>
      </c>
      <c r="D35" s="2">
        <v>-56.764151363781899</v>
      </c>
      <c r="E35" s="2">
        <v>2.4829887318875499</v>
      </c>
      <c r="F35" s="2">
        <v>7.4390000000000001</v>
      </c>
      <c r="G35" s="2">
        <v>91.782622777069406</v>
      </c>
      <c r="H35" s="2" t="s">
        <v>17</v>
      </c>
      <c r="J35" s="2">
        <v>33</v>
      </c>
      <c r="K35" s="5">
        <v>0.95</v>
      </c>
      <c r="L35" s="2">
        <v>-1.9832576394175001E-4</v>
      </c>
      <c r="M35" s="15">
        <v>7.7593145604013003</v>
      </c>
      <c r="N35" s="2">
        <v>74.5791284002282</v>
      </c>
      <c r="O35" s="5" t="s">
        <v>6</v>
      </c>
      <c r="Q35" s="2">
        <v>8</v>
      </c>
      <c r="R35" s="2">
        <v>0.92500000000000004</v>
      </c>
      <c r="S35" s="2">
        <v>-1.0851210789000599E-2</v>
      </c>
      <c r="T35" s="2">
        <v>-4.1575147973801997E-2</v>
      </c>
      <c r="U35" s="2">
        <v>4.4150241766171203E-2</v>
      </c>
      <c r="V35" s="2">
        <v>-1.9593279323443999E-2</v>
      </c>
      <c r="X35" s="2">
        <f t="shared" ref="X35:AA35" si="7">S36-S35</f>
        <v>1.4798925973558141E-14</v>
      </c>
      <c r="Y35" s="2">
        <f t="shared" si="7"/>
        <v>1.2048285293644698E-2</v>
      </c>
      <c r="Z35" s="2">
        <f t="shared" si="7"/>
        <v>-1.3475745359211803E-2</v>
      </c>
      <c r="AA35" s="2">
        <f t="shared" si="7"/>
        <v>7.1031997662671983E-3</v>
      </c>
    </row>
    <row r="36" spans="2:27" ht="14.25" customHeight="1" x14ac:dyDescent="0.3">
      <c r="B36" s="2">
        <v>34</v>
      </c>
      <c r="C36" s="2">
        <v>0.9</v>
      </c>
      <c r="D36" s="2">
        <v>18.7953049369106</v>
      </c>
      <c r="E36" s="2">
        <v>1.67347413307814</v>
      </c>
      <c r="F36" s="2">
        <v>1.8029999999999999</v>
      </c>
      <c r="G36" s="2">
        <v>54.562229037430697</v>
      </c>
      <c r="H36" s="2" t="s">
        <v>18</v>
      </c>
      <c r="J36" s="2">
        <v>34</v>
      </c>
      <c r="K36" s="2">
        <v>0.95</v>
      </c>
      <c r="L36" s="2">
        <v>37.073364582837399</v>
      </c>
      <c r="M36" s="2">
        <v>4.5871769876784496</v>
      </c>
      <c r="N36" s="2">
        <v>47.159744499273799</v>
      </c>
      <c r="O36" s="2" t="s">
        <v>16</v>
      </c>
      <c r="Q36" s="2">
        <v>9</v>
      </c>
      <c r="R36" s="2">
        <v>0.95</v>
      </c>
      <c r="S36" s="2">
        <v>-1.08512107889858E-2</v>
      </c>
      <c r="T36" s="2">
        <v>-2.9526862680157299E-2</v>
      </c>
      <c r="U36" s="2">
        <v>3.0674496406959399E-2</v>
      </c>
      <c r="V36" s="2">
        <v>-1.2490079557176801E-2</v>
      </c>
      <c r="X36" s="2">
        <f t="shared" ref="X36:AA36" si="8">S37-S36</f>
        <v>-1.4798925973558141E-14</v>
      </c>
      <c r="Y36" s="2">
        <f t="shared" si="8"/>
        <v>1.2076458775951E-2</v>
      </c>
      <c r="Z36" s="2">
        <f t="shared" si="8"/>
        <v>-1.3507256787132098E-2</v>
      </c>
      <c r="AA36" s="2">
        <f t="shared" si="8"/>
        <v>7.119809754201711E-3</v>
      </c>
    </row>
    <row r="37" spans="2:27" ht="14.25" customHeight="1" x14ac:dyDescent="0.3">
      <c r="B37" s="2">
        <v>35</v>
      </c>
      <c r="C37" s="11">
        <v>0.9</v>
      </c>
      <c r="D37" s="15">
        <v>-3.9241863296439698E-5</v>
      </c>
      <c r="E37" s="2">
        <v>3.8051207441692401</v>
      </c>
      <c r="F37" s="2">
        <v>4.5739999999999998</v>
      </c>
      <c r="G37" s="2">
        <v>88.962485713168803</v>
      </c>
      <c r="H37" s="11" t="s">
        <v>27</v>
      </c>
      <c r="J37" s="2">
        <v>35</v>
      </c>
      <c r="K37" s="2">
        <v>0.95</v>
      </c>
      <c r="L37" s="2">
        <v>-58.489073948535598</v>
      </c>
      <c r="M37" s="2">
        <v>10.3850199554859</v>
      </c>
      <c r="N37" s="2">
        <v>64.372895018416898</v>
      </c>
      <c r="O37" s="2" t="s">
        <v>17</v>
      </c>
      <c r="Q37" s="2">
        <v>10</v>
      </c>
      <c r="R37" s="2">
        <v>0.97499999999999998</v>
      </c>
      <c r="S37" s="2">
        <v>-1.0851210789000599E-2</v>
      </c>
      <c r="T37" s="2">
        <v>-1.74504039042063E-2</v>
      </c>
      <c r="U37" s="2">
        <v>1.7167239619827301E-2</v>
      </c>
      <c r="V37" s="2">
        <v>-5.3702698029750896E-3</v>
      </c>
      <c r="X37" s="2">
        <f t="shared" ref="X37:AA37" si="9">S38-S37</f>
        <v>1.4798925973558141E-14</v>
      </c>
      <c r="Y37" s="2">
        <f t="shared" si="9"/>
        <v>1.210481445542658E-2</v>
      </c>
      <c r="Z37" s="2">
        <f t="shared" si="9"/>
        <v>-1.3538971998607551E-2</v>
      </c>
      <c r="AA37" s="2">
        <f t="shared" si="9"/>
        <v>7.13652715840935E-3</v>
      </c>
    </row>
    <row r="38" spans="2:27" ht="14.25" customHeight="1" x14ac:dyDescent="0.3">
      <c r="B38" s="2">
        <v>36</v>
      </c>
      <c r="C38" s="5">
        <v>0.92500000000000004</v>
      </c>
      <c r="D38" s="2">
        <v>-1.9544778586174299E-4</v>
      </c>
      <c r="E38" s="2">
        <v>3.5688173745246301</v>
      </c>
      <c r="F38" s="2">
        <v>4.3079999999999998</v>
      </c>
      <c r="G38" s="2">
        <v>87.765713547359198</v>
      </c>
      <c r="H38" s="5" t="s">
        <v>6</v>
      </c>
      <c r="J38" s="2">
        <v>36</v>
      </c>
      <c r="K38" s="11">
        <v>0.95</v>
      </c>
      <c r="L38" s="2">
        <v>18.7722862961228</v>
      </c>
      <c r="M38" s="2">
        <v>2.8288748086099198</v>
      </c>
      <c r="N38" s="2">
        <v>44.104193363427399</v>
      </c>
      <c r="O38" s="2" t="s">
        <v>18</v>
      </c>
      <c r="Q38" s="2">
        <v>11</v>
      </c>
      <c r="R38" s="2">
        <v>1</v>
      </c>
      <c r="S38" s="2">
        <v>-1.08512107889858E-2</v>
      </c>
      <c r="T38" s="2">
        <v>-5.3455894487797204E-3</v>
      </c>
      <c r="U38" s="2">
        <v>3.6282676212197498E-3</v>
      </c>
      <c r="V38" s="2">
        <v>1.76625735543426E-3</v>
      </c>
      <c r="X38" s="2">
        <f t="shared" ref="X38:AA38" si="10">S39-S38</f>
        <v>0</v>
      </c>
      <c r="Y38" s="2">
        <f t="shared" si="10"/>
        <v>1.2133353538402499E-2</v>
      </c>
      <c r="Z38" s="2">
        <f t="shared" si="10"/>
        <v>-1.3570892342938481E-2</v>
      </c>
      <c r="AA38" s="2">
        <f t="shared" si="10"/>
        <v>7.1533526902519094E-3</v>
      </c>
    </row>
    <row r="39" spans="2:27" ht="14.25" customHeight="1" x14ac:dyDescent="0.3">
      <c r="B39" s="2">
        <v>37</v>
      </c>
      <c r="C39" s="2">
        <v>0.92500000000000004</v>
      </c>
      <c r="D39" s="2">
        <v>37.135641370066899</v>
      </c>
      <c r="E39" s="2">
        <v>1.50825261658316</v>
      </c>
      <c r="F39" s="2">
        <v>4.5640000000000001</v>
      </c>
      <c r="G39" s="2">
        <v>54.763092186350903</v>
      </c>
      <c r="H39" s="2" t="s">
        <v>16</v>
      </c>
      <c r="J39" s="2">
        <v>37</v>
      </c>
      <c r="K39" s="5">
        <v>0.97499999999999998</v>
      </c>
      <c r="L39" s="2">
        <v>-3.9890442205106401E-5</v>
      </c>
      <c r="M39" s="15">
        <v>8.3688878735650292</v>
      </c>
      <c r="N39" s="2">
        <v>73.921972052758804</v>
      </c>
      <c r="O39" s="5" t="s">
        <v>6</v>
      </c>
      <c r="Q39" s="2">
        <v>12</v>
      </c>
      <c r="R39" s="2">
        <v>1.0249999999999999</v>
      </c>
      <c r="S39" s="2">
        <v>-1.08512107889858E-2</v>
      </c>
      <c r="T39" s="2">
        <v>6.7877640896227796E-3</v>
      </c>
      <c r="U39" s="2">
        <v>-9.9426247217187305E-3</v>
      </c>
      <c r="V39" s="2">
        <v>8.9196100456861698E-3</v>
      </c>
      <c r="X39" s="2">
        <f t="shared" ref="X39:AA39" si="11">S40-S39</f>
        <v>0</v>
      </c>
      <c r="Y39" s="2">
        <f t="shared" si="11"/>
        <v>1.2161801539804222E-2</v>
      </c>
      <c r="Z39" s="2">
        <f t="shared" si="11"/>
        <v>-1.3602710814483669E-2</v>
      </c>
      <c r="AA39" s="2">
        <f t="shared" si="11"/>
        <v>7.1701245239390293E-3</v>
      </c>
    </row>
    <row r="40" spans="2:27" ht="14.25" customHeight="1" x14ac:dyDescent="0.3">
      <c r="B40" s="2">
        <v>38</v>
      </c>
      <c r="C40" s="2">
        <v>0.92500000000000004</v>
      </c>
      <c r="D40" s="2">
        <v>-56.765069316131303</v>
      </c>
      <c r="E40" s="2">
        <v>2.4829851952287298</v>
      </c>
      <c r="F40" s="2">
        <v>7.4390000000000001</v>
      </c>
      <c r="G40" s="2">
        <v>91.415486150348201</v>
      </c>
      <c r="H40" s="2" t="s">
        <v>17</v>
      </c>
      <c r="J40" s="2">
        <v>38</v>
      </c>
      <c r="K40" s="2">
        <v>0.97499999999999998</v>
      </c>
      <c r="L40" s="2">
        <v>37.074541440538603</v>
      </c>
      <c r="M40" s="2">
        <v>4.5872643535368596</v>
      </c>
      <c r="N40" s="2">
        <v>50.470546990378899</v>
      </c>
      <c r="O40" s="2" t="s">
        <v>16</v>
      </c>
      <c r="Q40" s="2">
        <v>13</v>
      </c>
      <c r="R40" s="2">
        <v>1.05</v>
      </c>
      <c r="S40" s="2">
        <v>-1.08512107889858E-2</v>
      </c>
      <c r="T40" s="2">
        <v>1.8949565629427002E-2</v>
      </c>
      <c r="U40" s="2">
        <v>-2.3545335536202399E-2</v>
      </c>
      <c r="V40" s="2">
        <v>1.6089734569625199E-2</v>
      </c>
      <c r="X40" s="2">
        <f t="shared" ref="X40:AA40" si="12">S41-S40</f>
        <v>-1.4798925973558141E-14</v>
      </c>
      <c r="Y40" s="2">
        <f t="shared" si="12"/>
        <v>1.2190433434611198E-2</v>
      </c>
      <c r="Z40" s="2">
        <f t="shared" si="12"/>
        <v>-1.3634734966793901E-2</v>
      </c>
      <c r="AA40" s="2">
        <f t="shared" si="12"/>
        <v>7.1870047739420011E-3</v>
      </c>
    </row>
    <row r="41" spans="2:27" ht="14.25" customHeight="1" x14ac:dyDescent="0.3">
      <c r="B41" s="2">
        <v>39</v>
      </c>
      <c r="C41" s="2">
        <v>0.92500000000000004</v>
      </c>
      <c r="D41" s="2">
        <v>18.7948273323907</v>
      </c>
      <c r="E41" s="2">
        <v>1.6734333599332301</v>
      </c>
      <c r="F41" s="2">
        <v>1.8029999999999999</v>
      </c>
      <c r="G41" s="2">
        <v>50.812193823573502</v>
      </c>
      <c r="H41" s="2" t="s">
        <v>18</v>
      </c>
      <c r="J41" s="2">
        <v>39</v>
      </c>
      <c r="K41" s="2">
        <v>0.97499999999999998</v>
      </c>
      <c r="L41" s="2">
        <v>-58.488140373641301</v>
      </c>
      <c r="M41" s="2">
        <v>10.3850586779695</v>
      </c>
      <c r="N41" s="2">
        <v>65.921690968258105</v>
      </c>
      <c r="O41" s="2" t="s">
        <v>17</v>
      </c>
      <c r="Q41" s="2">
        <v>14</v>
      </c>
      <c r="R41" s="2">
        <v>1.075</v>
      </c>
      <c r="S41" s="2">
        <v>-1.0851210789000599E-2</v>
      </c>
      <c r="T41" s="2">
        <v>3.11399990640382E-2</v>
      </c>
      <c r="U41" s="2">
        <v>-3.71800705029963E-2</v>
      </c>
      <c r="V41" s="2">
        <v>2.32767393435672E-2</v>
      </c>
      <c r="X41" s="2">
        <f t="shared" ref="X41:AA41" si="13">S42-S41</f>
        <v>0</v>
      </c>
      <c r="Y41" s="2">
        <f t="shared" si="13"/>
        <v>1.2219250441646103E-2</v>
      </c>
      <c r="Z41" s="2">
        <f t="shared" si="13"/>
        <v>-1.3666966163157199E-2</v>
      </c>
      <c r="AA41" s="2">
        <f t="shared" si="13"/>
        <v>7.2039941589959015E-3</v>
      </c>
    </row>
    <row r="42" spans="2:27" ht="14.25" customHeight="1" x14ac:dyDescent="0.3">
      <c r="B42" s="2">
        <v>40</v>
      </c>
      <c r="C42" s="11">
        <v>0.92500000000000004</v>
      </c>
      <c r="D42" s="2">
        <v>-1.9544778586174299E-4</v>
      </c>
      <c r="E42" s="2">
        <v>3.5688173745246301</v>
      </c>
      <c r="F42" s="2">
        <v>4.3079999999999998</v>
      </c>
      <c r="G42" s="2">
        <v>87.765713547359198</v>
      </c>
      <c r="H42" s="11" t="s">
        <v>27</v>
      </c>
      <c r="J42" s="2">
        <v>40</v>
      </c>
      <c r="K42" s="11">
        <v>0.97499999999999998</v>
      </c>
      <c r="L42" s="2">
        <v>18.772765958069002</v>
      </c>
      <c r="M42" s="2">
        <v>2.8289344532604801</v>
      </c>
      <c r="N42" s="2">
        <v>48.407405962925303</v>
      </c>
      <c r="O42" s="2" t="s">
        <v>18</v>
      </c>
      <c r="Q42" s="2">
        <v>15</v>
      </c>
      <c r="R42" s="2">
        <v>1.1000000000000001</v>
      </c>
      <c r="S42" s="2">
        <v>-1.0851210789000599E-2</v>
      </c>
      <c r="T42" s="2">
        <v>4.3359249505684302E-2</v>
      </c>
      <c r="U42" s="2">
        <v>-5.0847036666153499E-2</v>
      </c>
      <c r="V42" s="2">
        <v>3.0480733502563102E-2</v>
      </c>
      <c r="X42" s="2">
        <f t="shared" ref="X42:AA42" si="14">S43-S42</f>
        <v>0</v>
      </c>
      <c r="Y42" s="2">
        <f t="shared" si="14"/>
        <v>1.2247976134020094E-2</v>
      </c>
      <c r="Z42" s="2">
        <f t="shared" si="14"/>
        <v>-1.3699095226026504E-2</v>
      </c>
      <c r="AA42" s="2">
        <f t="shared" si="14"/>
        <v>7.2209297084333997E-3</v>
      </c>
    </row>
    <row r="43" spans="2:27" ht="14.25" customHeight="1" x14ac:dyDescent="0.3">
      <c r="B43" s="2">
        <v>41</v>
      </c>
      <c r="C43" s="5">
        <v>0.95</v>
      </c>
      <c r="D43" s="2">
        <v>-1.9545908664764399E-4</v>
      </c>
      <c r="E43" s="2">
        <v>3.5665503314690401</v>
      </c>
      <c r="F43" s="2">
        <v>4.1500000000000004</v>
      </c>
      <c r="G43" s="2">
        <v>87.491117060043095</v>
      </c>
      <c r="H43" s="5" t="s">
        <v>6</v>
      </c>
      <c r="J43" s="2">
        <v>41</v>
      </c>
      <c r="K43" s="5">
        <v>1</v>
      </c>
      <c r="L43" s="2">
        <v>-1.9832576816710499E-4</v>
      </c>
      <c r="M43" s="15">
        <v>7.7593145590418597</v>
      </c>
      <c r="N43" s="2">
        <v>74.579127568386298</v>
      </c>
      <c r="O43" s="5" t="s">
        <v>6</v>
      </c>
      <c r="Q43" s="2">
        <v>16</v>
      </c>
      <c r="R43" s="2">
        <v>1.125</v>
      </c>
      <c r="S43" s="2">
        <v>-1.0851210789000599E-2</v>
      </c>
      <c r="T43" s="2">
        <v>5.5607225639704397E-2</v>
      </c>
      <c r="U43" s="2">
        <v>-6.4546131892180003E-2</v>
      </c>
      <c r="V43" s="2">
        <v>3.7701663210996501E-2</v>
      </c>
      <c r="X43" s="2">
        <f t="shared" ref="X43:AA43" si="15">S44-S43</f>
        <v>0</v>
      </c>
      <c r="Y43" s="2">
        <f t="shared" si="15"/>
        <v>1.2276887434680403E-2</v>
      </c>
      <c r="Z43" s="2">
        <f t="shared" si="15"/>
        <v>-1.3731431887699902E-2</v>
      </c>
      <c r="AA43" s="2">
        <f t="shared" si="15"/>
        <v>7.2379746852808957E-3</v>
      </c>
    </row>
    <row r="44" spans="2:27" ht="14.25" customHeight="1" x14ac:dyDescent="0.3">
      <c r="B44" s="2">
        <v>42</v>
      </c>
      <c r="C44" s="2">
        <v>0.95</v>
      </c>
      <c r="D44" s="2">
        <v>37.284922868826101</v>
      </c>
      <c r="E44" s="2">
        <v>0.32912400475696602</v>
      </c>
      <c r="F44" s="2">
        <v>6.7629999999999999</v>
      </c>
      <c r="G44" s="2">
        <v>53.3134568713146</v>
      </c>
      <c r="H44" s="2" t="s">
        <v>16</v>
      </c>
      <c r="J44" s="2">
        <v>42</v>
      </c>
      <c r="K44" s="2">
        <v>1</v>
      </c>
      <c r="L44" s="2">
        <v>37.073364582850601</v>
      </c>
      <c r="M44" s="2">
        <v>4.5871769877392499</v>
      </c>
      <c r="N44" s="2">
        <v>47.159744501705497</v>
      </c>
      <c r="O44" s="2" t="s">
        <v>16</v>
      </c>
      <c r="Q44" s="2">
        <v>17</v>
      </c>
      <c r="R44" s="2">
        <v>1.1499999999999999</v>
      </c>
      <c r="S44" s="2">
        <v>-1.0851210789000599E-2</v>
      </c>
      <c r="T44" s="2">
        <v>6.78841130743848E-2</v>
      </c>
      <c r="U44" s="2">
        <v>-7.8277563779879905E-2</v>
      </c>
      <c r="V44" s="2">
        <v>4.4939637896277397E-2</v>
      </c>
      <c r="X44" s="2">
        <f t="shared" ref="X44:AA44" si="16">S45-S44</f>
        <v>0</v>
      </c>
      <c r="Y44" s="2">
        <f t="shared" si="16"/>
        <v>1.2305985575053996E-2</v>
      </c>
      <c r="Z44" s="2">
        <f t="shared" si="16"/>
        <v>-1.3763977525615298E-2</v>
      </c>
      <c r="AA44" s="2">
        <f t="shared" si="16"/>
        <v>7.2551298156127014E-3</v>
      </c>
    </row>
    <row r="45" spans="2:27" ht="14.25" customHeight="1" x14ac:dyDescent="0.3">
      <c r="B45" s="2">
        <v>43</v>
      </c>
      <c r="C45" s="2">
        <v>0.95</v>
      </c>
      <c r="D45" s="2">
        <v>-56.858019012184897</v>
      </c>
      <c r="E45" s="2">
        <v>2.9752998748244002</v>
      </c>
      <c r="F45" s="2">
        <v>6.7370000000000001</v>
      </c>
      <c r="G45" s="2">
        <v>91.545302911739498</v>
      </c>
      <c r="H45" s="2" t="s">
        <v>17</v>
      </c>
      <c r="J45" s="2">
        <v>43</v>
      </c>
      <c r="K45" s="2">
        <v>1</v>
      </c>
      <c r="L45" s="2">
        <v>-58.489073948528798</v>
      </c>
      <c r="M45" s="2">
        <v>10.3850199554747</v>
      </c>
      <c r="N45" s="2">
        <v>64.372895018443202</v>
      </c>
      <c r="O45" s="2" t="s">
        <v>17</v>
      </c>
      <c r="Q45" s="2">
        <v>18</v>
      </c>
      <c r="R45" s="2">
        <v>1.175</v>
      </c>
      <c r="S45" s="2">
        <v>-1.0851210789000599E-2</v>
      </c>
      <c r="T45" s="2">
        <v>8.0190098649438796E-2</v>
      </c>
      <c r="U45" s="2">
        <v>-9.2041541305495203E-2</v>
      </c>
      <c r="V45" s="2">
        <v>5.2194767711890099E-2</v>
      </c>
      <c r="X45" s="2">
        <f t="shared" ref="X45:AA45" si="17">S46-S45</f>
        <v>0</v>
      </c>
      <c r="Y45" s="2">
        <f t="shared" si="17"/>
        <v>1.2334992167467404E-2</v>
      </c>
      <c r="Z45" s="2">
        <f t="shared" si="17"/>
        <v>-1.3796420769043791E-2</v>
      </c>
      <c r="AA45" s="2">
        <f t="shared" si="17"/>
        <v>7.2722309727503015E-3</v>
      </c>
    </row>
    <row r="46" spans="2:27" ht="14.25" customHeight="1" x14ac:dyDescent="0.3">
      <c r="B46" s="2">
        <v>44</v>
      </c>
      <c r="C46" s="2">
        <v>0.95</v>
      </c>
      <c r="D46" s="2">
        <v>18.812881458067999</v>
      </c>
      <c r="E46" s="2">
        <v>1.58283270990151</v>
      </c>
      <c r="F46" s="2">
        <v>1.8080000000000001</v>
      </c>
      <c r="G46" s="2">
        <v>50.970215734884697</v>
      </c>
      <c r="H46" s="2" t="s">
        <v>18</v>
      </c>
      <c r="J46" s="2">
        <v>44</v>
      </c>
      <c r="K46" s="11">
        <v>1</v>
      </c>
      <c r="L46" s="2">
        <v>18.772286296143601</v>
      </c>
      <c r="M46" s="2">
        <v>2.82887480849545</v>
      </c>
      <c r="N46" s="2">
        <v>44.104193367363102</v>
      </c>
      <c r="O46" s="2" t="s">
        <v>18</v>
      </c>
      <c r="Q46" s="2">
        <v>19</v>
      </c>
      <c r="R46" s="2">
        <v>1.2</v>
      </c>
      <c r="S46" s="2">
        <v>-1.0851210789000599E-2</v>
      </c>
      <c r="T46" s="2">
        <v>9.25250908169062E-2</v>
      </c>
      <c r="U46" s="2">
        <v>-0.10583796207453899</v>
      </c>
      <c r="V46" s="2">
        <v>5.94669986846404E-2</v>
      </c>
      <c r="X46" s="2">
        <f t="shared" ref="X46:AA46" si="18">S47-S46</f>
        <v>1.4798925973558141E-14</v>
      </c>
      <c r="Y46" s="2">
        <f t="shared" si="18"/>
        <v>1.2364186101777794E-2</v>
      </c>
      <c r="Z46" s="2">
        <f t="shared" si="18"/>
        <v>-1.3829073550390009E-2</v>
      </c>
      <c r="AA46" s="2">
        <f t="shared" si="18"/>
        <v>7.2894425794093956E-3</v>
      </c>
    </row>
    <row r="47" spans="2:27" ht="14.25" customHeight="1" x14ac:dyDescent="0.3">
      <c r="B47" s="2">
        <v>45</v>
      </c>
      <c r="C47" s="11">
        <v>0.95</v>
      </c>
      <c r="D47" s="2">
        <v>-1.9545907804105199E-4</v>
      </c>
      <c r="E47" s="2">
        <v>3.5665503127145701</v>
      </c>
      <c r="F47" s="2">
        <v>4.1500000000000004</v>
      </c>
      <c r="G47" s="2">
        <v>87.491119216987499</v>
      </c>
      <c r="H47" s="11" t="s">
        <v>27</v>
      </c>
      <c r="J47" s="2">
        <v>45</v>
      </c>
      <c r="K47" s="5">
        <v>1.0249999999999999</v>
      </c>
      <c r="L47" s="2">
        <v>-1.98389585690513E-4</v>
      </c>
      <c r="M47" s="15">
        <v>7.9318740532361804</v>
      </c>
      <c r="N47" s="2">
        <v>74.1071196783613</v>
      </c>
      <c r="O47" s="5" t="s">
        <v>6</v>
      </c>
      <c r="Q47" s="2">
        <v>20</v>
      </c>
      <c r="R47" s="2">
        <v>1.2250000000000001</v>
      </c>
      <c r="S47" s="2">
        <v>-1.08512107889858E-2</v>
      </c>
      <c r="T47" s="2">
        <v>0.10488927691868399</v>
      </c>
      <c r="U47" s="2">
        <v>-0.119667035624929</v>
      </c>
      <c r="V47" s="2">
        <v>6.6756441264049796E-2</v>
      </c>
      <c r="X47" s="2">
        <f t="shared" ref="X47:AA47" si="19">S48-S47</f>
        <v>-1.4798925973558141E-14</v>
      </c>
      <c r="Y47" s="2">
        <f t="shared" si="19"/>
        <v>1.2393568622314E-2</v>
      </c>
      <c r="Z47" s="2">
        <f t="shared" si="19"/>
        <v>-1.3861937261217011E-2</v>
      </c>
      <c r="AA47" s="2">
        <f t="shared" si="19"/>
        <v>7.3067653691544082E-3</v>
      </c>
    </row>
    <row r="48" spans="2:27" ht="14.25" customHeight="1" x14ac:dyDescent="0.3">
      <c r="B48" s="2">
        <v>46</v>
      </c>
      <c r="C48" s="5">
        <v>0.97499999999999998</v>
      </c>
      <c r="D48" s="15">
        <v>-3.9244269446470499E-5</v>
      </c>
      <c r="E48" s="2">
        <v>3.7781723845591699</v>
      </c>
      <c r="F48" s="2">
        <v>4.4450000000000003</v>
      </c>
      <c r="G48" s="2">
        <v>88.803682924821501</v>
      </c>
      <c r="H48" s="5" t="s">
        <v>6</v>
      </c>
      <c r="J48" s="2">
        <v>46</v>
      </c>
      <c r="K48" s="2">
        <v>1.0249999999999999</v>
      </c>
      <c r="L48" s="2">
        <v>37.068123351860102</v>
      </c>
      <c r="M48" s="2">
        <v>4.6939059454143504</v>
      </c>
      <c r="N48" s="2">
        <v>46.939653157434201</v>
      </c>
      <c r="O48" s="2" t="s">
        <v>16</v>
      </c>
      <c r="Q48" s="2">
        <v>21</v>
      </c>
      <c r="R48" s="2">
        <v>1.25</v>
      </c>
      <c r="S48" s="17">
        <v>-1.0851210789000599E-2</v>
      </c>
      <c r="T48" s="16">
        <v>0.11728284554099799</v>
      </c>
      <c r="U48" s="16">
        <v>-0.13352897288614601</v>
      </c>
      <c r="V48" s="17">
        <v>7.4063206633204204E-2</v>
      </c>
    </row>
    <row r="49" spans="2:18" ht="14.25" customHeight="1" x14ac:dyDescent="0.3">
      <c r="B49" s="2">
        <v>47</v>
      </c>
      <c r="C49" s="2">
        <v>0.97499999999999998</v>
      </c>
      <c r="D49" s="2">
        <v>37.286079301019498</v>
      </c>
      <c r="E49" s="2">
        <v>0.32915143154221399</v>
      </c>
      <c r="F49" s="2">
        <v>6.7629999999999999</v>
      </c>
      <c r="G49" s="2">
        <v>56.239181562843299</v>
      </c>
      <c r="H49" s="2" t="s">
        <v>16</v>
      </c>
      <c r="J49" s="2">
        <v>47</v>
      </c>
      <c r="K49" s="2">
        <v>1.0249999999999999</v>
      </c>
      <c r="L49" s="2">
        <v>-58.5046719348639</v>
      </c>
      <c r="M49" s="2">
        <v>10.5716050879807</v>
      </c>
      <c r="N49" s="2">
        <v>64.055889624208504</v>
      </c>
      <c r="O49" s="2" t="s">
        <v>17</v>
      </c>
    </row>
    <row r="50" spans="2:18" ht="14.25" customHeight="1" x14ac:dyDescent="0.3">
      <c r="B50" s="2">
        <v>48</v>
      </c>
      <c r="C50" s="2">
        <v>0.97499999999999998</v>
      </c>
      <c r="D50" s="2">
        <v>-56.857100535348103</v>
      </c>
      <c r="E50" s="2">
        <v>2.97530414000301</v>
      </c>
      <c r="F50" s="2">
        <v>6.7370000000000001</v>
      </c>
      <c r="G50" s="2">
        <v>91.912952579131698</v>
      </c>
      <c r="H50" s="2" t="s">
        <v>17</v>
      </c>
      <c r="J50" s="2">
        <v>48</v>
      </c>
      <c r="K50" s="11">
        <v>1.0249999999999999</v>
      </c>
      <c r="L50" s="2">
        <v>18.757247334201601</v>
      </c>
      <c r="M50" s="2">
        <v>2.9199464452409098</v>
      </c>
      <c r="N50" s="2">
        <v>44.256842925021601</v>
      </c>
      <c r="O50" s="2" t="s">
        <v>18</v>
      </c>
      <c r="R50" s="15"/>
    </row>
    <row r="51" spans="2:18" ht="14.25" customHeight="1" x14ac:dyDescent="0.3">
      <c r="B51" s="2">
        <v>49</v>
      </c>
      <c r="C51" s="2">
        <v>0.97499999999999998</v>
      </c>
      <c r="D51" s="2">
        <v>18.813358362236301</v>
      </c>
      <c r="E51" s="2">
        <v>1.5828713422245599</v>
      </c>
      <c r="F51" s="2">
        <v>1.8080000000000001</v>
      </c>
      <c r="G51" s="2">
        <v>54.745165580759299</v>
      </c>
      <c r="H51" s="2" t="s">
        <v>18</v>
      </c>
      <c r="J51" s="2">
        <v>49</v>
      </c>
      <c r="K51" s="5">
        <v>1.05</v>
      </c>
      <c r="L51" s="2">
        <v>-3.9890684142356E-5</v>
      </c>
      <c r="M51" s="15">
        <v>8.3688888911278294</v>
      </c>
      <c r="N51" s="2">
        <v>73.921369914364405</v>
      </c>
      <c r="O51" s="5" t="s">
        <v>6</v>
      </c>
    </row>
    <row r="52" spans="2:18" ht="14.25" customHeight="1" x14ac:dyDescent="0.3">
      <c r="B52" s="2">
        <v>50</v>
      </c>
      <c r="C52" s="11">
        <v>0.97499999999999998</v>
      </c>
      <c r="D52" s="15">
        <v>-3.92417510495262E-5</v>
      </c>
      <c r="E52" s="2">
        <v>3.77817238526699</v>
      </c>
      <c r="F52" s="2">
        <v>4.4450000000000003</v>
      </c>
      <c r="G52" s="2">
        <v>88.806057241365295</v>
      </c>
      <c r="H52" s="11" t="s">
        <v>27</v>
      </c>
      <c r="J52" s="2">
        <v>50</v>
      </c>
      <c r="K52" s="2">
        <v>1.05</v>
      </c>
      <c r="L52" s="2">
        <v>37.074540721785397</v>
      </c>
      <c r="M52" s="2">
        <v>4.5872016795005104</v>
      </c>
      <c r="N52" s="2">
        <v>50.470595774097703</v>
      </c>
      <c r="O52" s="2" t="s">
        <v>16</v>
      </c>
    </row>
    <row r="53" spans="2:18" ht="14.25" customHeight="1" x14ac:dyDescent="0.3">
      <c r="B53" s="2">
        <v>51</v>
      </c>
      <c r="C53" s="5">
        <v>1</v>
      </c>
      <c r="D53" s="2">
        <v>-1.9545909074038199E-4</v>
      </c>
      <c r="E53" s="2">
        <v>3.5665502131671398</v>
      </c>
      <c r="F53" s="2">
        <v>4.1500000000000004</v>
      </c>
      <c r="G53" s="2">
        <v>87.491118669993597</v>
      </c>
      <c r="H53" s="5" t="s">
        <v>6</v>
      </c>
      <c r="J53" s="2">
        <v>51</v>
      </c>
      <c r="K53" s="2">
        <v>1.05</v>
      </c>
      <c r="L53" s="2">
        <v>-58.488095347225702</v>
      </c>
      <c r="M53" s="2">
        <v>10.384908083130901</v>
      </c>
      <c r="N53" s="2">
        <v>65.921816507109895</v>
      </c>
      <c r="O53" s="2" t="s">
        <v>17</v>
      </c>
    </row>
    <row r="54" spans="2:18" ht="14.25" customHeight="1" x14ac:dyDescent="0.3">
      <c r="B54" s="2">
        <v>52</v>
      </c>
      <c r="C54" s="2">
        <v>1</v>
      </c>
      <c r="D54" s="2">
        <v>37.284922868849797</v>
      </c>
      <c r="E54" s="2">
        <v>0.32912400474123499</v>
      </c>
      <c r="F54" s="2">
        <v>6.7629999999999999</v>
      </c>
      <c r="G54" s="2">
        <v>53.313456873311303</v>
      </c>
      <c r="H54" s="2" t="s">
        <v>16</v>
      </c>
      <c r="J54" s="2">
        <v>52</v>
      </c>
      <c r="K54" s="11">
        <v>1.05</v>
      </c>
      <c r="L54" s="2">
        <v>18.772759509309001</v>
      </c>
      <c r="M54" s="2">
        <v>2.8289040804930599</v>
      </c>
      <c r="N54" s="2">
        <v>48.407580242306103</v>
      </c>
      <c r="O54" s="2" t="s">
        <v>18</v>
      </c>
      <c r="R54" s="15"/>
    </row>
    <row r="55" spans="2:18" ht="14.25" customHeight="1" x14ac:dyDescent="0.3">
      <c r="B55" s="2">
        <v>53</v>
      </c>
      <c r="C55" s="2">
        <v>1</v>
      </c>
      <c r="D55" s="2">
        <v>-56.858019012168199</v>
      </c>
      <c r="E55" s="2">
        <v>2.9752998748021802</v>
      </c>
      <c r="F55" s="2">
        <v>6.7370000000000001</v>
      </c>
      <c r="G55" s="2">
        <v>91.545302911816407</v>
      </c>
      <c r="H55" s="2" t="s">
        <v>17</v>
      </c>
      <c r="J55" s="2">
        <v>53</v>
      </c>
      <c r="K55" s="5">
        <v>1.075</v>
      </c>
      <c r="L55" s="2">
        <v>-1.9832576857093501E-4</v>
      </c>
      <c r="M55" s="15">
        <v>7.75931483575462</v>
      </c>
      <c r="N55" s="2">
        <v>74.579126679282794</v>
      </c>
      <c r="O55" s="5" t="s">
        <v>6</v>
      </c>
    </row>
    <row r="56" spans="2:18" ht="14.25" customHeight="1" x14ac:dyDescent="0.3">
      <c r="B56" s="2">
        <v>54</v>
      </c>
      <c r="C56" s="2">
        <v>1</v>
      </c>
      <c r="D56" s="2">
        <v>18.8128814580644</v>
      </c>
      <c r="E56" s="2">
        <v>1.58283270977707</v>
      </c>
      <c r="F56" s="2">
        <v>1.8080000000000001</v>
      </c>
      <c r="G56" s="2">
        <v>50.970215739126203</v>
      </c>
      <c r="H56" s="2" t="s">
        <v>18</v>
      </c>
      <c r="J56" s="2">
        <v>54</v>
      </c>
      <c r="K56" s="2">
        <v>1.075</v>
      </c>
      <c r="L56" s="2">
        <v>37.073364582858403</v>
      </c>
      <c r="M56" s="2">
        <v>4.5871769876916204</v>
      </c>
      <c r="N56" s="2">
        <v>47.159744500138999</v>
      </c>
      <c r="O56" s="2" t="s">
        <v>16</v>
      </c>
    </row>
    <row r="57" spans="2:18" ht="14.25" customHeight="1" x14ac:dyDescent="0.3">
      <c r="B57" s="2">
        <v>55</v>
      </c>
      <c r="C57" s="11">
        <v>1</v>
      </c>
      <c r="D57" s="2">
        <v>-1.9545908642407399E-4</v>
      </c>
      <c r="E57" s="2">
        <v>3.5665501944127</v>
      </c>
      <c r="F57" s="2">
        <v>4.1500000000000004</v>
      </c>
      <c r="G57" s="2">
        <v>87.491119748437598</v>
      </c>
      <c r="H57" s="11" t="s">
        <v>27</v>
      </c>
      <c r="J57" s="2">
        <v>55</v>
      </c>
      <c r="K57" s="2">
        <v>1.075</v>
      </c>
      <c r="L57" s="2">
        <v>-58.489073948547798</v>
      </c>
      <c r="M57" s="2">
        <v>10.3850199555191</v>
      </c>
      <c r="N57" s="2">
        <v>64.372895018481302</v>
      </c>
      <c r="O57" s="2" t="s">
        <v>17</v>
      </c>
    </row>
    <row r="58" spans="2:18" ht="14.25" customHeight="1" x14ac:dyDescent="0.3">
      <c r="B58" s="2">
        <v>56</v>
      </c>
      <c r="C58" s="5">
        <v>1.0249999999999999</v>
      </c>
      <c r="D58" s="2">
        <v>-1.9544467820848099E-4</v>
      </c>
      <c r="E58" s="2">
        <v>3.5689055245910501</v>
      </c>
      <c r="F58" s="2">
        <v>4.3079999999999998</v>
      </c>
      <c r="G58" s="2">
        <v>87.765779711929</v>
      </c>
      <c r="H58" s="5" t="s">
        <v>6</v>
      </c>
      <c r="J58" s="2">
        <v>56</v>
      </c>
      <c r="K58" s="11">
        <v>1.075</v>
      </c>
      <c r="L58" s="2">
        <v>18.772286296135299</v>
      </c>
      <c r="M58" s="2">
        <v>2.8288748084095001</v>
      </c>
      <c r="N58" s="2">
        <v>44.104193366451497</v>
      </c>
      <c r="O58" s="2" t="s">
        <v>18</v>
      </c>
      <c r="R58" s="15"/>
    </row>
    <row r="59" spans="2:18" ht="14.25" customHeight="1" x14ac:dyDescent="0.3">
      <c r="B59" s="2">
        <v>57</v>
      </c>
      <c r="C59" s="2">
        <v>1.0249999999999999</v>
      </c>
      <c r="D59" s="2">
        <v>37.135666694896599</v>
      </c>
      <c r="E59" s="2">
        <v>1.5083013575614499</v>
      </c>
      <c r="F59" s="2">
        <v>4.5640000000000001</v>
      </c>
      <c r="G59" s="2">
        <v>54.7628809386689</v>
      </c>
      <c r="H59" s="2" t="s">
        <v>16</v>
      </c>
      <c r="J59" s="2">
        <v>57</v>
      </c>
      <c r="K59" s="5">
        <v>1.1000000000000001</v>
      </c>
      <c r="L59" s="2">
        <v>-6.7314301032598696E-5</v>
      </c>
      <c r="M59" s="15">
        <v>8.3963874317071205</v>
      </c>
      <c r="N59" s="2">
        <v>72.506941757744698</v>
      </c>
      <c r="O59" s="5" t="s">
        <v>6</v>
      </c>
    </row>
    <row r="60" spans="2:18" ht="14.25" customHeight="1" x14ac:dyDescent="0.3">
      <c r="B60" s="2">
        <v>58</v>
      </c>
      <c r="C60" s="2">
        <v>1.0249999999999999</v>
      </c>
      <c r="D60" s="2">
        <v>-56.765079562309602</v>
      </c>
      <c r="E60" s="2">
        <v>2.48308807799246</v>
      </c>
      <c r="F60" s="2">
        <v>7.4390000000000001</v>
      </c>
      <c r="G60" s="2">
        <v>91.415624845509399</v>
      </c>
      <c r="H60" s="2" t="s">
        <v>17</v>
      </c>
      <c r="J60" s="2">
        <v>58</v>
      </c>
      <c r="K60" s="2">
        <v>1.1000000000000001</v>
      </c>
      <c r="L60" s="2">
        <v>37.0691205123589</v>
      </c>
      <c r="M60" s="2">
        <v>4.6939801101169198</v>
      </c>
      <c r="N60" s="2">
        <v>46.940511593674003</v>
      </c>
      <c r="O60" s="2" t="s">
        <v>16</v>
      </c>
    </row>
    <row r="61" spans="2:18" ht="14.25" customHeight="1" x14ac:dyDescent="0.3">
      <c r="B61" s="2">
        <v>59</v>
      </c>
      <c r="C61" s="2">
        <v>1.0249999999999999</v>
      </c>
      <c r="D61" s="2">
        <v>18.7948440930072</v>
      </c>
      <c r="E61" s="2">
        <v>1.6734598663381299</v>
      </c>
      <c r="F61" s="2">
        <v>1.8029999999999999</v>
      </c>
      <c r="G61" s="2">
        <v>50.811955043640303</v>
      </c>
      <c r="H61" s="2" t="s">
        <v>18</v>
      </c>
      <c r="J61" s="2">
        <v>59</v>
      </c>
      <c r="K61" s="2">
        <v>1.1000000000000001</v>
      </c>
      <c r="L61" s="2">
        <v>-58.503928230769198</v>
      </c>
      <c r="M61" s="2">
        <v>10.571637798545799</v>
      </c>
      <c r="N61" s="2">
        <v>64.055761866715599</v>
      </c>
      <c r="O61" s="2" t="s">
        <v>17</v>
      </c>
    </row>
    <row r="62" spans="2:18" ht="14.25" customHeight="1" x14ac:dyDescent="0.3">
      <c r="B62" s="2">
        <v>60</v>
      </c>
      <c r="C62" s="11">
        <v>1.0249999999999999</v>
      </c>
      <c r="D62" s="2">
        <v>-1.9544467390887301E-4</v>
      </c>
      <c r="E62" s="2">
        <v>3.5689055180607898</v>
      </c>
      <c r="F62" s="2">
        <v>4.3079999999999998</v>
      </c>
      <c r="G62" s="2">
        <v>87.765780797572305</v>
      </c>
      <c r="H62" s="11" t="s">
        <v>27</v>
      </c>
      <c r="J62" s="2">
        <v>60</v>
      </c>
      <c r="K62" s="11">
        <v>1.1000000000000001</v>
      </c>
      <c r="L62" s="2">
        <v>18.757643635112</v>
      </c>
      <c r="M62" s="2">
        <v>2.9199978084195299</v>
      </c>
      <c r="N62" s="2">
        <v>44.257883390050402</v>
      </c>
      <c r="O62" s="2" t="s">
        <v>18</v>
      </c>
    </row>
    <row r="63" spans="2:18" ht="14.25" customHeight="1" x14ac:dyDescent="0.3">
      <c r="B63" s="2">
        <v>61</v>
      </c>
      <c r="C63" s="5">
        <v>1.05</v>
      </c>
      <c r="D63" s="15">
        <v>-3.9244490648458303E-5</v>
      </c>
      <c r="E63" s="2">
        <v>3.7780783404869198</v>
      </c>
      <c r="F63" s="2">
        <v>4.4450000000000003</v>
      </c>
      <c r="G63" s="2">
        <v>88.8044851880355</v>
      </c>
      <c r="H63" s="5" t="s">
        <v>6</v>
      </c>
      <c r="J63" s="2">
        <v>61</v>
      </c>
      <c r="K63" s="5">
        <v>1.125</v>
      </c>
      <c r="L63" s="2">
        <v>-6.7294985638529395E-5</v>
      </c>
      <c r="M63" s="2">
        <v>8.2209412354163405</v>
      </c>
      <c r="N63" s="2">
        <v>72.957942310445404</v>
      </c>
      <c r="O63" s="5" t="s">
        <v>6</v>
      </c>
    </row>
    <row r="64" spans="2:18" ht="14.25" customHeight="1" x14ac:dyDescent="0.3">
      <c r="B64" s="2">
        <v>62</v>
      </c>
      <c r="C64" s="2">
        <v>1.05</v>
      </c>
      <c r="D64" s="2">
        <v>37.286084567494903</v>
      </c>
      <c r="E64" s="2">
        <v>0.32907035381887401</v>
      </c>
      <c r="F64" s="2">
        <v>6.7629999999999999</v>
      </c>
      <c r="G64" s="2">
        <v>56.239057483648402</v>
      </c>
      <c r="H64" s="2" t="s">
        <v>16</v>
      </c>
      <c r="J64" s="2">
        <v>62</v>
      </c>
      <c r="K64" s="2">
        <v>1.125</v>
      </c>
      <c r="L64" s="2">
        <v>37.074359991008002</v>
      </c>
      <c r="M64" s="2">
        <v>4.5871865918840902</v>
      </c>
      <c r="N64" s="2">
        <v>47.160628103196103</v>
      </c>
      <c r="O64" s="2" t="s">
        <v>16</v>
      </c>
    </row>
    <row r="65" spans="2:18" ht="14.25" customHeight="1" x14ac:dyDescent="0.3">
      <c r="B65" s="2">
        <v>63</v>
      </c>
      <c r="C65" s="2">
        <v>1.05</v>
      </c>
      <c r="D65" s="2">
        <v>-56.857079425279899</v>
      </c>
      <c r="E65" s="2">
        <v>2.97520889669202</v>
      </c>
      <c r="F65" s="2">
        <v>6.7370000000000001</v>
      </c>
      <c r="G65" s="2">
        <v>91.913185122809395</v>
      </c>
      <c r="H65" s="2" t="s">
        <v>17</v>
      </c>
      <c r="J65" s="2">
        <v>63</v>
      </c>
      <c r="K65" s="2">
        <v>1.125</v>
      </c>
      <c r="L65" s="2">
        <v>-58.488285431530997</v>
      </c>
      <c r="M65" s="2">
        <v>10.384901358185401</v>
      </c>
      <c r="N65" s="2">
        <v>64.3728741549793</v>
      </c>
      <c r="O65" s="2" t="s">
        <v>17</v>
      </c>
    </row>
    <row r="66" spans="2:18" ht="14.25" customHeight="1" x14ac:dyDescent="0.3">
      <c r="B66" s="2">
        <v>64</v>
      </c>
      <c r="C66" s="2">
        <v>1.05</v>
      </c>
      <c r="D66" s="2">
        <v>18.8133517760674</v>
      </c>
      <c r="E66" s="2">
        <v>1.5828438767098301</v>
      </c>
      <c r="F66" s="2">
        <v>1.8080000000000001</v>
      </c>
      <c r="G66" s="2">
        <v>54.745408334265697</v>
      </c>
      <c r="H66" s="2" t="s">
        <v>18</v>
      </c>
      <c r="J66" s="2">
        <v>64</v>
      </c>
      <c r="K66" s="11">
        <v>1.125</v>
      </c>
      <c r="L66" s="2">
        <v>18.772675564960601</v>
      </c>
      <c r="M66" s="2">
        <v>2.8288937022335898</v>
      </c>
      <c r="N66" s="2">
        <v>44.105396086170899</v>
      </c>
      <c r="O66" s="2" t="s">
        <v>18</v>
      </c>
    </row>
    <row r="67" spans="2:18" ht="14.25" customHeight="1" x14ac:dyDescent="0.3">
      <c r="B67" s="2">
        <v>65</v>
      </c>
      <c r="C67" s="11">
        <v>1.05</v>
      </c>
      <c r="D67" s="15">
        <v>-3.9242761655813697E-5</v>
      </c>
      <c r="E67" s="2">
        <v>3.7780783150849699</v>
      </c>
      <c r="F67" s="2">
        <v>4.4450000000000003</v>
      </c>
      <c r="G67" s="2">
        <v>88.806114776906895</v>
      </c>
      <c r="H67" s="11" t="s">
        <v>27</v>
      </c>
      <c r="J67" s="2">
        <v>65</v>
      </c>
      <c r="K67" s="5">
        <v>1.1499999999999999</v>
      </c>
      <c r="L67" s="2">
        <v>-3.9903266898688501E-5</v>
      </c>
      <c r="M67" s="15">
        <v>8.5453136481385208</v>
      </c>
      <c r="N67" s="2">
        <v>73.474196160015694</v>
      </c>
      <c r="O67" s="5" t="s">
        <v>6</v>
      </c>
    </row>
    <row r="68" spans="2:18" ht="14.25" customHeight="1" x14ac:dyDescent="0.3">
      <c r="B68" s="2">
        <v>66</v>
      </c>
      <c r="C68" s="5">
        <v>1.075</v>
      </c>
      <c r="D68" s="2">
        <v>-1.9545909099038801E-4</v>
      </c>
      <c r="E68" s="2">
        <v>3.56655033492784</v>
      </c>
      <c r="F68" s="2">
        <v>4.1500000000000004</v>
      </c>
      <c r="G68" s="2">
        <v>87.491118984310503</v>
      </c>
      <c r="H68" s="5" t="s">
        <v>6</v>
      </c>
      <c r="J68" s="2">
        <v>66</v>
      </c>
      <c r="K68" s="2">
        <v>1.1499999999999999</v>
      </c>
      <c r="L68" s="2">
        <v>37.069277730612399</v>
      </c>
      <c r="M68" s="2">
        <v>4.6939467785269402</v>
      </c>
      <c r="N68" s="2">
        <v>50.220663027385797</v>
      </c>
      <c r="O68" s="2" t="s">
        <v>16</v>
      </c>
    </row>
    <row r="69" spans="2:18" ht="14.25" customHeight="1" x14ac:dyDescent="0.3">
      <c r="B69" s="2">
        <v>67</v>
      </c>
      <c r="C69" s="2">
        <v>1.075</v>
      </c>
      <c r="D69" s="2">
        <v>37.284922868830201</v>
      </c>
      <c r="E69" s="2">
        <v>0.32912400476221798</v>
      </c>
      <c r="F69" s="2">
        <v>6.7629999999999999</v>
      </c>
      <c r="G69" s="2">
        <v>53.3134568718908</v>
      </c>
      <c r="H69" s="2" t="s">
        <v>16</v>
      </c>
      <c r="J69" s="2">
        <v>67</v>
      </c>
      <c r="K69" s="2">
        <v>1.1499999999999999</v>
      </c>
      <c r="L69" s="2">
        <v>-58.503693951834698</v>
      </c>
      <c r="M69" s="2">
        <v>10.571480377751399</v>
      </c>
      <c r="N69" s="2">
        <v>65.592190946725907</v>
      </c>
      <c r="O69" s="2" t="s">
        <v>17</v>
      </c>
    </row>
    <row r="70" spans="2:18" ht="14.25" customHeight="1" x14ac:dyDescent="0.3">
      <c r="B70" s="2">
        <v>68</v>
      </c>
      <c r="C70" s="2">
        <v>1.075</v>
      </c>
      <c r="D70" s="2">
        <v>-56.858019012187199</v>
      </c>
      <c r="E70" s="2">
        <v>2.9752998748410202</v>
      </c>
      <c r="F70" s="2">
        <v>6.7370000000000001</v>
      </c>
      <c r="G70" s="2">
        <v>91.5453029116576</v>
      </c>
      <c r="H70" s="2" t="s">
        <v>17</v>
      </c>
      <c r="J70" s="2">
        <v>68</v>
      </c>
      <c r="K70" s="11">
        <v>1.1499999999999999</v>
      </c>
      <c r="L70" s="2">
        <v>18.757711526561199</v>
      </c>
      <c r="M70" s="2">
        <v>2.9199800616256302</v>
      </c>
      <c r="N70" s="2">
        <v>48.506465477277303</v>
      </c>
      <c r="O70" s="2" t="s">
        <v>18</v>
      </c>
      <c r="R70" s="15"/>
    </row>
    <row r="71" spans="2:18" ht="14.25" customHeight="1" x14ac:dyDescent="0.3">
      <c r="B71" s="2">
        <v>69</v>
      </c>
      <c r="C71" s="2">
        <v>1.075</v>
      </c>
      <c r="D71" s="2">
        <v>18.812881458062002</v>
      </c>
      <c r="E71" s="2">
        <v>1.582832709699</v>
      </c>
      <c r="F71" s="2">
        <v>1.8080000000000001</v>
      </c>
      <c r="G71" s="2">
        <v>50.9702157386482</v>
      </c>
      <c r="H71" s="2" t="s">
        <v>18</v>
      </c>
      <c r="J71" s="2">
        <v>69</v>
      </c>
      <c r="K71" s="5">
        <v>1.175</v>
      </c>
      <c r="L71" s="2">
        <v>-1.9839270448378799E-4</v>
      </c>
      <c r="M71" s="15">
        <v>7.9317680596032298</v>
      </c>
      <c r="N71" s="2">
        <v>74.107070160919704</v>
      </c>
      <c r="O71" s="5" t="s">
        <v>6</v>
      </c>
    </row>
    <row r="72" spans="2:18" ht="14.25" customHeight="1" x14ac:dyDescent="0.3">
      <c r="B72" s="2">
        <v>70</v>
      </c>
      <c r="C72" s="11">
        <v>1.075</v>
      </c>
      <c r="D72" s="2">
        <v>-1.9545909099038801E-4</v>
      </c>
      <c r="E72" s="2">
        <v>3.56655033492784</v>
      </c>
      <c r="F72" s="2">
        <v>4.1500000000000004</v>
      </c>
      <c r="G72" s="2">
        <v>87.491118984310503</v>
      </c>
      <c r="H72" s="11" t="s">
        <v>27</v>
      </c>
      <c r="J72" s="2">
        <v>70</v>
      </c>
      <c r="K72" s="2">
        <v>1.175</v>
      </c>
      <c r="L72" s="2">
        <v>37.068099639917399</v>
      </c>
      <c r="M72" s="2">
        <v>4.6938571375734703</v>
      </c>
      <c r="N72" s="2">
        <v>46.939854010107503</v>
      </c>
      <c r="O72" s="2" t="s">
        <v>16</v>
      </c>
    </row>
    <row r="73" spans="2:18" ht="14.25" customHeight="1" x14ac:dyDescent="0.3">
      <c r="B73" s="2">
        <v>71</v>
      </c>
      <c r="C73" s="5">
        <v>1.1000000000000001</v>
      </c>
      <c r="D73" s="15">
        <v>-6.6139486831136098E-5</v>
      </c>
      <c r="E73" s="2">
        <v>3.2751571075375998</v>
      </c>
      <c r="F73" s="2">
        <v>5.069</v>
      </c>
      <c r="G73" s="2">
        <v>86.654005165767202</v>
      </c>
      <c r="H73" s="5" t="s">
        <v>6</v>
      </c>
      <c r="J73" s="2">
        <v>71</v>
      </c>
      <c r="K73" s="2">
        <v>1.175</v>
      </c>
      <c r="L73" s="2">
        <v>-58.504627819194901</v>
      </c>
      <c r="M73" s="2">
        <v>10.5714408515967</v>
      </c>
      <c r="N73" s="2">
        <v>64.055869597591894</v>
      </c>
      <c r="O73" s="2" t="s">
        <v>17</v>
      </c>
    </row>
    <row r="74" spans="2:18" ht="14.25" customHeight="1" x14ac:dyDescent="0.3">
      <c r="B74" s="2">
        <v>72</v>
      </c>
      <c r="C74" s="2">
        <v>1.1000000000000001</v>
      </c>
      <c r="D74" s="2">
        <v>37.136648573628797</v>
      </c>
      <c r="E74" s="2">
        <v>1.50832514334396</v>
      </c>
      <c r="F74" s="2">
        <v>4.5640000000000001</v>
      </c>
      <c r="G74" s="2">
        <v>54.764021597033597</v>
      </c>
      <c r="H74" s="2" t="s">
        <v>16</v>
      </c>
      <c r="J74" s="2">
        <v>72</v>
      </c>
      <c r="K74" s="11">
        <v>1.175</v>
      </c>
      <c r="L74" s="2">
        <v>18.7572311659242</v>
      </c>
      <c r="M74" s="2">
        <v>2.91991788353937</v>
      </c>
      <c r="N74" s="2">
        <v>44.257020445856703</v>
      </c>
      <c r="O74" s="2" t="s">
        <v>18</v>
      </c>
    </row>
    <row r="75" spans="2:18" ht="14.25" customHeight="1" x14ac:dyDescent="0.3">
      <c r="B75" s="2">
        <v>73</v>
      </c>
      <c r="C75" s="2">
        <v>1.1000000000000001</v>
      </c>
      <c r="D75" s="2">
        <v>-56.764348134930103</v>
      </c>
      <c r="E75" s="2">
        <v>2.4830910400457902</v>
      </c>
      <c r="F75" s="2">
        <v>7.4390000000000001</v>
      </c>
      <c r="G75" s="2">
        <v>91.415783623869302</v>
      </c>
      <c r="H75" s="2" t="s">
        <v>17</v>
      </c>
      <c r="J75" s="2">
        <v>73</v>
      </c>
      <c r="K75" s="5">
        <v>1.2</v>
      </c>
      <c r="L75" s="2">
        <v>-1.9832576394175001E-4</v>
      </c>
      <c r="M75" s="15">
        <v>7.7593145604013003</v>
      </c>
      <c r="N75" s="2">
        <v>74.5791284002282</v>
      </c>
      <c r="O75" s="5" t="s">
        <v>6</v>
      </c>
    </row>
    <row r="76" spans="2:18" ht="14.25" customHeight="1" x14ac:dyDescent="0.3">
      <c r="B76" s="2">
        <v>74</v>
      </c>
      <c r="C76" s="2">
        <v>1.1000000000000001</v>
      </c>
      <c r="D76" s="2">
        <v>18.795238147603001</v>
      </c>
      <c r="E76" s="2">
        <v>1.6734935761915899</v>
      </c>
      <c r="F76" s="2">
        <v>1.8029999999999999</v>
      </c>
      <c r="G76" s="2">
        <v>50.813147991041802</v>
      </c>
      <c r="H76" s="2" t="s">
        <v>18</v>
      </c>
      <c r="J76" s="2">
        <v>74</v>
      </c>
      <c r="K76" s="2">
        <v>1.2</v>
      </c>
      <c r="L76" s="2">
        <v>37.073364582837399</v>
      </c>
      <c r="M76" s="2">
        <v>4.5871769876784496</v>
      </c>
      <c r="N76" s="2">
        <v>47.159744499273799</v>
      </c>
      <c r="O76" s="2" t="s">
        <v>16</v>
      </c>
    </row>
    <row r="77" spans="2:18" ht="14.25" customHeight="1" x14ac:dyDescent="0.3">
      <c r="B77" s="2">
        <v>75</v>
      </c>
      <c r="C77" s="11">
        <v>1.1000000000000001</v>
      </c>
      <c r="D77" s="15">
        <v>-6.6139486831136098E-5</v>
      </c>
      <c r="E77" s="2">
        <v>3.2751571075375998</v>
      </c>
      <c r="F77" s="2">
        <v>5.069</v>
      </c>
      <c r="G77" s="2">
        <v>86.654005165767202</v>
      </c>
      <c r="H77" s="11" t="s">
        <v>27</v>
      </c>
      <c r="J77" s="2">
        <v>75</v>
      </c>
      <c r="K77" s="2">
        <v>1.2</v>
      </c>
      <c r="L77" s="2">
        <v>-58.489073948535598</v>
      </c>
      <c r="M77" s="2">
        <v>10.3850199554859</v>
      </c>
      <c r="N77" s="2">
        <v>64.372895018416898</v>
      </c>
      <c r="O77" s="2" t="s">
        <v>17</v>
      </c>
    </row>
    <row r="78" spans="2:18" ht="14.25" customHeight="1" x14ac:dyDescent="0.3">
      <c r="B78" s="2">
        <v>76</v>
      </c>
      <c r="C78" s="5">
        <v>1.125</v>
      </c>
      <c r="D78" s="15">
        <v>-6.6130090019667995E-5</v>
      </c>
      <c r="E78" s="2">
        <v>3.1721384218047399</v>
      </c>
      <c r="F78" s="2">
        <v>5.0439999999999996</v>
      </c>
      <c r="G78" s="2">
        <v>85.617214279179194</v>
      </c>
      <c r="H78" s="5" t="s">
        <v>6</v>
      </c>
      <c r="J78" s="2">
        <v>76</v>
      </c>
      <c r="K78" s="11">
        <v>1.2</v>
      </c>
      <c r="L78" s="2">
        <v>18.7722862961228</v>
      </c>
      <c r="M78" s="2">
        <v>2.8288748086099198</v>
      </c>
      <c r="N78" s="2">
        <v>44.104193363427399</v>
      </c>
      <c r="O78" s="2" t="s">
        <v>18</v>
      </c>
    </row>
    <row r="79" spans="2:18" ht="14.25" customHeight="1" x14ac:dyDescent="0.3">
      <c r="B79" s="2">
        <v>77</v>
      </c>
      <c r="C79" s="2">
        <v>1.125</v>
      </c>
      <c r="D79" s="2">
        <v>37.285907327308102</v>
      </c>
      <c r="E79" s="2">
        <v>0.32906562662462402</v>
      </c>
      <c r="F79" s="2">
        <v>6.7629999999999999</v>
      </c>
      <c r="G79" s="2">
        <v>53.3144903418506</v>
      </c>
      <c r="H79" s="2" t="s">
        <v>16</v>
      </c>
      <c r="J79" s="2">
        <v>77</v>
      </c>
      <c r="K79" s="5">
        <v>1.2250000000000001</v>
      </c>
      <c r="L79" s="2">
        <v>-3.9890442205106401E-5</v>
      </c>
      <c r="M79" s="15">
        <v>8.3688878735650292</v>
      </c>
      <c r="N79" s="2">
        <v>73.921972052758804</v>
      </c>
      <c r="O79" s="5" t="s">
        <v>6</v>
      </c>
    </row>
    <row r="80" spans="2:18" ht="14.25" customHeight="1" x14ac:dyDescent="0.3">
      <c r="B80" s="2">
        <v>78</v>
      </c>
      <c r="C80" s="2">
        <v>1.125</v>
      </c>
      <c r="D80" s="2">
        <v>-56.857266074609001</v>
      </c>
      <c r="E80" s="2">
        <v>2.9752081131158099</v>
      </c>
      <c r="F80" s="2">
        <v>6.7370000000000001</v>
      </c>
      <c r="G80" s="2">
        <v>91.545601370322302</v>
      </c>
      <c r="H80" s="2" t="s">
        <v>17</v>
      </c>
      <c r="J80" s="2">
        <v>78</v>
      </c>
      <c r="K80" s="2">
        <v>1.2250000000000001</v>
      </c>
      <c r="L80" s="2">
        <v>37.074541440538603</v>
      </c>
      <c r="M80" s="2">
        <v>4.5872643535368596</v>
      </c>
      <c r="N80" s="2">
        <v>50.470546990378899</v>
      </c>
      <c r="O80" s="2" t="s">
        <v>16</v>
      </c>
    </row>
    <row r="81" spans="2:18" ht="14.25" customHeight="1" x14ac:dyDescent="0.3">
      <c r="B81" s="2">
        <v>79</v>
      </c>
      <c r="C81" s="2">
        <v>1.125</v>
      </c>
      <c r="D81" s="2">
        <v>18.813268341418599</v>
      </c>
      <c r="E81" s="2">
        <v>1.5828371863119</v>
      </c>
      <c r="F81" s="2">
        <v>1.8080000000000001</v>
      </c>
      <c r="G81" s="2">
        <v>50.971658627248999</v>
      </c>
      <c r="H81" s="2" t="s">
        <v>18</v>
      </c>
      <c r="J81" s="2">
        <v>79</v>
      </c>
      <c r="K81" s="2">
        <v>1.2250000000000001</v>
      </c>
      <c r="L81" s="2">
        <v>-58.488140373641301</v>
      </c>
      <c r="M81" s="2">
        <v>10.3850586779695</v>
      </c>
      <c r="N81" s="2">
        <v>65.921690968258105</v>
      </c>
      <c r="O81" s="2" t="s">
        <v>17</v>
      </c>
    </row>
    <row r="82" spans="2:18" ht="14.25" customHeight="1" x14ac:dyDescent="0.3">
      <c r="B82" s="2">
        <v>80</v>
      </c>
      <c r="C82" s="11">
        <v>1.125</v>
      </c>
      <c r="D82" s="15">
        <v>-6.6130090019667995E-5</v>
      </c>
      <c r="E82" s="2">
        <v>3.1721384218047399</v>
      </c>
      <c r="F82" s="2">
        <v>5.0439999999999996</v>
      </c>
      <c r="G82" s="2">
        <v>85.617214279179194</v>
      </c>
      <c r="H82" s="11" t="s">
        <v>27</v>
      </c>
      <c r="J82" s="2">
        <v>80</v>
      </c>
      <c r="K82" s="11">
        <v>1.2250000000000001</v>
      </c>
      <c r="L82" s="2">
        <v>18.772765958069002</v>
      </c>
      <c r="M82" s="2">
        <v>2.8289344532604801</v>
      </c>
      <c r="N82" s="2">
        <v>48.407405962925303</v>
      </c>
      <c r="O82" s="2" t="s">
        <v>18</v>
      </c>
      <c r="R82" s="15"/>
    </row>
    <row r="83" spans="2:18" ht="14.25" customHeight="1" x14ac:dyDescent="0.3">
      <c r="B83" s="2">
        <v>81</v>
      </c>
      <c r="C83" s="5">
        <v>1.1499999999999999</v>
      </c>
      <c r="D83" s="15">
        <v>-3.9243596567015897E-5</v>
      </c>
      <c r="E83" s="2">
        <v>3.8051207298082801</v>
      </c>
      <c r="F83" s="2">
        <v>4.5739999999999998</v>
      </c>
      <c r="G83" s="2">
        <v>88.9608561247951</v>
      </c>
      <c r="H83" s="5" t="s">
        <v>6</v>
      </c>
      <c r="J83" s="2">
        <v>81</v>
      </c>
      <c r="K83" s="5">
        <v>1.25</v>
      </c>
      <c r="L83" s="2">
        <v>-1.9832576816710499E-4</v>
      </c>
      <c r="M83" s="15">
        <v>7.7593145590418597</v>
      </c>
      <c r="N83" s="2">
        <v>74.579127568386298</v>
      </c>
      <c r="O83" s="5" t="s">
        <v>6</v>
      </c>
    </row>
    <row r="84" spans="2:18" ht="14.25" customHeight="1" x14ac:dyDescent="0.3">
      <c r="B84" s="2">
        <v>82</v>
      </c>
      <c r="C84" s="2">
        <v>1.1499999999999999</v>
      </c>
      <c r="D84" s="2">
        <v>37.136801050043402</v>
      </c>
      <c r="E84" s="2">
        <v>1.50828147438459</v>
      </c>
      <c r="F84" s="2">
        <v>4.5640000000000001</v>
      </c>
      <c r="G84" s="2">
        <v>57.560637204334299</v>
      </c>
      <c r="H84" s="2" t="s">
        <v>16</v>
      </c>
      <c r="J84" s="2">
        <v>82</v>
      </c>
      <c r="K84" s="2">
        <v>1.25</v>
      </c>
      <c r="L84" s="2">
        <v>37.073364582850601</v>
      </c>
      <c r="M84" s="2">
        <v>4.5871769877392499</v>
      </c>
      <c r="N84" s="2">
        <v>47.159744501705497</v>
      </c>
      <c r="O84" s="2" t="s">
        <v>16</v>
      </c>
    </row>
    <row r="85" spans="2:18" ht="14.25" customHeight="1" x14ac:dyDescent="0.3">
      <c r="B85" s="2">
        <v>83</v>
      </c>
      <c r="C85" s="2">
        <v>1.1499999999999999</v>
      </c>
      <c r="D85" s="2">
        <v>-56.764151363781899</v>
      </c>
      <c r="E85" s="2">
        <v>2.4829887318875499</v>
      </c>
      <c r="F85" s="2">
        <v>7.4390000000000001</v>
      </c>
      <c r="G85" s="2">
        <v>91.782622777069406</v>
      </c>
      <c r="H85" s="2" t="s">
        <v>17</v>
      </c>
      <c r="J85" s="2">
        <v>83</v>
      </c>
      <c r="K85" s="2">
        <v>1.25</v>
      </c>
      <c r="L85" s="2">
        <v>-58.489073948528798</v>
      </c>
      <c r="M85" s="2">
        <v>10.3850199554747</v>
      </c>
      <c r="N85" s="2">
        <v>64.372895018443202</v>
      </c>
      <c r="O85" s="2" t="s">
        <v>17</v>
      </c>
    </row>
    <row r="86" spans="2:18" ht="14.25" customHeight="1" x14ac:dyDescent="0.3">
      <c r="B86" s="2">
        <v>84</v>
      </c>
      <c r="C86" s="2">
        <v>1.1499999999999999</v>
      </c>
      <c r="D86" s="2">
        <v>18.7953049369106</v>
      </c>
      <c r="E86" s="2">
        <v>1.67347413307814</v>
      </c>
      <c r="F86" s="2">
        <v>1.8029999999999999</v>
      </c>
      <c r="G86" s="2">
        <v>54.562229037430697</v>
      </c>
      <c r="H86" s="2" t="s">
        <v>18</v>
      </c>
      <c r="J86" s="2">
        <v>84</v>
      </c>
      <c r="K86" s="2">
        <v>1.25</v>
      </c>
      <c r="L86" s="2">
        <v>18.772286296143601</v>
      </c>
      <c r="M86" s="2">
        <v>2.82887480849545</v>
      </c>
      <c r="N86" s="2">
        <v>44.104193367363102</v>
      </c>
      <c r="O86" s="2" t="s">
        <v>18</v>
      </c>
    </row>
    <row r="87" spans="2:18" ht="14.25" customHeight="1" x14ac:dyDescent="0.3">
      <c r="B87" s="2">
        <v>85</v>
      </c>
      <c r="C87" s="11">
        <v>1.1499999999999999</v>
      </c>
      <c r="D87" s="15">
        <v>-3.9241863296439698E-5</v>
      </c>
      <c r="E87" s="2">
        <v>3.8051207441692401</v>
      </c>
      <c r="F87" s="2">
        <v>4.5739999999999998</v>
      </c>
      <c r="G87" s="2">
        <v>88.962485713168803</v>
      </c>
      <c r="H87" s="11" t="s">
        <v>27</v>
      </c>
    </row>
    <row r="88" spans="2:18" ht="14.25" customHeight="1" x14ac:dyDescent="0.3">
      <c r="B88" s="2">
        <v>86</v>
      </c>
      <c r="C88" s="5">
        <v>1.175</v>
      </c>
      <c r="D88" s="2">
        <v>-1.9544778586174299E-4</v>
      </c>
      <c r="E88" s="2">
        <v>3.5688173745246301</v>
      </c>
      <c r="F88" s="2">
        <v>4.3079999999999998</v>
      </c>
      <c r="G88" s="2">
        <v>87.765713547359198</v>
      </c>
      <c r="H88" s="5" t="s">
        <v>6</v>
      </c>
    </row>
    <row r="89" spans="2:18" ht="14.25" customHeight="1" x14ac:dyDescent="0.3">
      <c r="B89" s="2">
        <v>87</v>
      </c>
      <c r="C89" s="2">
        <v>1.175</v>
      </c>
      <c r="D89" s="2">
        <v>37.135641370066899</v>
      </c>
      <c r="E89" s="2">
        <v>1.50825261658316</v>
      </c>
      <c r="F89" s="2">
        <v>4.5640000000000001</v>
      </c>
      <c r="G89" s="2">
        <v>54.763092186350903</v>
      </c>
      <c r="H89" s="2" t="s">
        <v>16</v>
      </c>
    </row>
    <row r="90" spans="2:18" ht="14.25" customHeight="1" x14ac:dyDescent="0.3">
      <c r="B90" s="2">
        <v>88</v>
      </c>
      <c r="C90" s="2">
        <v>1.175</v>
      </c>
      <c r="D90" s="2">
        <v>-56.765069316131303</v>
      </c>
      <c r="E90" s="2">
        <v>2.4829851952287298</v>
      </c>
      <c r="F90" s="2">
        <v>7.4390000000000001</v>
      </c>
      <c r="G90" s="2">
        <v>91.415486150348201</v>
      </c>
      <c r="H90" s="2" t="s">
        <v>17</v>
      </c>
      <c r="R90" s="15"/>
    </row>
    <row r="91" spans="2:18" ht="14.25" customHeight="1" x14ac:dyDescent="0.3">
      <c r="B91" s="2">
        <v>89</v>
      </c>
      <c r="C91" s="2">
        <v>1.175</v>
      </c>
      <c r="D91" s="2">
        <v>18.7948273323907</v>
      </c>
      <c r="E91" s="2">
        <v>1.6734333599332301</v>
      </c>
      <c r="F91" s="2">
        <v>1.8029999999999999</v>
      </c>
      <c r="G91" s="2">
        <v>50.812193823573502</v>
      </c>
      <c r="H91" s="2" t="s">
        <v>18</v>
      </c>
    </row>
    <row r="92" spans="2:18" ht="14.25" customHeight="1" x14ac:dyDescent="0.3">
      <c r="B92" s="2">
        <v>90</v>
      </c>
      <c r="C92" s="11">
        <v>1.175</v>
      </c>
      <c r="D92" s="2">
        <v>-1.9544778586174299E-4</v>
      </c>
      <c r="E92" s="2">
        <v>3.5688173745246301</v>
      </c>
      <c r="F92" s="2">
        <v>4.3079999999999998</v>
      </c>
      <c r="G92" s="2">
        <v>87.765713547359198</v>
      </c>
      <c r="H92" s="11" t="s">
        <v>27</v>
      </c>
    </row>
    <row r="93" spans="2:18" ht="14.25" customHeight="1" x14ac:dyDescent="0.3">
      <c r="B93" s="2">
        <v>91</v>
      </c>
      <c r="C93" s="5">
        <v>1.2</v>
      </c>
      <c r="D93" s="2">
        <v>-1.9545908664764399E-4</v>
      </c>
      <c r="E93" s="2">
        <v>3.5665503314690401</v>
      </c>
      <c r="F93" s="2">
        <v>4.1500000000000004</v>
      </c>
      <c r="G93" s="2">
        <v>87.491117060043095</v>
      </c>
      <c r="H93" s="5" t="s">
        <v>6</v>
      </c>
    </row>
    <row r="94" spans="2:18" ht="14.25" customHeight="1" x14ac:dyDescent="0.3">
      <c r="B94" s="2">
        <v>92</v>
      </c>
      <c r="C94" s="2">
        <v>1.2</v>
      </c>
      <c r="D94" s="2">
        <v>37.284922868826101</v>
      </c>
      <c r="E94" s="2">
        <v>0.32912400475696602</v>
      </c>
      <c r="F94" s="2">
        <v>6.7629999999999999</v>
      </c>
      <c r="G94" s="2">
        <v>53.3134568713146</v>
      </c>
      <c r="H94" s="2" t="s">
        <v>16</v>
      </c>
      <c r="R94" s="15"/>
    </row>
    <row r="95" spans="2:18" ht="14.25" customHeight="1" x14ac:dyDescent="0.3">
      <c r="B95" s="2">
        <v>93</v>
      </c>
      <c r="C95" s="2">
        <v>1.2</v>
      </c>
      <c r="D95" s="2">
        <v>-56.858019012184897</v>
      </c>
      <c r="E95" s="2">
        <v>2.9752998748244002</v>
      </c>
      <c r="F95" s="2">
        <v>6.7370000000000001</v>
      </c>
      <c r="G95" s="2">
        <v>91.545302911739498</v>
      </c>
      <c r="H95" s="2" t="s">
        <v>17</v>
      </c>
    </row>
    <row r="96" spans="2:18" ht="14.25" customHeight="1" x14ac:dyDescent="0.3">
      <c r="B96" s="2">
        <v>94</v>
      </c>
      <c r="C96" s="2">
        <v>1.2</v>
      </c>
      <c r="D96" s="2">
        <v>18.812881458067999</v>
      </c>
      <c r="E96" s="2">
        <v>1.58283270990151</v>
      </c>
      <c r="F96" s="2">
        <v>1.8080000000000001</v>
      </c>
      <c r="G96" s="2">
        <v>50.970215734884697</v>
      </c>
      <c r="H96" s="2" t="s">
        <v>18</v>
      </c>
    </row>
    <row r="97" spans="2:18" ht="14.25" customHeight="1" x14ac:dyDescent="0.3">
      <c r="B97" s="2">
        <v>95</v>
      </c>
      <c r="C97" s="11">
        <v>1.2</v>
      </c>
      <c r="D97" s="2">
        <v>-1.9545907804105199E-4</v>
      </c>
      <c r="E97" s="2">
        <v>3.5665503127145701</v>
      </c>
      <c r="F97" s="2">
        <v>4.1500000000000004</v>
      </c>
      <c r="G97" s="2">
        <v>87.491119216987499</v>
      </c>
      <c r="H97" s="11" t="s">
        <v>27</v>
      </c>
    </row>
    <row r="98" spans="2:18" ht="14.25" customHeight="1" x14ac:dyDescent="0.3">
      <c r="B98" s="2">
        <v>96</v>
      </c>
      <c r="C98" s="5">
        <v>1.2250000000000001</v>
      </c>
      <c r="D98" s="15">
        <v>-3.9244269446470499E-5</v>
      </c>
      <c r="E98" s="2">
        <v>3.7781723845591699</v>
      </c>
      <c r="F98" s="2">
        <v>4.4450000000000003</v>
      </c>
      <c r="G98" s="2">
        <v>88.803682924821501</v>
      </c>
      <c r="H98" s="5" t="s">
        <v>6</v>
      </c>
      <c r="R98" s="15"/>
    </row>
    <row r="99" spans="2:18" ht="14.25" customHeight="1" x14ac:dyDescent="0.3">
      <c r="B99" s="2">
        <v>97</v>
      </c>
      <c r="C99" s="2">
        <v>1.2250000000000001</v>
      </c>
      <c r="D99" s="2">
        <v>37.286079301019498</v>
      </c>
      <c r="E99" s="2">
        <v>0.32915143154221399</v>
      </c>
      <c r="F99" s="2">
        <v>6.7629999999999999</v>
      </c>
      <c r="G99" s="2">
        <v>56.239181562843299</v>
      </c>
      <c r="H99" s="2" t="s">
        <v>16</v>
      </c>
    </row>
    <row r="100" spans="2:18" ht="14.25" customHeight="1" x14ac:dyDescent="0.3">
      <c r="B100" s="2">
        <v>98</v>
      </c>
      <c r="C100" s="2">
        <v>1.2250000000000001</v>
      </c>
      <c r="D100" s="2">
        <v>-56.857100535348103</v>
      </c>
      <c r="E100" s="2">
        <v>2.97530414000301</v>
      </c>
      <c r="F100" s="2">
        <v>6.7370000000000001</v>
      </c>
      <c r="G100" s="2">
        <v>91.912952579131698</v>
      </c>
      <c r="H100" s="2" t="s">
        <v>17</v>
      </c>
    </row>
    <row r="101" spans="2:18" ht="14.25" customHeight="1" x14ac:dyDescent="0.3">
      <c r="B101" s="2">
        <v>99</v>
      </c>
      <c r="C101" s="2">
        <v>1.2250000000000001</v>
      </c>
      <c r="D101" s="2">
        <v>18.813358362236301</v>
      </c>
      <c r="E101" s="2">
        <v>1.5828713422245599</v>
      </c>
      <c r="F101" s="2">
        <v>1.8080000000000001</v>
      </c>
      <c r="G101" s="2">
        <v>54.745165580759299</v>
      </c>
      <c r="H101" s="2" t="s">
        <v>18</v>
      </c>
    </row>
    <row r="102" spans="2:18" ht="14.25" customHeight="1" x14ac:dyDescent="0.3">
      <c r="B102" s="2">
        <v>100</v>
      </c>
      <c r="C102" s="11">
        <v>1.2250000000000001</v>
      </c>
      <c r="D102" s="15">
        <v>-3.92417510495262E-5</v>
      </c>
      <c r="E102" s="2">
        <v>3.77817238526699</v>
      </c>
      <c r="F102" s="2">
        <v>4.4450000000000003</v>
      </c>
      <c r="G102" s="2">
        <v>88.806057241365295</v>
      </c>
      <c r="H102" s="11" t="s">
        <v>27</v>
      </c>
    </row>
    <row r="103" spans="2:18" ht="14.25" customHeight="1" x14ac:dyDescent="0.3">
      <c r="B103" s="2">
        <v>101</v>
      </c>
      <c r="C103" s="5">
        <v>1.25</v>
      </c>
      <c r="D103" s="2">
        <v>-1.9545909074038199E-4</v>
      </c>
      <c r="E103" s="2">
        <v>3.5665502131671398</v>
      </c>
      <c r="F103" s="2">
        <v>4.1500000000000004</v>
      </c>
      <c r="G103" s="2">
        <v>87.491118669993597</v>
      </c>
      <c r="H103" s="5" t="s">
        <v>6</v>
      </c>
    </row>
    <row r="104" spans="2:18" ht="14.25" customHeight="1" x14ac:dyDescent="0.3">
      <c r="B104" s="2">
        <v>102</v>
      </c>
      <c r="C104" s="2">
        <v>1.25</v>
      </c>
      <c r="D104" s="2">
        <v>37.284922868849797</v>
      </c>
      <c r="E104" s="2">
        <v>0.32912400474123499</v>
      </c>
      <c r="F104" s="2">
        <v>6.7629999999999999</v>
      </c>
      <c r="G104" s="2">
        <v>53.313456873311303</v>
      </c>
      <c r="H104" s="2" t="s">
        <v>16</v>
      </c>
    </row>
    <row r="105" spans="2:18" ht="14.25" customHeight="1" x14ac:dyDescent="0.3">
      <c r="B105" s="2">
        <v>103</v>
      </c>
      <c r="C105" s="2">
        <v>1.25</v>
      </c>
      <c r="D105" s="2">
        <v>-56.858019012168199</v>
      </c>
      <c r="E105" s="2">
        <v>2.9752998748021802</v>
      </c>
      <c r="F105" s="2">
        <v>6.7370000000000001</v>
      </c>
      <c r="G105" s="2">
        <v>91.545302911816407</v>
      </c>
      <c r="H105" s="2" t="s">
        <v>17</v>
      </c>
    </row>
    <row r="106" spans="2:18" ht="14.25" customHeight="1" x14ac:dyDescent="0.3">
      <c r="B106" s="2">
        <v>104</v>
      </c>
      <c r="C106" s="2">
        <v>1.25</v>
      </c>
      <c r="D106" s="2">
        <v>18.8128814580644</v>
      </c>
      <c r="E106" s="2">
        <v>1.58283270977707</v>
      </c>
      <c r="F106" s="2">
        <v>1.8080000000000001</v>
      </c>
      <c r="G106" s="2">
        <v>50.970215739126203</v>
      </c>
      <c r="H106" s="2" t="s">
        <v>18</v>
      </c>
    </row>
    <row r="107" spans="2:18" ht="14.25" customHeight="1" x14ac:dyDescent="0.3">
      <c r="B107" s="2">
        <v>105</v>
      </c>
      <c r="C107" s="11">
        <v>1.25</v>
      </c>
      <c r="D107" s="2">
        <v>-1.9545908642407399E-4</v>
      </c>
      <c r="E107" s="2">
        <v>3.5665501944127</v>
      </c>
      <c r="F107" s="2">
        <v>4.1500000000000004</v>
      </c>
      <c r="G107" s="2">
        <v>87.491119748437598</v>
      </c>
      <c r="H107" s="11" t="s">
        <v>27</v>
      </c>
    </row>
    <row r="108" spans="2:18" ht="14.25" customHeight="1" x14ac:dyDescent="0.3"/>
    <row r="109" spans="2:18" ht="14.25" customHeight="1" x14ac:dyDescent="0.3"/>
    <row r="110" spans="2:18" ht="14.25" customHeight="1" x14ac:dyDescent="0.3">
      <c r="R110" s="15"/>
    </row>
    <row r="111" spans="2:18" ht="14.25" customHeight="1" x14ac:dyDescent="0.3"/>
    <row r="112" spans="2:18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4">
    <mergeCell ref="B1:H1"/>
    <mergeCell ref="J1:O1"/>
    <mergeCell ref="Q1:V1"/>
    <mergeCell ref="Q26:V26"/>
  </mergeCells>
  <conditionalFormatting sqref="G3:G10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8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6565"/>
  </sheetPr>
  <dimension ref="A1:AA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6.6640625" customWidth="1"/>
    <col min="3" max="8" width="8.6640625" customWidth="1"/>
    <col min="9" max="9" width="4.88671875" customWidth="1"/>
    <col min="10" max="10" width="6.33203125" customWidth="1"/>
    <col min="11" max="15" width="8.6640625" customWidth="1"/>
    <col min="16" max="16" width="5.109375" customWidth="1"/>
    <col min="17" max="27" width="8.6640625" customWidth="1"/>
  </cols>
  <sheetData>
    <row r="1" spans="1:27" ht="14.25" customHeight="1" x14ac:dyDescent="0.3">
      <c r="A1" s="2" t="s">
        <v>2</v>
      </c>
      <c r="B1" s="52" t="s">
        <v>20</v>
      </c>
      <c r="C1" s="53"/>
      <c r="D1" s="53"/>
      <c r="E1" s="53"/>
      <c r="F1" s="53"/>
      <c r="G1" s="53"/>
      <c r="H1" s="53"/>
      <c r="J1" s="52" t="s">
        <v>21</v>
      </c>
      <c r="K1" s="53"/>
      <c r="L1" s="53"/>
      <c r="M1" s="53"/>
      <c r="N1" s="53"/>
      <c r="O1" s="53"/>
      <c r="Q1" s="52" t="s">
        <v>22</v>
      </c>
      <c r="R1" s="53"/>
      <c r="S1" s="53"/>
      <c r="T1" s="53"/>
      <c r="U1" s="53"/>
      <c r="V1" s="53"/>
    </row>
    <row r="2" spans="1:27" ht="14.25" customHeight="1" x14ac:dyDescent="0.3">
      <c r="B2" s="2" t="s">
        <v>23</v>
      </c>
      <c r="C2" s="2" t="s">
        <v>24</v>
      </c>
      <c r="D2" s="2" t="s">
        <v>11</v>
      </c>
      <c r="E2" s="2" t="s">
        <v>12</v>
      </c>
      <c r="F2" s="2" t="s">
        <v>13</v>
      </c>
      <c r="G2" s="11" t="s">
        <v>25</v>
      </c>
      <c r="H2" s="2" t="s">
        <v>26</v>
      </c>
      <c r="J2" s="2" t="s">
        <v>23</v>
      </c>
      <c r="K2" s="2" t="s">
        <v>24</v>
      </c>
      <c r="L2" s="2" t="s">
        <v>11</v>
      </c>
      <c r="M2" s="2" t="s">
        <v>12</v>
      </c>
      <c r="N2" s="2" t="s">
        <v>25</v>
      </c>
      <c r="O2" s="2" t="s">
        <v>26</v>
      </c>
      <c r="Q2" s="2" t="s">
        <v>23</v>
      </c>
      <c r="R2" s="2" t="s">
        <v>24</v>
      </c>
      <c r="S2" s="2" t="s">
        <v>6</v>
      </c>
      <c r="T2" s="2" t="s">
        <v>16</v>
      </c>
      <c r="U2" s="2" t="s">
        <v>17</v>
      </c>
      <c r="V2" s="2" t="s">
        <v>18</v>
      </c>
    </row>
    <row r="3" spans="1:27" ht="14.25" customHeight="1" x14ac:dyDescent="0.3">
      <c r="B3" s="2">
        <v>1</v>
      </c>
      <c r="C3" s="5">
        <v>0.75</v>
      </c>
      <c r="D3" s="2">
        <v>-1.26364166556163E-4</v>
      </c>
      <c r="E3" s="2">
        <v>3.2325003142761899</v>
      </c>
      <c r="F3" s="2">
        <v>13.23</v>
      </c>
      <c r="G3" s="2">
        <v>87.534654557517399</v>
      </c>
      <c r="H3" s="5" t="s">
        <v>6</v>
      </c>
      <c r="J3" s="2">
        <v>1</v>
      </c>
      <c r="K3" s="5">
        <v>0.75</v>
      </c>
      <c r="L3" s="2">
        <v>-1.3554796952532601E-4</v>
      </c>
      <c r="M3" s="15">
        <v>18.8529143197926</v>
      </c>
      <c r="N3" s="2">
        <v>61.347378116942402</v>
      </c>
      <c r="O3" s="5" t="s">
        <v>6</v>
      </c>
      <c r="Q3" s="2">
        <v>1</v>
      </c>
      <c r="R3" s="2">
        <v>0.75</v>
      </c>
      <c r="S3" s="2">
        <v>-1.0851210789000599E-2</v>
      </c>
      <c r="T3" s="16">
        <v>-0.18784202360039601</v>
      </c>
      <c r="U3" s="2">
        <v>3.6282196019296201E-3</v>
      </c>
      <c r="V3" s="16">
        <v>0.118303414885742</v>
      </c>
      <c r="X3" s="2">
        <f t="shared" ref="X3:AA3" si="0">S4-S3</f>
        <v>1.4798925973558141E-14</v>
      </c>
      <c r="Y3" s="2">
        <f t="shared" si="0"/>
        <v>1.7953970406751008E-2</v>
      </c>
      <c r="Z3" s="2">
        <f t="shared" si="0"/>
        <v>0</v>
      </c>
      <c r="AA3" s="2">
        <f t="shared" si="0"/>
        <v>-1.1464901989217E-2</v>
      </c>
    </row>
    <row r="4" spans="1:27" ht="14.25" customHeight="1" x14ac:dyDescent="0.3">
      <c r="B4" s="2">
        <v>2</v>
      </c>
      <c r="C4" s="2">
        <v>0.75</v>
      </c>
      <c r="D4" s="2">
        <v>39.170145137460501</v>
      </c>
      <c r="E4" s="2">
        <v>0.161335013711394</v>
      </c>
      <c r="F4" s="2">
        <v>8.7390000000000008</v>
      </c>
      <c r="G4" s="2">
        <v>19.9350729613985</v>
      </c>
      <c r="H4" s="2" t="s">
        <v>16</v>
      </c>
      <c r="J4" s="2">
        <v>2</v>
      </c>
      <c r="K4" s="2">
        <v>0.75</v>
      </c>
      <c r="L4" s="2">
        <v>39.998502348770401</v>
      </c>
      <c r="M4" s="2">
        <v>4.0518270470959701</v>
      </c>
      <c r="N4" s="2">
        <v>12.3472141519796</v>
      </c>
      <c r="O4" s="2" t="s">
        <v>16</v>
      </c>
      <c r="Q4" s="2">
        <v>2</v>
      </c>
      <c r="R4" s="2">
        <v>0.77500000000000002</v>
      </c>
      <c r="S4" s="2">
        <v>-1.08512107889858E-2</v>
      </c>
      <c r="T4" s="2">
        <v>-0.169888053193645</v>
      </c>
      <c r="U4" s="2">
        <v>3.6282196019296201E-3</v>
      </c>
      <c r="V4" s="2">
        <v>0.106838512896525</v>
      </c>
      <c r="X4" s="2">
        <f t="shared" ref="X4:AA4" si="1">S5-S4</f>
        <v>-1.4798925973558141E-14</v>
      </c>
      <c r="Y4" s="2">
        <f t="shared" si="1"/>
        <v>1.8018753167182988E-2</v>
      </c>
      <c r="Z4" s="2">
        <f t="shared" si="1"/>
        <v>0</v>
      </c>
      <c r="AA4" s="2">
        <f t="shared" si="1"/>
        <v>-1.1506270443198408E-2</v>
      </c>
    </row>
    <row r="5" spans="1:27" ht="14.25" customHeight="1" x14ac:dyDescent="0.3">
      <c r="B5" s="2">
        <v>3</v>
      </c>
      <c r="C5" s="2">
        <v>0.75</v>
      </c>
      <c r="D5" s="2">
        <v>-8.0944239194745003E-4</v>
      </c>
      <c r="E5" s="2">
        <v>2.9461730104989399</v>
      </c>
      <c r="F5" s="2">
        <v>14.048</v>
      </c>
      <c r="G5" s="2">
        <v>87.908032156150199</v>
      </c>
      <c r="H5" s="2" t="s">
        <v>17</v>
      </c>
      <c r="J5" s="2">
        <v>3</v>
      </c>
      <c r="K5" s="2">
        <v>0.75</v>
      </c>
      <c r="L5" s="2">
        <v>-8.7518281456643195E-4</v>
      </c>
      <c r="M5" s="2">
        <v>19.839956853897601</v>
      </c>
      <c r="N5" s="2">
        <v>60.298096165715798</v>
      </c>
      <c r="O5" s="2" t="s">
        <v>17</v>
      </c>
      <c r="Q5" s="2">
        <v>3</v>
      </c>
      <c r="R5" s="2">
        <v>0.8</v>
      </c>
      <c r="S5" s="2">
        <v>-1.0851210789000599E-2</v>
      </c>
      <c r="T5" s="2">
        <v>-0.15186930002646201</v>
      </c>
      <c r="U5" s="2">
        <v>3.6282196019296201E-3</v>
      </c>
      <c r="V5" s="2">
        <v>9.5332242453326596E-2</v>
      </c>
      <c r="X5" s="2">
        <f t="shared" ref="X5:AA5" si="2">S6-S5</f>
        <v>1.4798925973558141E-14</v>
      </c>
      <c r="Y5" s="2">
        <f t="shared" si="2"/>
        <v>1.8083878294064021E-2</v>
      </c>
      <c r="Z5" s="2">
        <f t="shared" si="2"/>
        <v>0</v>
      </c>
      <c r="AA5" s="2">
        <f t="shared" si="2"/>
        <v>-1.1547857522804697E-2</v>
      </c>
    </row>
    <row r="6" spans="1:27" ht="14.25" customHeight="1" x14ac:dyDescent="0.3">
      <c r="B6" s="2">
        <v>4</v>
      </c>
      <c r="C6" s="2">
        <v>0.75</v>
      </c>
      <c r="D6" s="2">
        <v>-19.343078859552101</v>
      </c>
      <c r="E6" s="2">
        <v>0.18456509273750199</v>
      </c>
      <c r="F6" s="2">
        <v>18.236000000000001</v>
      </c>
      <c r="G6" s="2">
        <v>60.768453769326001</v>
      </c>
      <c r="H6" s="2" t="s">
        <v>18</v>
      </c>
      <c r="J6" s="2">
        <v>4</v>
      </c>
      <c r="K6" s="11">
        <v>0.75</v>
      </c>
      <c r="L6" s="2">
        <v>-20.899639035479598</v>
      </c>
      <c r="M6" s="2">
        <v>19.056311767349801</v>
      </c>
      <c r="N6" s="2">
        <v>56.3990196332444</v>
      </c>
      <c r="O6" s="2" t="s">
        <v>18</v>
      </c>
      <c r="Q6" s="2">
        <v>4</v>
      </c>
      <c r="R6" s="2">
        <v>0.82499999999999996</v>
      </c>
      <c r="S6" s="2">
        <v>-1.08512107889858E-2</v>
      </c>
      <c r="T6" s="2">
        <v>-0.13378542173239799</v>
      </c>
      <c r="U6" s="2">
        <v>3.6282196019296201E-3</v>
      </c>
      <c r="V6" s="2">
        <v>8.3784384930521899E-2</v>
      </c>
      <c r="X6" s="2">
        <f t="shared" ref="X6:AA6" si="3">S7-S6</f>
        <v>-1.4798925973558141E-14</v>
      </c>
      <c r="Y6" s="2">
        <f t="shared" si="3"/>
        <v>1.8149348128857989E-2</v>
      </c>
      <c r="Z6" s="2">
        <f t="shared" si="3"/>
        <v>0</v>
      </c>
      <c r="AA6" s="2">
        <f t="shared" si="3"/>
        <v>-1.15896647232335E-2</v>
      </c>
    </row>
    <row r="7" spans="1:27" ht="14.25" customHeight="1" x14ac:dyDescent="0.3">
      <c r="B7" s="2">
        <v>5</v>
      </c>
      <c r="C7" s="11">
        <v>0.75</v>
      </c>
      <c r="D7" s="2">
        <v>-1.26364166556163E-4</v>
      </c>
      <c r="E7" s="2">
        <v>3.2325003142761899</v>
      </c>
      <c r="F7" s="2">
        <v>13.23</v>
      </c>
      <c r="G7" s="2">
        <v>87.534654557517399</v>
      </c>
      <c r="H7" s="11" t="s">
        <v>27</v>
      </c>
      <c r="J7" s="2">
        <v>5</v>
      </c>
      <c r="K7" s="5">
        <v>0.77500000000000002</v>
      </c>
      <c r="L7" s="2">
        <v>-4.61654860772603E-5</v>
      </c>
      <c r="M7" s="15">
        <v>19.641732368999701</v>
      </c>
      <c r="N7" s="2">
        <v>60.3805392429215</v>
      </c>
      <c r="O7" s="5" t="s">
        <v>6</v>
      </c>
      <c r="Q7" s="2">
        <v>5</v>
      </c>
      <c r="R7" s="2">
        <v>0.85</v>
      </c>
      <c r="S7" s="2">
        <v>-1.0851210789000599E-2</v>
      </c>
      <c r="T7" s="2">
        <v>-0.11563607360354</v>
      </c>
      <c r="U7" s="2">
        <v>3.6282196019296201E-3</v>
      </c>
      <c r="V7" s="2">
        <v>7.2194720207288399E-2</v>
      </c>
      <c r="X7" s="2">
        <f t="shared" ref="X7:AA7" si="4">S8-S7</f>
        <v>0</v>
      </c>
      <c r="Y7" s="2">
        <f t="shared" si="4"/>
        <v>1.82151650322884E-2</v>
      </c>
      <c r="Z7" s="2">
        <f t="shared" si="4"/>
        <v>0</v>
      </c>
      <c r="AA7" s="2">
        <f t="shared" si="4"/>
        <v>-1.16316935519395E-2</v>
      </c>
    </row>
    <row r="8" spans="1:27" ht="14.25" customHeight="1" x14ac:dyDescent="0.3">
      <c r="B8" s="2">
        <v>6</v>
      </c>
      <c r="C8" s="5">
        <v>0.77500000000000002</v>
      </c>
      <c r="D8" s="15">
        <v>-4.2758023297745297E-5</v>
      </c>
      <c r="E8" s="2">
        <v>2.8844933794510901</v>
      </c>
      <c r="F8" s="2">
        <v>14.037000000000001</v>
      </c>
      <c r="G8" s="2">
        <v>87.437525418332697</v>
      </c>
      <c r="H8" s="5" t="s">
        <v>6</v>
      </c>
      <c r="J8" s="2">
        <v>6</v>
      </c>
      <c r="K8" s="2">
        <v>0.77500000000000002</v>
      </c>
      <c r="L8" s="2">
        <v>39.999078797135198</v>
      </c>
      <c r="M8" s="2">
        <v>4.0518603455788398</v>
      </c>
      <c r="N8" s="2">
        <v>12.3476449197079</v>
      </c>
      <c r="O8" s="2" t="s">
        <v>16</v>
      </c>
      <c r="Q8" s="2">
        <v>6</v>
      </c>
      <c r="R8" s="2">
        <v>0.875</v>
      </c>
      <c r="S8" s="2">
        <v>-1.0851210789000599E-2</v>
      </c>
      <c r="T8" s="2">
        <v>-9.7420908571251602E-2</v>
      </c>
      <c r="U8" s="2">
        <v>3.6282196019296201E-3</v>
      </c>
      <c r="V8" s="2">
        <v>6.0563026655348899E-2</v>
      </c>
      <c r="X8" s="2">
        <f t="shared" ref="X8:AA8" si="5">S9-S8</f>
        <v>1.4798925973558141E-14</v>
      </c>
      <c r="Y8" s="2">
        <f t="shared" si="5"/>
        <v>1.8281331384542895E-2</v>
      </c>
      <c r="Z8" s="2">
        <f t="shared" si="5"/>
        <v>0</v>
      </c>
      <c r="AA8" s="2">
        <f t="shared" si="5"/>
        <v>-1.1673945528898701E-2</v>
      </c>
    </row>
    <row r="9" spans="1:27" ht="14.25" customHeight="1" x14ac:dyDescent="0.3">
      <c r="B9" s="2">
        <v>7</v>
      </c>
      <c r="C9" s="2">
        <v>0.77500000000000002</v>
      </c>
      <c r="D9" s="2">
        <v>39.1710185054161</v>
      </c>
      <c r="E9" s="2">
        <v>0.15966232847513701</v>
      </c>
      <c r="F9" s="2">
        <v>8.7420000000000009</v>
      </c>
      <c r="G9" s="2">
        <v>19.935173573551101</v>
      </c>
      <c r="H9" s="2" t="s">
        <v>16</v>
      </c>
      <c r="J9" s="2">
        <v>7</v>
      </c>
      <c r="K9" s="2">
        <v>0.77500000000000002</v>
      </c>
      <c r="L9" s="2">
        <v>-3.6525392001085402E-4</v>
      </c>
      <c r="M9" s="2">
        <v>20.754477923238799</v>
      </c>
      <c r="N9" s="2">
        <v>58.678896054832698</v>
      </c>
      <c r="O9" s="2" t="s">
        <v>17</v>
      </c>
      <c r="Q9" s="2">
        <v>7</v>
      </c>
      <c r="R9" s="2">
        <v>0.9</v>
      </c>
      <c r="S9" s="2">
        <v>-1.08512107889858E-2</v>
      </c>
      <c r="T9" s="2">
        <v>-7.9139577186708707E-2</v>
      </c>
      <c r="U9" s="2">
        <v>3.6282196019296201E-3</v>
      </c>
      <c r="V9" s="2">
        <v>4.8889081126450198E-2</v>
      </c>
      <c r="X9" s="2">
        <f t="shared" ref="X9:AA9" si="6">S10-S9</f>
        <v>-1.4798925973558141E-14</v>
      </c>
      <c r="Y9" s="2">
        <f t="shared" si="6"/>
        <v>1.8347849585254004E-2</v>
      </c>
      <c r="Z9" s="2">
        <f t="shared" si="6"/>
        <v>0</v>
      </c>
      <c r="AA9" s="2">
        <f t="shared" si="6"/>
        <v>-1.1716422186375801E-2</v>
      </c>
    </row>
    <row r="10" spans="1:27" ht="14.25" customHeight="1" x14ac:dyDescent="0.3">
      <c r="B10" s="2">
        <v>8</v>
      </c>
      <c r="C10" s="2">
        <v>0.77500000000000002</v>
      </c>
      <c r="D10" s="2">
        <v>-3.3497364757072298E-4</v>
      </c>
      <c r="E10" s="2">
        <v>2.3904763158867599</v>
      </c>
      <c r="F10" s="2">
        <v>15.015000000000001</v>
      </c>
      <c r="G10" s="2">
        <v>88.170249456956299</v>
      </c>
      <c r="H10" s="2" t="s">
        <v>17</v>
      </c>
      <c r="J10" s="2">
        <v>8</v>
      </c>
      <c r="K10" s="11">
        <v>0.77500000000000002</v>
      </c>
      <c r="L10" s="2">
        <v>-20.899356229288198</v>
      </c>
      <c r="M10" s="2">
        <v>19.056319936627698</v>
      </c>
      <c r="N10" s="2">
        <v>56.398969869215001</v>
      </c>
      <c r="O10" s="2" t="s">
        <v>18</v>
      </c>
      <c r="Q10" s="2">
        <v>8</v>
      </c>
      <c r="R10" s="2">
        <v>0.92500000000000004</v>
      </c>
      <c r="S10" s="2">
        <v>-1.0851210789000599E-2</v>
      </c>
      <c r="T10" s="2">
        <v>-6.0791727601454702E-2</v>
      </c>
      <c r="U10" s="2">
        <v>3.6282196019296201E-3</v>
      </c>
      <c r="V10" s="2">
        <v>3.7172658940074398E-2</v>
      </c>
      <c r="X10" s="2">
        <f t="shared" ref="X10:AA10" si="7">S11-S10</f>
        <v>0</v>
      </c>
      <c r="Y10" s="2">
        <f t="shared" si="7"/>
        <v>1.8414722053989904E-2</v>
      </c>
      <c r="Z10" s="2">
        <f t="shared" si="7"/>
        <v>0</v>
      </c>
      <c r="AA10" s="2">
        <f t="shared" si="7"/>
        <v>-1.1759125069491998E-2</v>
      </c>
    </row>
    <row r="11" spans="1:27" ht="14.25" customHeight="1" x14ac:dyDescent="0.3">
      <c r="B11" s="2">
        <v>9</v>
      </c>
      <c r="C11" s="2">
        <v>0.77500000000000002</v>
      </c>
      <c r="D11" s="2">
        <v>-19.342815950500899</v>
      </c>
      <c r="E11" s="2">
        <v>0.18496196947226201</v>
      </c>
      <c r="F11" s="2">
        <v>18.234000000000002</v>
      </c>
      <c r="G11" s="2">
        <v>60.768494684116398</v>
      </c>
      <c r="H11" s="2" t="s">
        <v>18</v>
      </c>
      <c r="J11" s="2">
        <v>9</v>
      </c>
      <c r="K11" s="5">
        <v>0.8</v>
      </c>
      <c r="L11" s="2">
        <v>-2.7401950057072199E-5</v>
      </c>
      <c r="M11" s="15">
        <v>19.906673185584498</v>
      </c>
      <c r="N11" s="2">
        <v>61.031552545098201</v>
      </c>
      <c r="O11" s="5" t="s">
        <v>6</v>
      </c>
      <c r="Q11" s="2">
        <v>9</v>
      </c>
      <c r="R11" s="2">
        <v>0.95</v>
      </c>
      <c r="S11" s="2">
        <v>-1.0851210789000599E-2</v>
      </c>
      <c r="T11" s="2">
        <v>-4.2377005547464798E-2</v>
      </c>
      <c r="U11" s="2">
        <v>3.6282196019296201E-3</v>
      </c>
      <c r="V11" s="2">
        <v>2.54135338705824E-2</v>
      </c>
      <c r="X11" s="2">
        <f t="shared" ref="X11:AA11" si="8">S12-S11</f>
        <v>0</v>
      </c>
      <c r="Y11" s="2">
        <f t="shared" si="8"/>
        <v>1.8481951230214098E-2</v>
      </c>
      <c r="Z11" s="2">
        <f t="shared" si="8"/>
        <v>0</v>
      </c>
      <c r="AA11" s="2">
        <f t="shared" si="8"/>
        <v>-1.1802055736024299E-2</v>
      </c>
    </row>
    <row r="12" spans="1:27" ht="14.25" customHeight="1" x14ac:dyDescent="0.3">
      <c r="B12" s="2">
        <v>10</v>
      </c>
      <c r="C12" s="11">
        <v>0.77500000000000002</v>
      </c>
      <c r="D12" s="15">
        <v>-4.2758023297745297E-5</v>
      </c>
      <c r="E12" s="2">
        <v>2.8844933794510901</v>
      </c>
      <c r="F12" s="2">
        <v>14.037000000000001</v>
      </c>
      <c r="G12" s="2">
        <v>87.437525418332697</v>
      </c>
      <c r="H12" s="11" t="s">
        <v>27</v>
      </c>
      <c r="J12" s="2">
        <v>10</v>
      </c>
      <c r="K12" s="2">
        <v>0.8</v>
      </c>
      <c r="L12" s="2">
        <v>39.999181452348303</v>
      </c>
      <c r="M12" s="2">
        <v>4.0518661569561498</v>
      </c>
      <c r="N12" s="2">
        <v>14.019770472629499</v>
      </c>
      <c r="O12" s="2" t="s">
        <v>16</v>
      </c>
      <c r="Q12" s="2">
        <v>10</v>
      </c>
      <c r="R12" s="2">
        <v>0.97499999999999998</v>
      </c>
      <c r="S12" s="2">
        <v>-1.0851210789000599E-2</v>
      </c>
      <c r="T12" s="2">
        <v>-2.38950543172507E-2</v>
      </c>
      <c r="U12" s="2">
        <v>3.6282196019296201E-3</v>
      </c>
      <c r="V12" s="2">
        <v>1.3611478134558101E-2</v>
      </c>
      <c r="X12" s="2">
        <f t="shared" ref="X12:AA12" si="9">S13-S12</f>
        <v>1.4798925973558141E-14</v>
      </c>
      <c r="Y12" s="2">
        <f t="shared" si="9"/>
        <v>1.8549539573555762E-2</v>
      </c>
      <c r="Z12" s="2">
        <f t="shared" si="9"/>
        <v>0</v>
      </c>
      <c r="AA12" s="2">
        <f t="shared" si="9"/>
        <v>-1.184521575662326E-2</v>
      </c>
    </row>
    <row r="13" spans="1:27" ht="14.25" customHeight="1" x14ac:dyDescent="0.3">
      <c r="B13" s="2">
        <v>11</v>
      </c>
      <c r="C13" s="5">
        <v>0.8</v>
      </c>
      <c r="D13" s="15">
        <v>-2.5421931934761501E-5</v>
      </c>
      <c r="E13" s="2">
        <v>4.08693644491811</v>
      </c>
      <c r="F13" s="2">
        <v>12.776</v>
      </c>
      <c r="G13" s="2">
        <v>89.087014899574399</v>
      </c>
      <c r="H13" s="5" t="s">
        <v>6</v>
      </c>
      <c r="J13" s="2">
        <v>11</v>
      </c>
      <c r="K13" s="2">
        <v>0.8</v>
      </c>
      <c r="L13" s="2">
        <v>-2.34448787169567E-4</v>
      </c>
      <c r="M13" s="2">
        <v>21.194424787808799</v>
      </c>
      <c r="N13" s="2">
        <v>58.9448963989433</v>
      </c>
      <c r="O13" s="2" t="s">
        <v>17</v>
      </c>
      <c r="Q13" s="2">
        <v>11</v>
      </c>
      <c r="R13" s="2">
        <v>1</v>
      </c>
      <c r="S13" s="2">
        <v>-1.08512107889858E-2</v>
      </c>
      <c r="T13" s="2">
        <v>-5.3455147436949398E-3</v>
      </c>
      <c r="U13" s="2">
        <v>3.6282196019296201E-3</v>
      </c>
      <c r="V13" s="2">
        <v>1.7662623779348401E-3</v>
      </c>
      <c r="X13" s="2">
        <f t="shared" ref="X13:AA13" si="10">S14-S13</f>
        <v>-1.4798925973558141E-14</v>
      </c>
      <c r="Y13" s="2">
        <f t="shared" si="10"/>
        <v>1.8617489564022139E-2</v>
      </c>
      <c r="Z13" s="2">
        <f t="shared" si="10"/>
        <v>0</v>
      </c>
      <c r="AA13" s="2">
        <f t="shared" si="10"/>
        <v>-1.1888606714846341E-2</v>
      </c>
    </row>
    <row r="14" spans="1:27" ht="14.25" customHeight="1" x14ac:dyDescent="0.3">
      <c r="B14" s="2">
        <v>12</v>
      </c>
      <c r="C14" s="2">
        <v>0.8</v>
      </c>
      <c r="D14" s="2">
        <v>39.171091106257499</v>
      </c>
      <c r="E14" s="2">
        <v>0.15928158732495401</v>
      </c>
      <c r="F14" s="2">
        <v>8.7430000000000003</v>
      </c>
      <c r="G14" s="2">
        <v>21.461405395520298</v>
      </c>
      <c r="H14" s="2" t="s">
        <v>16</v>
      </c>
      <c r="J14" s="2">
        <v>12</v>
      </c>
      <c r="K14" s="11">
        <v>0.8</v>
      </c>
      <c r="L14" s="2">
        <v>-20.899295497348401</v>
      </c>
      <c r="M14" s="2">
        <v>19.056317185255899</v>
      </c>
      <c r="N14" s="2">
        <v>57.480675267964898</v>
      </c>
      <c r="O14" s="2" t="s">
        <v>18</v>
      </c>
      <c r="Q14" s="2">
        <v>12</v>
      </c>
      <c r="R14" s="2">
        <v>1.0249999999999999</v>
      </c>
      <c r="S14" s="2">
        <v>-1.0851210789000599E-2</v>
      </c>
      <c r="T14" s="2">
        <v>1.3271974820327199E-2</v>
      </c>
      <c r="U14" s="2">
        <v>3.6282196019296201E-3</v>
      </c>
      <c r="V14" s="2">
        <v>-1.0122344336911501E-2</v>
      </c>
      <c r="X14" s="2">
        <f t="shared" ref="X14:AA14" si="11">S15-S14</f>
        <v>1.4798925973558141E-14</v>
      </c>
      <c r="Y14" s="2">
        <f t="shared" si="11"/>
        <v>1.86857123203907E-2</v>
      </c>
      <c r="Z14" s="2">
        <f t="shared" si="11"/>
        <v>0</v>
      </c>
      <c r="AA14" s="2">
        <f t="shared" si="11"/>
        <v>-1.1932171853827101E-2</v>
      </c>
    </row>
    <row r="15" spans="1:27" ht="14.25" customHeight="1" x14ac:dyDescent="0.3">
      <c r="B15" s="2">
        <v>13</v>
      </c>
      <c r="C15" s="2">
        <v>0.8</v>
      </c>
      <c r="D15" s="2">
        <v>-2.1427204513734099E-4</v>
      </c>
      <c r="E15" s="2">
        <v>2.39031249341028</v>
      </c>
      <c r="F15" s="2">
        <v>15.124000000000001</v>
      </c>
      <c r="G15" s="2">
        <v>89.860938792683797</v>
      </c>
      <c r="H15" s="2" t="s">
        <v>17</v>
      </c>
      <c r="J15" s="2">
        <v>13</v>
      </c>
      <c r="K15" s="5">
        <v>0.82499999999999996</v>
      </c>
      <c r="L15" s="2">
        <v>-4.6165486295128599E-5</v>
      </c>
      <c r="M15" s="15">
        <v>19.641732802936399</v>
      </c>
      <c r="N15" s="2">
        <v>60.380539009123197</v>
      </c>
      <c r="O15" s="5" t="s">
        <v>6</v>
      </c>
      <c r="Q15" s="2">
        <v>13</v>
      </c>
      <c r="R15" s="2">
        <v>1.05</v>
      </c>
      <c r="S15" s="2">
        <v>-1.08512107889858E-2</v>
      </c>
      <c r="T15" s="2">
        <v>3.1957687140717901E-2</v>
      </c>
      <c r="U15" s="2">
        <v>3.6282196019296201E-3</v>
      </c>
      <c r="V15" s="2">
        <v>-2.2054516190738602E-2</v>
      </c>
      <c r="X15" s="2">
        <f t="shared" ref="X15:AA15" si="12">S16-S15</f>
        <v>0</v>
      </c>
      <c r="Y15" s="2">
        <f t="shared" si="12"/>
        <v>1.8754484172759996E-2</v>
      </c>
      <c r="Z15" s="2">
        <f t="shared" si="12"/>
        <v>0</v>
      </c>
      <c r="AA15" s="2">
        <f t="shared" si="12"/>
        <v>-1.1976087630032696E-2</v>
      </c>
    </row>
    <row r="16" spans="1:27" ht="14.25" customHeight="1" x14ac:dyDescent="0.3">
      <c r="B16" s="2">
        <v>14</v>
      </c>
      <c r="C16" s="2">
        <v>0.8</v>
      </c>
      <c r="D16" s="2">
        <v>-19.342760081776301</v>
      </c>
      <c r="E16" s="2">
        <v>0.18509570607217299</v>
      </c>
      <c r="F16" s="2">
        <v>18.234000000000002</v>
      </c>
      <c r="G16" s="2">
        <v>61.741787363550102</v>
      </c>
      <c r="H16" s="2" t="s">
        <v>18</v>
      </c>
      <c r="J16" s="2">
        <v>14</v>
      </c>
      <c r="K16" s="2">
        <v>0.82499999999999996</v>
      </c>
      <c r="L16" s="2">
        <v>39.999078797162298</v>
      </c>
      <c r="M16" s="2">
        <v>4.0518603455876097</v>
      </c>
      <c r="N16" s="2">
        <v>12.347644919854501</v>
      </c>
      <c r="O16" s="2" t="s">
        <v>16</v>
      </c>
      <c r="Q16" s="2">
        <v>14</v>
      </c>
      <c r="R16" s="2">
        <v>1.075</v>
      </c>
      <c r="S16" s="2">
        <v>-1.08512107889858E-2</v>
      </c>
      <c r="T16" s="2">
        <v>5.0712171313477897E-2</v>
      </c>
      <c r="U16" s="2">
        <v>3.6282196019296201E-3</v>
      </c>
      <c r="V16" s="2">
        <v>-3.4030603820771298E-2</v>
      </c>
      <c r="X16" s="2">
        <f t="shared" ref="X16:AA16" si="13">S17-S16</f>
        <v>-1.4798925973558141E-14</v>
      </c>
      <c r="Y16" s="2">
        <f t="shared" si="13"/>
        <v>1.88235341887691E-2</v>
      </c>
      <c r="Z16" s="2">
        <f t="shared" si="13"/>
        <v>0</v>
      </c>
      <c r="AA16" s="2">
        <f t="shared" si="13"/>
        <v>-1.2020181033813804E-2</v>
      </c>
    </row>
    <row r="17" spans="2:27" ht="14.25" customHeight="1" x14ac:dyDescent="0.3">
      <c r="B17" s="2">
        <v>15</v>
      </c>
      <c r="C17" s="11">
        <v>0.8</v>
      </c>
      <c r="D17" s="15">
        <v>-2.5420508464363699E-5</v>
      </c>
      <c r="E17" s="2">
        <v>4.0869364524809404</v>
      </c>
      <c r="F17" s="2">
        <v>12.776</v>
      </c>
      <c r="G17" s="2">
        <v>89.0893668849844</v>
      </c>
      <c r="H17" s="11" t="s">
        <v>27</v>
      </c>
      <c r="J17" s="2">
        <v>15</v>
      </c>
      <c r="K17" s="2">
        <v>0.82499999999999996</v>
      </c>
      <c r="L17" s="2">
        <v>-3.6525391946975203E-4</v>
      </c>
      <c r="M17" s="2">
        <v>20.754478064240999</v>
      </c>
      <c r="N17" s="2">
        <v>58.678895885537699</v>
      </c>
      <c r="O17" s="2" t="s">
        <v>17</v>
      </c>
      <c r="Q17" s="2">
        <v>15</v>
      </c>
      <c r="R17" s="2">
        <v>1.1000000000000001</v>
      </c>
      <c r="S17" s="2">
        <v>-1.0851210789000599E-2</v>
      </c>
      <c r="T17" s="2">
        <v>6.9535705502246997E-2</v>
      </c>
      <c r="U17" s="2">
        <v>3.6282196019296201E-3</v>
      </c>
      <c r="V17" s="2">
        <v>-4.6050784854585101E-2</v>
      </c>
      <c r="X17" s="2">
        <f t="shared" ref="X17:AA17" si="14">S18-S17</f>
        <v>0</v>
      </c>
      <c r="Y17" s="2">
        <f t="shared" si="14"/>
        <v>1.8892955979055104E-2</v>
      </c>
      <c r="Z17" s="2">
        <f t="shared" si="14"/>
        <v>0</v>
      </c>
      <c r="AA17" s="2">
        <f t="shared" si="14"/>
        <v>-1.2064511842144097E-2</v>
      </c>
    </row>
    <row r="18" spans="2:27" ht="14.25" customHeight="1" x14ac:dyDescent="0.3">
      <c r="B18" s="2">
        <v>16</v>
      </c>
      <c r="C18" s="5">
        <v>0.82499999999999996</v>
      </c>
      <c r="D18" s="15">
        <v>-4.27580231908329E-5</v>
      </c>
      <c r="E18" s="2">
        <v>2.8844932097517502</v>
      </c>
      <c r="F18" s="2">
        <v>14.037000000000001</v>
      </c>
      <c r="G18" s="2">
        <v>87.437527751293501</v>
      </c>
      <c r="H18" s="5" t="s">
        <v>6</v>
      </c>
      <c r="J18" s="2">
        <v>16</v>
      </c>
      <c r="K18" s="11">
        <v>0.82499999999999996</v>
      </c>
      <c r="L18" s="2">
        <v>-20.8993562292716</v>
      </c>
      <c r="M18" s="2">
        <v>19.056319936509301</v>
      </c>
      <c r="N18" s="2">
        <v>56.398969869310903</v>
      </c>
      <c r="O18" s="2" t="s">
        <v>18</v>
      </c>
      <c r="Q18" s="2">
        <v>16</v>
      </c>
      <c r="R18" s="2">
        <v>1.125</v>
      </c>
      <c r="S18" s="2">
        <v>-1.0851210789000599E-2</v>
      </c>
      <c r="T18" s="2">
        <v>8.8428661481302101E-2</v>
      </c>
      <c r="U18" s="2">
        <v>3.6282196019296201E-3</v>
      </c>
      <c r="V18" s="2">
        <v>-5.8115296696729199E-2</v>
      </c>
      <c r="X18" s="2">
        <f t="shared" ref="X18:AA18" si="15">S19-S18</f>
        <v>0</v>
      </c>
      <c r="Y18" s="2">
        <f t="shared" si="15"/>
        <v>1.8962752128075896E-2</v>
      </c>
      <c r="Z18" s="2">
        <f t="shared" si="15"/>
        <v>0</v>
      </c>
      <c r="AA18" s="2">
        <f t="shared" si="15"/>
        <v>-1.2109081705489202E-2</v>
      </c>
    </row>
    <row r="19" spans="2:27" ht="14.25" customHeight="1" x14ac:dyDescent="0.3">
      <c r="B19" s="2">
        <v>17</v>
      </c>
      <c r="C19" s="2">
        <v>0.82499999999999996</v>
      </c>
      <c r="D19" s="2">
        <v>39.170974644655402</v>
      </c>
      <c r="E19" s="2">
        <v>0.15847629703736399</v>
      </c>
      <c r="F19" s="2">
        <v>8.7439999999999998</v>
      </c>
      <c r="G19" s="2">
        <v>19.934969525465998</v>
      </c>
      <c r="H19" s="2" t="s">
        <v>16</v>
      </c>
      <c r="J19" s="2">
        <v>17</v>
      </c>
      <c r="K19" s="5">
        <v>0.85</v>
      </c>
      <c r="L19" s="2">
        <v>-1.35549499583538E-4</v>
      </c>
      <c r="M19" s="15">
        <v>18.852934513661701</v>
      </c>
      <c r="N19" s="2">
        <v>61.347386452956002</v>
      </c>
      <c r="O19" s="5" t="s">
        <v>6</v>
      </c>
      <c r="Q19" s="2">
        <v>17</v>
      </c>
      <c r="R19" s="2">
        <v>1.1499999999999999</v>
      </c>
      <c r="S19" s="2">
        <v>-1.0851210789000599E-2</v>
      </c>
      <c r="T19" s="2">
        <v>0.107391413609378</v>
      </c>
      <c r="U19" s="2">
        <v>3.6282196019296201E-3</v>
      </c>
      <c r="V19" s="2">
        <v>-7.0224378402218401E-2</v>
      </c>
      <c r="X19" s="2">
        <f t="shared" ref="X19:AA19" si="16">S20-S19</f>
        <v>0</v>
      </c>
      <c r="Y19" s="2">
        <f t="shared" si="16"/>
        <v>1.9032925241916007E-2</v>
      </c>
      <c r="Z19" s="2">
        <f t="shared" si="16"/>
        <v>-2.0300167796749591E-14</v>
      </c>
      <c r="AA19" s="2">
        <f t="shared" si="16"/>
        <v>-1.2153892288057105E-2</v>
      </c>
    </row>
    <row r="20" spans="2:27" ht="14.25" customHeight="1" x14ac:dyDescent="0.3">
      <c r="B20" s="2">
        <v>18</v>
      </c>
      <c r="C20" s="2">
        <v>0.82499999999999996</v>
      </c>
      <c r="D20" s="2">
        <v>-3.3497364634979299E-4</v>
      </c>
      <c r="E20" s="2">
        <v>2.3904762628986198</v>
      </c>
      <c r="F20" s="2">
        <v>15.015000000000001</v>
      </c>
      <c r="G20" s="2">
        <v>88.170249391067898</v>
      </c>
      <c r="H20" s="2" t="s">
        <v>17</v>
      </c>
      <c r="J20" s="2">
        <v>18</v>
      </c>
      <c r="K20" s="2">
        <v>0.85</v>
      </c>
      <c r="L20" s="2">
        <v>39.998509497960001</v>
      </c>
      <c r="M20" s="2">
        <v>4.0518289972322803</v>
      </c>
      <c r="N20" s="2">
        <v>12.347211218998</v>
      </c>
      <c r="O20" s="2" t="s">
        <v>16</v>
      </c>
      <c r="Q20" s="2">
        <v>18</v>
      </c>
      <c r="R20" s="2">
        <v>1.175</v>
      </c>
      <c r="S20" s="2">
        <v>-1.0851210789000599E-2</v>
      </c>
      <c r="T20" s="2">
        <v>0.126424338851294</v>
      </c>
      <c r="U20" s="2">
        <v>3.6282196019093199E-3</v>
      </c>
      <c r="V20" s="2">
        <v>-8.2378270690275507E-2</v>
      </c>
      <c r="X20" s="2">
        <f t="shared" ref="X20:AA20" si="17">S21-S20</f>
        <v>0</v>
      </c>
      <c r="Y20" s="2">
        <f t="shared" si="17"/>
        <v>1.9103477948476E-2</v>
      </c>
      <c r="Z20" s="2">
        <f t="shared" si="17"/>
        <v>2.0300167796749591E-14</v>
      </c>
      <c r="AA20" s="2">
        <f t="shared" si="17"/>
        <v>-1.2198945267815495E-2</v>
      </c>
    </row>
    <row r="21" spans="2:27" ht="14.25" customHeight="1" x14ac:dyDescent="0.3">
      <c r="B21" s="2">
        <v>19</v>
      </c>
      <c r="C21" s="2">
        <v>0.82499999999999996</v>
      </c>
      <c r="D21" s="2">
        <v>-19.342815950254799</v>
      </c>
      <c r="E21" s="2">
        <v>0.18496196714448701</v>
      </c>
      <c r="F21" s="2">
        <v>18.234000000000002</v>
      </c>
      <c r="G21" s="2">
        <v>60.768494682981199</v>
      </c>
      <c r="H21" s="2" t="s">
        <v>18</v>
      </c>
      <c r="J21" s="2">
        <v>19</v>
      </c>
      <c r="K21" s="2">
        <v>0.85</v>
      </c>
      <c r="L21" s="2">
        <v>-8.7517879553959698E-4</v>
      </c>
      <c r="M21" s="2">
        <v>19.840004660492301</v>
      </c>
      <c r="N21" s="2">
        <v>60.298065969147601</v>
      </c>
      <c r="O21" s="2" t="s">
        <v>17</v>
      </c>
      <c r="Q21" s="2">
        <v>19</v>
      </c>
      <c r="R21" s="2">
        <v>1.2</v>
      </c>
      <c r="S21" s="2">
        <v>-1.0851210789000599E-2</v>
      </c>
      <c r="T21" s="2">
        <v>0.14552781679977</v>
      </c>
      <c r="U21" s="2">
        <v>3.6282196019296201E-3</v>
      </c>
      <c r="V21" s="2">
        <v>-9.4577215958091002E-2</v>
      </c>
      <c r="X21" s="2">
        <f t="shared" ref="X21:AA21" si="18">S22-S21</f>
        <v>0</v>
      </c>
      <c r="Y21" s="2">
        <f t="shared" si="18"/>
        <v>1.9174412897370985E-2</v>
      </c>
      <c r="Z21" s="2">
        <f t="shared" si="18"/>
        <v>0</v>
      </c>
      <c r="AA21" s="2">
        <f t="shared" si="18"/>
        <v>-1.2244242336826E-2</v>
      </c>
    </row>
    <row r="22" spans="2:27" ht="14.25" customHeight="1" x14ac:dyDescent="0.3">
      <c r="B22" s="2">
        <v>20</v>
      </c>
      <c r="C22" s="11">
        <v>0.82499999999999996</v>
      </c>
      <c r="D22" s="15">
        <v>-4.27580231908329E-5</v>
      </c>
      <c r="E22" s="2">
        <v>2.8844932097517502</v>
      </c>
      <c r="F22" s="2">
        <v>14.037000000000001</v>
      </c>
      <c r="G22" s="2">
        <v>87.437527751293501</v>
      </c>
      <c r="H22" s="11" t="s">
        <v>27</v>
      </c>
      <c r="J22" s="2">
        <v>20</v>
      </c>
      <c r="K22" s="11">
        <v>0.85</v>
      </c>
      <c r="L22" s="2">
        <v>-20.899642056543598</v>
      </c>
      <c r="M22" s="2">
        <v>19.056332817481898</v>
      </c>
      <c r="N22" s="2">
        <v>56.399024350767</v>
      </c>
      <c r="O22" s="2" t="s">
        <v>18</v>
      </c>
      <c r="Q22" s="2">
        <v>20</v>
      </c>
      <c r="R22" s="2">
        <v>1.2250000000000001</v>
      </c>
      <c r="S22" s="2">
        <v>-1.0851210789000599E-2</v>
      </c>
      <c r="T22" s="2">
        <v>0.16470222969714099</v>
      </c>
      <c r="U22" s="2">
        <v>3.6282196019296201E-3</v>
      </c>
      <c r="V22" s="2">
        <v>-0.106821458294917</v>
      </c>
      <c r="X22" s="2">
        <f t="shared" ref="X22:AA22" si="19">S23-S22</f>
        <v>0</v>
      </c>
      <c r="Y22" s="2">
        <f t="shared" si="19"/>
        <v>1.9245732760481998E-2</v>
      </c>
      <c r="Z22" s="2">
        <f t="shared" si="19"/>
        <v>-2.0300167796749591E-14</v>
      </c>
      <c r="AA22" s="2">
        <f t="shared" si="19"/>
        <v>-1.2289785201275993E-2</v>
      </c>
    </row>
    <row r="23" spans="2:27" ht="14.25" customHeight="1" x14ac:dyDescent="0.3">
      <c r="B23" s="2">
        <v>21</v>
      </c>
      <c r="C23" s="5">
        <v>0.85</v>
      </c>
      <c r="D23" s="15">
        <v>-1.2636557972615101E-4</v>
      </c>
      <c r="E23" s="2">
        <v>3.2325125165920099</v>
      </c>
      <c r="F23" s="2">
        <v>13.23</v>
      </c>
      <c r="G23" s="2">
        <v>87.534659559412304</v>
      </c>
      <c r="H23" s="5" t="s">
        <v>6</v>
      </c>
      <c r="J23" s="2">
        <v>21</v>
      </c>
      <c r="K23" s="5">
        <v>0.875</v>
      </c>
      <c r="L23" s="2">
        <v>-2.7401949727142999E-5</v>
      </c>
      <c r="M23" s="2">
        <v>19.906671802290901</v>
      </c>
      <c r="N23" s="2">
        <v>61.031554857971997</v>
      </c>
      <c r="O23" s="5" t="s">
        <v>6</v>
      </c>
      <c r="Q23" s="2">
        <v>21</v>
      </c>
      <c r="R23" s="2">
        <v>1.25</v>
      </c>
      <c r="S23" s="2">
        <v>-1.0851210789000599E-2</v>
      </c>
      <c r="T23" s="16">
        <v>0.18394796245762299</v>
      </c>
      <c r="U23" s="2">
        <v>3.6282196019093199E-3</v>
      </c>
      <c r="V23" s="16">
        <v>-0.119111243496193</v>
      </c>
    </row>
    <row r="24" spans="2:27" ht="14.25" customHeight="1" x14ac:dyDescent="0.3">
      <c r="B24" s="2">
        <v>22</v>
      </c>
      <c r="C24" s="2">
        <v>0.85</v>
      </c>
      <c r="D24" s="2">
        <v>39.170283639495899</v>
      </c>
      <c r="E24" s="2">
        <v>0.15858481795531401</v>
      </c>
      <c r="F24" s="2">
        <v>8.7430000000000003</v>
      </c>
      <c r="G24" s="2">
        <v>19.936829418338299</v>
      </c>
      <c r="H24" s="2" t="s">
        <v>16</v>
      </c>
      <c r="J24" s="2">
        <v>22</v>
      </c>
      <c r="K24" s="2">
        <v>0.875</v>
      </c>
      <c r="L24" s="2">
        <v>39.999181452286599</v>
      </c>
      <c r="M24" s="2">
        <v>4.0518661569952403</v>
      </c>
      <c r="N24" s="2">
        <v>14.0197704726647</v>
      </c>
      <c r="O24" s="2" t="s">
        <v>16</v>
      </c>
    </row>
    <row r="25" spans="2:27" ht="14.25" customHeight="1" x14ac:dyDescent="0.3">
      <c r="B25" s="2">
        <v>23</v>
      </c>
      <c r="C25" s="2">
        <v>0.85</v>
      </c>
      <c r="D25" s="2">
        <v>-8.0943842474844204E-4</v>
      </c>
      <c r="E25" s="2">
        <v>2.94618636082348</v>
      </c>
      <c r="F25" s="2">
        <v>14.048</v>
      </c>
      <c r="G25" s="2">
        <v>87.9081069546381</v>
      </c>
      <c r="H25" s="2" t="s">
        <v>17</v>
      </c>
      <c r="J25" s="2">
        <v>23</v>
      </c>
      <c r="K25" s="2">
        <v>0.875</v>
      </c>
      <c r="L25" s="2">
        <v>-2.3444878475460299E-4</v>
      </c>
      <c r="M25" s="2">
        <v>21.1944239642526</v>
      </c>
      <c r="N25" s="2">
        <v>58.944897489758702</v>
      </c>
      <c r="O25" s="2" t="s">
        <v>17</v>
      </c>
    </row>
    <row r="26" spans="2:27" ht="14.25" customHeight="1" x14ac:dyDescent="0.3">
      <c r="B26" s="2">
        <v>24</v>
      </c>
      <c r="C26" s="2">
        <v>0.85</v>
      </c>
      <c r="D26" s="2">
        <v>-19.3430788623292</v>
      </c>
      <c r="E26" s="2">
        <v>0.18446065978963899</v>
      </c>
      <c r="F26" s="2">
        <v>18.236000000000001</v>
      </c>
      <c r="G26" s="2">
        <v>60.768592546254702</v>
      </c>
      <c r="H26" s="2" t="s">
        <v>18</v>
      </c>
      <c r="J26" s="2">
        <v>24</v>
      </c>
      <c r="K26" s="11">
        <v>0.875</v>
      </c>
      <c r="L26" s="2">
        <v>-20.89929549735</v>
      </c>
      <c r="M26" s="2">
        <v>19.0563171852308</v>
      </c>
      <c r="N26" s="2">
        <v>57.480675267810703</v>
      </c>
      <c r="O26" s="2" t="s">
        <v>18</v>
      </c>
    </row>
    <row r="27" spans="2:27" ht="14.25" customHeight="1" x14ac:dyDescent="0.3">
      <c r="B27" s="2">
        <v>25</v>
      </c>
      <c r="C27" s="11">
        <v>0.85</v>
      </c>
      <c r="D27" s="15">
        <v>-1.2636557972615101E-4</v>
      </c>
      <c r="E27" s="2">
        <v>3.2325125165920099</v>
      </c>
      <c r="F27" s="2">
        <v>13.23</v>
      </c>
      <c r="G27" s="2">
        <v>87.534659559412304</v>
      </c>
      <c r="H27" s="11" t="s">
        <v>27</v>
      </c>
      <c r="J27" s="2">
        <v>25</v>
      </c>
      <c r="K27" s="5">
        <v>0.9</v>
      </c>
      <c r="L27" s="2">
        <v>-1.3554949959794599E-4</v>
      </c>
      <c r="M27" s="15">
        <v>18.852934540003901</v>
      </c>
      <c r="N27" s="2">
        <v>61.347386428945697</v>
      </c>
      <c r="O27" s="5" t="s">
        <v>6</v>
      </c>
    </row>
    <row r="28" spans="2:27" ht="14.25" customHeight="1" x14ac:dyDescent="0.3">
      <c r="B28" s="2">
        <v>26</v>
      </c>
      <c r="C28" s="5">
        <v>0.875</v>
      </c>
      <c r="D28" s="15">
        <v>-2.54219319097844E-5</v>
      </c>
      <c r="E28" s="2">
        <v>4.0869361874626398</v>
      </c>
      <c r="F28" s="2">
        <v>12.776</v>
      </c>
      <c r="G28" s="2">
        <v>89.087012309733097</v>
      </c>
      <c r="H28" s="5" t="s">
        <v>6</v>
      </c>
      <c r="J28" s="2">
        <v>26</v>
      </c>
      <c r="K28" s="2">
        <v>0.9</v>
      </c>
      <c r="L28" s="2">
        <v>39.998509498121301</v>
      </c>
      <c r="M28" s="2">
        <v>4.05182899726399</v>
      </c>
      <c r="N28" s="2">
        <v>12.3472112190129</v>
      </c>
      <c r="O28" s="2" t="s">
        <v>16</v>
      </c>
    </row>
    <row r="29" spans="2:27" ht="14.25" customHeight="1" x14ac:dyDescent="0.3">
      <c r="B29" s="2">
        <v>27</v>
      </c>
      <c r="C29" s="2">
        <v>0.875</v>
      </c>
      <c r="D29" s="2">
        <v>39.171076061972698</v>
      </c>
      <c r="E29" s="2">
        <v>0.15888776169736801</v>
      </c>
      <c r="F29" s="2">
        <v>8.7439999999999998</v>
      </c>
      <c r="G29" s="2">
        <v>21.460267282916199</v>
      </c>
      <c r="H29" s="2" t="s">
        <v>16</v>
      </c>
      <c r="J29" s="2">
        <v>27</v>
      </c>
      <c r="K29" s="2">
        <v>0.9</v>
      </c>
      <c r="L29" s="2">
        <v>-8.7517879450396902E-4</v>
      </c>
      <c r="M29" s="2">
        <v>19.840004514535998</v>
      </c>
      <c r="N29" s="2">
        <v>60.298066056229402</v>
      </c>
      <c r="O29" s="2" t="s">
        <v>17</v>
      </c>
      <c r="R29" s="15"/>
    </row>
    <row r="30" spans="2:27" ht="14.25" customHeight="1" x14ac:dyDescent="0.3">
      <c r="B30" s="2">
        <v>28</v>
      </c>
      <c r="C30" s="2">
        <v>0.875</v>
      </c>
      <c r="D30" s="2">
        <v>-2.14272044314083E-4</v>
      </c>
      <c r="E30" s="2">
        <v>2.3903124129683002</v>
      </c>
      <c r="F30" s="2">
        <v>15.124000000000001</v>
      </c>
      <c r="G30" s="2">
        <v>89.860936742164697</v>
      </c>
      <c r="H30" s="2" t="s">
        <v>17</v>
      </c>
      <c r="J30" s="2">
        <v>28</v>
      </c>
      <c r="K30" s="11">
        <v>0.9</v>
      </c>
      <c r="L30" s="2">
        <v>-20.8996420565284</v>
      </c>
      <c r="M30" s="2">
        <v>19.056332817404002</v>
      </c>
      <c r="N30" s="2">
        <v>56.399024350659197</v>
      </c>
      <c r="O30" s="2" t="s">
        <v>18</v>
      </c>
    </row>
    <row r="31" spans="2:27" ht="14.25" customHeight="1" x14ac:dyDescent="0.3">
      <c r="B31" s="2">
        <v>29</v>
      </c>
      <c r="C31" s="2">
        <v>0.875</v>
      </c>
      <c r="D31" s="2">
        <v>-19.342760081956801</v>
      </c>
      <c r="E31" s="2">
        <v>0.18509571052875101</v>
      </c>
      <c r="F31" s="2">
        <v>18.234000000000002</v>
      </c>
      <c r="G31" s="2">
        <v>61.7417873635343</v>
      </c>
      <c r="H31" s="2" t="s">
        <v>18</v>
      </c>
      <c r="J31" s="2">
        <v>29</v>
      </c>
      <c r="K31" s="5">
        <v>0.92500000000000004</v>
      </c>
      <c r="L31" s="2">
        <v>-1.3554949932030101E-4</v>
      </c>
      <c r="M31" s="15">
        <v>18.852934306255701</v>
      </c>
      <c r="N31" s="2">
        <v>61.347386230824</v>
      </c>
      <c r="O31" s="5" t="s">
        <v>6</v>
      </c>
    </row>
    <row r="32" spans="2:27" ht="14.25" customHeight="1" x14ac:dyDescent="0.3">
      <c r="B32" s="2">
        <v>30</v>
      </c>
      <c r="C32" s="11">
        <v>0.875</v>
      </c>
      <c r="D32" s="15">
        <v>-2.54205056621211E-5</v>
      </c>
      <c r="E32" s="2">
        <v>4.0869361836803604</v>
      </c>
      <c r="F32" s="2">
        <v>12.776</v>
      </c>
      <c r="G32" s="2">
        <v>89.089368882057698</v>
      </c>
      <c r="H32" s="11" t="s">
        <v>27</v>
      </c>
      <c r="J32" s="2">
        <v>30</v>
      </c>
      <c r="K32" s="2">
        <v>0.92500000000000004</v>
      </c>
      <c r="L32" s="2">
        <v>39.998509498073098</v>
      </c>
      <c r="M32" s="2">
        <v>4.0518289972492303</v>
      </c>
      <c r="N32" s="2">
        <v>12.3472112190553</v>
      </c>
      <c r="O32" s="2" t="s">
        <v>16</v>
      </c>
    </row>
    <row r="33" spans="2:18" ht="14.25" customHeight="1" x14ac:dyDescent="0.3">
      <c r="B33" s="2">
        <v>31</v>
      </c>
      <c r="C33" s="5">
        <v>0.9</v>
      </c>
      <c r="D33" s="15">
        <v>-1.2636557967820201E-4</v>
      </c>
      <c r="E33" s="2">
        <v>3.2325125126454899</v>
      </c>
      <c r="F33" s="2">
        <v>13.23</v>
      </c>
      <c r="G33" s="2">
        <v>87.534659549367404</v>
      </c>
      <c r="H33" s="5" t="s">
        <v>6</v>
      </c>
      <c r="J33" s="2">
        <v>31</v>
      </c>
      <c r="K33" s="2">
        <v>0.92500000000000004</v>
      </c>
      <c r="L33" s="2">
        <v>-8.7517879652849496E-4</v>
      </c>
      <c r="M33" s="2">
        <v>19.840004681968701</v>
      </c>
      <c r="N33" s="2">
        <v>60.298065963806202</v>
      </c>
      <c r="O33" s="2" t="s">
        <v>17</v>
      </c>
      <c r="R33" s="15"/>
    </row>
    <row r="34" spans="2:18" ht="14.25" customHeight="1" x14ac:dyDescent="0.3">
      <c r="B34" s="2">
        <v>32</v>
      </c>
      <c r="C34" s="2">
        <v>0.9</v>
      </c>
      <c r="D34" s="2">
        <v>39.170279453847101</v>
      </c>
      <c r="E34" s="2">
        <v>0.158459550772892</v>
      </c>
      <c r="F34" s="2">
        <v>8.7439999999999998</v>
      </c>
      <c r="G34" s="2">
        <v>19.934266775072299</v>
      </c>
      <c r="H34" s="2" t="s">
        <v>16</v>
      </c>
      <c r="J34" s="2">
        <v>32</v>
      </c>
      <c r="K34" s="11">
        <v>0.92500000000000004</v>
      </c>
      <c r="L34" s="2">
        <v>-20.899642056499399</v>
      </c>
      <c r="M34" s="2">
        <v>19.056332817324702</v>
      </c>
      <c r="N34" s="2">
        <v>56.399024350627698</v>
      </c>
      <c r="O34" s="2" t="s">
        <v>18</v>
      </c>
    </row>
    <row r="35" spans="2:18" ht="14.25" customHeight="1" x14ac:dyDescent="0.3">
      <c r="B35" s="2">
        <v>33</v>
      </c>
      <c r="C35" s="2">
        <v>0.9</v>
      </c>
      <c r="D35" s="2">
        <v>-8.0943842470514204E-4</v>
      </c>
      <c r="E35" s="2">
        <v>2.9461863021829799</v>
      </c>
      <c r="F35" s="2">
        <v>14.048</v>
      </c>
      <c r="G35" s="2">
        <v>87.908106613083106</v>
      </c>
      <c r="H35" s="2" t="s">
        <v>17</v>
      </c>
      <c r="J35" s="2">
        <v>33</v>
      </c>
      <c r="K35" s="5">
        <v>0.95</v>
      </c>
      <c r="L35" s="2">
        <v>-2.7401949996833601E-5</v>
      </c>
      <c r="M35" s="15">
        <v>19.906672989233702</v>
      </c>
      <c r="N35" s="2">
        <v>61.031553776574697</v>
      </c>
      <c r="O35" s="5" t="s">
        <v>6</v>
      </c>
    </row>
    <row r="36" spans="2:18" ht="14.25" customHeight="1" x14ac:dyDescent="0.3">
      <c r="B36" s="2">
        <v>34</v>
      </c>
      <c r="C36" s="2">
        <v>0.9</v>
      </c>
      <c r="D36" s="2">
        <v>-19.343078862233899</v>
      </c>
      <c r="E36" s="2">
        <v>0.18446066421747201</v>
      </c>
      <c r="F36" s="2">
        <v>18.236000000000001</v>
      </c>
      <c r="G36" s="2">
        <v>60.768592546053902</v>
      </c>
      <c r="H36" s="2" t="s">
        <v>18</v>
      </c>
      <c r="J36" s="2">
        <v>34</v>
      </c>
      <c r="K36" s="2">
        <v>0.95</v>
      </c>
      <c r="L36" s="2">
        <v>39.999181452200602</v>
      </c>
      <c r="M36" s="2">
        <v>4.0518661569688703</v>
      </c>
      <c r="N36" s="2">
        <v>14.019770472596599</v>
      </c>
      <c r="O36" s="2" t="s">
        <v>16</v>
      </c>
    </row>
    <row r="37" spans="2:18" ht="14.25" customHeight="1" x14ac:dyDescent="0.3">
      <c r="B37" s="2">
        <v>35</v>
      </c>
      <c r="C37" s="11">
        <v>0.9</v>
      </c>
      <c r="D37" s="15">
        <v>-1.2636557967820201E-4</v>
      </c>
      <c r="E37" s="2">
        <v>3.2325125126454899</v>
      </c>
      <c r="F37" s="2">
        <v>13.23</v>
      </c>
      <c r="G37" s="2">
        <v>87.534659549367404</v>
      </c>
      <c r="H37" s="11" t="s">
        <v>27</v>
      </c>
      <c r="J37" s="2">
        <v>35</v>
      </c>
      <c r="K37" s="2">
        <v>0.95</v>
      </c>
      <c r="L37" s="2">
        <v>-2.3444878036994301E-4</v>
      </c>
      <c r="M37" s="2">
        <v>21.1944244589261</v>
      </c>
      <c r="N37" s="2">
        <v>58.944897106497102</v>
      </c>
      <c r="O37" s="2" t="s">
        <v>17</v>
      </c>
      <c r="R37" s="15"/>
    </row>
    <row r="38" spans="2:18" ht="14.25" customHeight="1" x14ac:dyDescent="0.3">
      <c r="B38" s="2">
        <v>36</v>
      </c>
      <c r="C38" s="5">
        <v>0.92500000000000004</v>
      </c>
      <c r="D38" s="2">
        <v>-1.26365579761505E-4</v>
      </c>
      <c r="E38" s="2">
        <v>3.23251247129912</v>
      </c>
      <c r="F38" s="2">
        <v>13.23</v>
      </c>
      <c r="G38" s="2">
        <v>87.534659417993893</v>
      </c>
      <c r="H38" s="5" t="s">
        <v>6</v>
      </c>
      <c r="J38" s="2">
        <v>36</v>
      </c>
      <c r="K38" s="11">
        <v>0.95</v>
      </c>
      <c r="L38" s="2">
        <v>-20.8992954973426</v>
      </c>
      <c r="M38" s="2">
        <v>19.056317185145598</v>
      </c>
      <c r="N38" s="2">
        <v>57.480675267608198</v>
      </c>
      <c r="O38" s="2" t="s">
        <v>18</v>
      </c>
      <c r="R38" s="15"/>
    </row>
    <row r="39" spans="2:18" ht="14.25" customHeight="1" x14ac:dyDescent="0.3">
      <c r="B39" s="2">
        <v>37</v>
      </c>
      <c r="C39" s="2">
        <v>0.92500000000000004</v>
      </c>
      <c r="D39" s="2">
        <v>39.170166038562002</v>
      </c>
      <c r="E39" s="2">
        <v>0.16142089296201301</v>
      </c>
      <c r="F39" s="2">
        <v>8.7390000000000008</v>
      </c>
      <c r="G39" s="2">
        <v>19.9346398772703</v>
      </c>
      <c r="H39" s="2" t="s">
        <v>16</v>
      </c>
      <c r="J39" s="2">
        <v>37</v>
      </c>
      <c r="K39" s="5">
        <v>0.97499999999999998</v>
      </c>
      <c r="L39" s="2">
        <v>-2.7401949940980499E-5</v>
      </c>
      <c r="M39" s="15">
        <v>19.9066731910413</v>
      </c>
      <c r="N39" s="2">
        <v>61.031556672757603</v>
      </c>
      <c r="O39" s="5" t="s">
        <v>6</v>
      </c>
    </row>
    <row r="40" spans="2:18" ht="14.25" customHeight="1" x14ac:dyDescent="0.3">
      <c r="B40" s="2">
        <v>38</v>
      </c>
      <c r="C40" s="2">
        <v>0.92500000000000004</v>
      </c>
      <c r="D40" s="2">
        <v>-8.0943842544695295E-4</v>
      </c>
      <c r="E40" s="2">
        <v>2.9461863453016202</v>
      </c>
      <c r="F40" s="2">
        <v>14.048</v>
      </c>
      <c r="G40" s="2">
        <v>87.908107051534401</v>
      </c>
      <c r="H40" s="2" t="s">
        <v>17</v>
      </c>
      <c r="J40" s="2">
        <v>38</v>
      </c>
      <c r="K40" s="2">
        <v>0.97499999999999998</v>
      </c>
      <c r="L40" s="2">
        <v>39.999181452240599</v>
      </c>
      <c r="M40" s="2">
        <v>4.0518661569899903</v>
      </c>
      <c r="N40" s="2">
        <v>14.019770472619999</v>
      </c>
      <c r="O40" s="2" t="s">
        <v>16</v>
      </c>
    </row>
    <row r="41" spans="2:18" ht="14.25" customHeight="1" x14ac:dyDescent="0.3">
      <c r="B41" s="2">
        <v>39</v>
      </c>
      <c r="C41" s="2">
        <v>0.92500000000000004</v>
      </c>
      <c r="D41" s="2">
        <v>-19.343078862073099</v>
      </c>
      <c r="E41" s="2">
        <v>0.18446066389590199</v>
      </c>
      <c r="F41" s="2">
        <v>18.236000000000001</v>
      </c>
      <c r="G41" s="2">
        <v>60.768592545567003</v>
      </c>
      <c r="H41" s="2" t="s">
        <v>18</v>
      </c>
      <c r="J41" s="2">
        <v>39</v>
      </c>
      <c r="K41" s="2">
        <v>0.97499999999999998</v>
      </c>
      <c r="L41" s="2">
        <v>-2.3444878493122801E-4</v>
      </c>
      <c r="M41" s="2">
        <v>21.194424219353401</v>
      </c>
      <c r="N41" s="2">
        <v>58.944897145939102</v>
      </c>
      <c r="O41" s="2" t="s">
        <v>17</v>
      </c>
    </row>
    <row r="42" spans="2:18" ht="14.25" customHeight="1" x14ac:dyDescent="0.3">
      <c r="B42" s="2">
        <v>40</v>
      </c>
      <c r="C42" s="11">
        <v>0.92500000000000004</v>
      </c>
      <c r="D42" s="2">
        <v>-1.26365579761505E-4</v>
      </c>
      <c r="E42" s="2">
        <v>3.23251247129912</v>
      </c>
      <c r="F42" s="2">
        <v>13.23</v>
      </c>
      <c r="G42" s="2">
        <v>87.534659417993893</v>
      </c>
      <c r="H42" s="11" t="s">
        <v>27</v>
      </c>
      <c r="J42" s="2">
        <v>40</v>
      </c>
      <c r="K42" s="11">
        <v>0.97499999999999998</v>
      </c>
      <c r="L42" s="2">
        <v>-20.8992954973588</v>
      </c>
      <c r="M42" s="2">
        <v>19.056317185323699</v>
      </c>
      <c r="N42" s="2">
        <v>57.4806752681015</v>
      </c>
      <c r="O42" s="2" t="s">
        <v>18</v>
      </c>
    </row>
    <row r="43" spans="2:18" ht="14.25" customHeight="1" x14ac:dyDescent="0.3">
      <c r="B43" s="2">
        <v>41</v>
      </c>
      <c r="C43" s="5">
        <v>0.95</v>
      </c>
      <c r="D43" s="15">
        <v>-2.5421931829028699E-5</v>
      </c>
      <c r="E43" s="2">
        <v>4.0869364652734603</v>
      </c>
      <c r="F43" s="2">
        <v>12.776</v>
      </c>
      <c r="G43" s="2">
        <v>89.087015857240502</v>
      </c>
      <c r="H43" s="5" t="s">
        <v>6</v>
      </c>
      <c r="J43" s="2">
        <v>41</v>
      </c>
      <c r="K43" s="5">
        <v>1</v>
      </c>
      <c r="L43" s="2">
        <v>-4.6165486261290398E-5</v>
      </c>
      <c r="M43" s="15">
        <v>19.641732902311499</v>
      </c>
      <c r="N43" s="2">
        <v>60.380539657076298</v>
      </c>
      <c r="O43" s="5" t="s">
        <v>6</v>
      </c>
    </row>
    <row r="44" spans="2:18" ht="14.25" customHeight="1" x14ac:dyDescent="0.3">
      <c r="B44" s="2">
        <v>42</v>
      </c>
      <c r="C44" s="2">
        <v>0.95</v>
      </c>
      <c r="D44" s="2">
        <v>39.171071626328001</v>
      </c>
      <c r="E44" s="2">
        <v>0.158757286060424</v>
      </c>
      <c r="F44" s="2">
        <v>8.7439999999999998</v>
      </c>
      <c r="G44" s="2">
        <v>21.460944183431501</v>
      </c>
      <c r="H44" s="2" t="s">
        <v>16</v>
      </c>
      <c r="J44" s="2">
        <v>42</v>
      </c>
      <c r="K44" s="2">
        <v>1</v>
      </c>
      <c r="L44" s="2">
        <v>39.9990787972189</v>
      </c>
      <c r="M44" s="2">
        <v>4.0518603456044699</v>
      </c>
      <c r="N44" s="2">
        <v>12.347644919706999</v>
      </c>
      <c r="O44" s="2" t="s">
        <v>16</v>
      </c>
    </row>
    <row r="45" spans="2:18" ht="14.25" customHeight="1" x14ac:dyDescent="0.3">
      <c r="B45" s="2">
        <v>43</v>
      </c>
      <c r="C45" s="2">
        <v>0.95</v>
      </c>
      <c r="D45" s="2">
        <v>-2.1427203962440599E-4</v>
      </c>
      <c r="E45" s="2">
        <v>2.3903125192319998</v>
      </c>
      <c r="F45" s="2">
        <v>15.124000000000001</v>
      </c>
      <c r="G45" s="2">
        <v>89.860938023070105</v>
      </c>
      <c r="H45" s="2" t="s">
        <v>17</v>
      </c>
      <c r="J45" s="2">
        <v>43</v>
      </c>
      <c r="K45" s="2">
        <v>1</v>
      </c>
      <c r="L45" s="2">
        <v>-3.6525392068603198E-4</v>
      </c>
      <c r="M45" s="2">
        <v>20.7544781976728</v>
      </c>
      <c r="N45" s="2">
        <v>58.678896612226303</v>
      </c>
      <c r="O45" s="2" t="s">
        <v>17</v>
      </c>
      <c r="R45" s="15"/>
    </row>
    <row r="46" spans="2:18" ht="14.25" customHeight="1" x14ac:dyDescent="0.3">
      <c r="B46" s="2">
        <v>44</v>
      </c>
      <c r="C46" s="2">
        <v>0.95</v>
      </c>
      <c r="D46" s="2">
        <v>-19.342760081860099</v>
      </c>
      <c r="E46" s="2">
        <v>0.18509571297810401</v>
      </c>
      <c r="F46" s="2">
        <v>18.234000000000002</v>
      </c>
      <c r="G46" s="2">
        <v>61.741787363032302</v>
      </c>
      <c r="H46" s="2" t="s">
        <v>18</v>
      </c>
      <c r="J46" s="2">
        <v>44</v>
      </c>
      <c r="K46" s="11">
        <v>1</v>
      </c>
      <c r="L46" s="2">
        <v>-20.899356229306601</v>
      </c>
      <c r="M46" s="2">
        <v>19.056319936797699</v>
      </c>
      <c r="N46" s="2">
        <v>56.398969869681103</v>
      </c>
      <c r="O46" s="2" t="s">
        <v>18</v>
      </c>
    </row>
    <row r="47" spans="2:18" ht="14.25" customHeight="1" x14ac:dyDescent="0.3">
      <c r="B47" s="2">
        <v>45</v>
      </c>
      <c r="C47" s="11">
        <v>0.95</v>
      </c>
      <c r="D47" s="15">
        <v>-2.5420508357010401E-5</v>
      </c>
      <c r="E47" s="2">
        <v>4.0869364653820401</v>
      </c>
      <c r="F47" s="2">
        <v>12.776</v>
      </c>
      <c r="G47" s="2">
        <v>89.0893678435759</v>
      </c>
      <c r="H47" s="11" t="s">
        <v>27</v>
      </c>
      <c r="J47" s="2">
        <v>45</v>
      </c>
      <c r="K47" s="5">
        <v>1.0249999999999999</v>
      </c>
      <c r="L47" s="2">
        <v>-1.3554949959794599E-4</v>
      </c>
      <c r="M47" s="15">
        <v>18.852934540003901</v>
      </c>
      <c r="N47" s="2">
        <v>61.347386428945697</v>
      </c>
      <c r="O47" s="5" t="s">
        <v>6</v>
      </c>
    </row>
    <row r="48" spans="2:18" ht="14.25" customHeight="1" x14ac:dyDescent="0.3">
      <c r="B48" s="2">
        <v>46</v>
      </c>
      <c r="C48" s="5">
        <v>0.97499999999999998</v>
      </c>
      <c r="D48" s="15">
        <v>-2.5421931726905799E-5</v>
      </c>
      <c r="E48" s="2">
        <v>4.0869367426806296</v>
      </c>
      <c r="F48" s="2">
        <v>12.776</v>
      </c>
      <c r="G48" s="2">
        <v>89.087019136108907</v>
      </c>
      <c r="H48" s="5" t="s">
        <v>6</v>
      </c>
      <c r="J48" s="2">
        <v>46</v>
      </c>
      <c r="K48" s="2">
        <v>1.0249999999999999</v>
      </c>
      <c r="L48" s="2">
        <v>39.998509498199802</v>
      </c>
      <c r="M48" s="2">
        <v>4.0518289972755497</v>
      </c>
      <c r="N48" s="2">
        <v>12.347211219</v>
      </c>
      <c r="O48" s="2" t="s">
        <v>16</v>
      </c>
    </row>
    <row r="49" spans="2:18" ht="14.25" customHeight="1" x14ac:dyDescent="0.3">
      <c r="B49" s="2">
        <v>47</v>
      </c>
      <c r="C49" s="2">
        <v>0.97499999999999998</v>
      </c>
      <c r="D49" s="2">
        <v>39.171095860635603</v>
      </c>
      <c r="E49" s="2">
        <v>0.15941291987589501</v>
      </c>
      <c r="F49" s="2">
        <v>8.7430000000000003</v>
      </c>
      <c r="G49" s="2">
        <v>21.4607267823434</v>
      </c>
      <c r="H49" s="2" t="s">
        <v>16</v>
      </c>
      <c r="J49" s="2">
        <v>47</v>
      </c>
      <c r="K49" s="2">
        <v>1.0249999999999999</v>
      </c>
      <c r="L49" s="2">
        <v>-8.7517879646201104E-4</v>
      </c>
      <c r="M49" s="2">
        <v>19.840004176746501</v>
      </c>
      <c r="N49" s="2">
        <v>60.298066019594501</v>
      </c>
      <c r="O49" s="2" t="s">
        <v>17</v>
      </c>
    </row>
    <row r="50" spans="2:18" ht="14.25" customHeight="1" x14ac:dyDescent="0.3">
      <c r="B50" s="2">
        <v>48</v>
      </c>
      <c r="C50" s="2">
        <v>0.97499999999999998</v>
      </c>
      <c r="D50" s="2">
        <v>-2.1427204419937099E-4</v>
      </c>
      <c r="E50" s="2">
        <v>2.3903124601160002</v>
      </c>
      <c r="F50" s="2">
        <v>15.124000000000001</v>
      </c>
      <c r="G50" s="2">
        <v>89.860937707916307</v>
      </c>
      <c r="H50" s="2" t="s">
        <v>17</v>
      </c>
      <c r="J50" s="2">
        <v>48</v>
      </c>
      <c r="K50" s="11">
        <v>1.0249999999999999</v>
      </c>
      <c r="L50" s="2">
        <v>-20.899642056534201</v>
      </c>
      <c r="M50" s="2">
        <v>19.056332817524801</v>
      </c>
      <c r="N50" s="2">
        <v>56.399024350754502</v>
      </c>
      <c r="O50" s="2" t="s">
        <v>18</v>
      </c>
      <c r="R50" s="15"/>
    </row>
    <row r="51" spans="2:18" ht="14.25" customHeight="1" x14ac:dyDescent="0.3">
      <c r="B51" s="2">
        <v>49</v>
      </c>
      <c r="C51" s="2">
        <v>0.97499999999999998</v>
      </c>
      <c r="D51" s="2">
        <v>-19.3427600819217</v>
      </c>
      <c r="E51" s="2">
        <v>0.18509570490506499</v>
      </c>
      <c r="F51" s="2">
        <v>18.234000000000002</v>
      </c>
      <c r="G51" s="2">
        <v>61.741787364047703</v>
      </c>
      <c r="H51" s="2" t="s">
        <v>18</v>
      </c>
      <c r="J51" s="2">
        <v>49</v>
      </c>
      <c r="K51" s="5">
        <v>1.05</v>
      </c>
      <c r="L51" s="2">
        <v>-1.35549499676589E-4</v>
      </c>
      <c r="M51" s="15">
        <v>18.8529346305221</v>
      </c>
      <c r="N51" s="2">
        <v>61.347386611118303</v>
      </c>
      <c r="O51" s="5" t="s">
        <v>6</v>
      </c>
    </row>
    <row r="52" spans="2:18" ht="14.25" customHeight="1" x14ac:dyDescent="0.3">
      <c r="B52" s="2">
        <v>50</v>
      </c>
      <c r="C52" s="11">
        <v>0.97499999999999998</v>
      </c>
      <c r="D52" s="15">
        <v>-2.5420508256302199E-5</v>
      </c>
      <c r="E52" s="2">
        <v>4.0869367492973403</v>
      </c>
      <c r="F52" s="2">
        <v>12.776</v>
      </c>
      <c r="G52" s="2">
        <v>89.089371123974999</v>
      </c>
      <c r="H52" s="11" t="s">
        <v>27</v>
      </c>
      <c r="J52" s="2">
        <v>50</v>
      </c>
      <c r="K52" s="2">
        <v>1.05</v>
      </c>
      <c r="L52" s="2">
        <v>39.998509498096901</v>
      </c>
      <c r="M52" s="2">
        <v>4.0518289972488697</v>
      </c>
      <c r="N52" s="2">
        <v>12.347211219065301</v>
      </c>
      <c r="O52" s="2" t="s">
        <v>16</v>
      </c>
    </row>
    <row r="53" spans="2:18" ht="14.25" customHeight="1" x14ac:dyDescent="0.3">
      <c r="B53" s="2">
        <v>51</v>
      </c>
      <c r="C53" s="5">
        <v>1</v>
      </c>
      <c r="D53" s="15">
        <v>-4.2758023160041599E-5</v>
      </c>
      <c r="E53" s="2">
        <v>2.8844933638037999</v>
      </c>
      <c r="F53" s="2">
        <v>14.037000000000001</v>
      </c>
      <c r="G53" s="2">
        <v>87.437525360094895</v>
      </c>
      <c r="H53" s="5" t="s">
        <v>6</v>
      </c>
      <c r="J53" s="2">
        <v>51</v>
      </c>
      <c r="K53" s="2">
        <v>1.05</v>
      </c>
      <c r="L53" s="2">
        <v>-8.7517879713994195E-4</v>
      </c>
      <c r="M53" s="2">
        <v>19.840004653743801</v>
      </c>
      <c r="N53" s="2">
        <v>60.298066219122099</v>
      </c>
      <c r="O53" s="2" t="s">
        <v>17</v>
      </c>
    </row>
    <row r="54" spans="2:18" ht="14.25" customHeight="1" x14ac:dyDescent="0.3">
      <c r="B54" s="2">
        <v>52</v>
      </c>
      <c r="C54" s="2">
        <v>1</v>
      </c>
      <c r="D54" s="2">
        <v>39.170960575930401</v>
      </c>
      <c r="E54" s="2">
        <v>0.158094537076687</v>
      </c>
      <c r="F54" s="2">
        <v>8.7449999999999992</v>
      </c>
      <c r="G54" s="2">
        <v>19.933744608928802</v>
      </c>
      <c r="H54" s="2" t="s">
        <v>16</v>
      </c>
      <c r="J54" s="2">
        <v>52</v>
      </c>
      <c r="K54" s="11">
        <v>1.05</v>
      </c>
      <c r="L54" s="2">
        <v>-20.899642056514999</v>
      </c>
      <c r="M54" s="2">
        <v>19.056332817424298</v>
      </c>
      <c r="N54" s="2">
        <v>56.399024350743403</v>
      </c>
      <c r="O54" s="2" t="s">
        <v>18</v>
      </c>
      <c r="R54" s="15"/>
    </row>
    <row r="55" spans="2:18" ht="14.25" customHeight="1" x14ac:dyDescent="0.3">
      <c r="B55" s="2">
        <v>53</v>
      </c>
      <c r="C55" s="2">
        <v>1</v>
      </c>
      <c r="D55" s="2">
        <v>-3.3497364686364302E-4</v>
      </c>
      <c r="E55" s="2">
        <v>2.3904763470898498</v>
      </c>
      <c r="F55" s="2">
        <v>15.015000000000001</v>
      </c>
      <c r="G55" s="2">
        <v>88.170248786608397</v>
      </c>
      <c r="H55" s="2" t="s">
        <v>17</v>
      </c>
      <c r="J55" s="2">
        <v>53</v>
      </c>
      <c r="K55" s="5">
        <v>1.075</v>
      </c>
      <c r="L55" s="2">
        <v>-1.3554949952661801E-4</v>
      </c>
      <c r="M55" s="15">
        <v>18.8529344628896</v>
      </c>
      <c r="N55" s="2">
        <v>61.347386469997701</v>
      </c>
      <c r="O55" s="5" t="s">
        <v>6</v>
      </c>
    </row>
    <row r="56" spans="2:18" ht="14.25" customHeight="1" x14ac:dyDescent="0.3">
      <c r="B56" s="2">
        <v>54</v>
      </c>
      <c r="C56" s="2">
        <v>1</v>
      </c>
      <c r="D56" s="2">
        <v>-19.342815950295002</v>
      </c>
      <c r="E56" s="2">
        <v>0.18496195619818701</v>
      </c>
      <c r="F56" s="2">
        <v>18.234000000000002</v>
      </c>
      <c r="G56" s="2">
        <v>60.768494684446502</v>
      </c>
      <c r="H56" s="2" t="s">
        <v>18</v>
      </c>
      <c r="J56" s="2">
        <v>54</v>
      </c>
      <c r="K56" s="2">
        <v>1.075</v>
      </c>
      <c r="L56" s="2">
        <v>39.998509497775302</v>
      </c>
      <c r="M56" s="2">
        <v>4.0518289972312402</v>
      </c>
      <c r="N56" s="2">
        <v>12.3472112190865</v>
      </c>
      <c r="O56" s="2" t="s">
        <v>16</v>
      </c>
    </row>
    <row r="57" spans="2:18" ht="14.25" customHeight="1" x14ac:dyDescent="0.3">
      <c r="B57" s="2">
        <v>55</v>
      </c>
      <c r="C57" s="11">
        <v>1</v>
      </c>
      <c r="D57" s="15">
        <v>-4.2758023160041599E-5</v>
      </c>
      <c r="E57" s="2">
        <v>2.8844933638037999</v>
      </c>
      <c r="F57" s="2">
        <v>14.037000000000001</v>
      </c>
      <c r="G57" s="2">
        <v>87.437525360094895</v>
      </c>
      <c r="H57" s="11" t="s">
        <v>27</v>
      </c>
      <c r="J57" s="2">
        <v>55</v>
      </c>
      <c r="K57" s="2">
        <v>1.075</v>
      </c>
      <c r="L57" s="2">
        <v>-8.7517879501101601E-4</v>
      </c>
      <c r="M57" s="2">
        <v>19.840004621159402</v>
      </c>
      <c r="N57" s="2">
        <v>60.298065813528503</v>
      </c>
      <c r="O57" s="2" t="s">
        <v>17</v>
      </c>
      <c r="R57" s="15"/>
    </row>
    <row r="58" spans="2:18" ht="14.25" customHeight="1" x14ac:dyDescent="0.3">
      <c r="B58" s="2">
        <v>56</v>
      </c>
      <c r="C58" s="5">
        <v>1.0249999999999999</v>
      </c>
      <c r="D58" s="2">
        <v>-1.2636557967820201E-4</v>
      </c>
      <c r="E58" s="2">
        <v>3.2325125126454899</v>
      </c>
      <c r="F58" s="2">
        <v>13.23</v>
      </c>
      <c r="G58" s="2">
        <v>87.534659549367404</v>
      </c>
      <c r="H58" s="5" t="s">
        <v>6</v>
      </c>
      <c r="J58" s="2">
        <v>56</v>
      </c>
      <c r="K58" s="11">
        <v>1.075</v>
      </c>
      <c r="L58" s="2">
        <v>-20.899642056528499</v>
      </c>
      <c r="M58" s="2">
        <v>19.056332817323302</v>
      </c>
      <c r="N58" s="2">
        <v>56.399024350729597</v>
      </c>
      <c r="O58" s="2" t="s">
        <v>18</v>
      </c>
      <c r="R58" s="15"/>
    </row>
    <row r="59" spans="2:18" ht="14.25" customHeight="1" x14ac:dyDescent="0.3">
      <c r="B59" s="2">
        <v>57</v>
      </c>
      <c r="C59" s="2">
        <v>1.0249999999999999</v>
      </c>
      <c r="D59" s="2">
        <v>39.170289497899901</v>
      </c>
      <c r="E59" s="2">
        <v>0.15874152784547699</v>
      </c>
      <c r="F59" s="2">
        <v>8.7430000000000003</v>
      </c>
      <c r="G59" s="2">
        <v>19.936005510098902</v>
      </c>
      <c r="H59" s="2" t="s">
        <v>16</v>
      </c>
      <c r="J59" s="2">
        <v>57</v>
      </c>
      <c r="K59" s="5">
        <v>1.1000000000000001</v>
      </c>
      <c r="L59" s="2">
        <v>-4.6165486146529502E-5</v>
      </c>
      <c r="M59" s="15">
        <v>19.641732563992701</v>
      </c>
      <c r="N59" s="2">
        <v>60.380539426948197</v>
      </c>
      <c r="O59" s="5" t="s">
        <v>6</v>
      </c>
    </row>
    <row r="60" spans="2:18" ht="14.25" customHeight="1" x14ac:dyDescent="0.3">
      <c r="B60" s="2">
        <v>58</v>
      </c>
      <c r="C60" s="2">
        <v>1.0249999999999999</v>
      </c>
      <c r="D60" s="2">
        <v>-8.0943843026616395E-4</v>
      </c>
      <c r="E60" s="2">
        <v>2.9461863434113398</v>
      </c>
      <c r="F60" s="2">
        <v>14.048</v>
      </c>
      <c r="G60" s="2">
        <v>87.908106671285097</v>
      </c>
      <c r="H60" s="2" t="s">
        <v>17</v>
      </c>
      <c r="J60" s="2">
        <v>58</v>
      </c>
      <c r="K60" s="2">
        <v>1.1000000000000001</v>
      </c>
      <c r="L60" s="2">
        <v>39.999078797386296</v>
      </c>
      <c r="M60" s="2">
        <v>4.0518603455787998</v>
      </c>
      <c r="N60" s="2">
        <v>12.3476449197421</v>
      </c>
      <c r="O60" s="2" t="s">
        <v>16</v>
      </c>
    </row>
    <row r="61" spans="2:18" ht="14.25" customHeight="1" x14ac:dyDescent="0.3">
      <c r="B61" s="2">
        <v>59</v>
      </c>
      <c r="C61" s="2">
        <v>1.0249999999999999</v>
      </c>
      <c r="D61" s="2">
        <v>-19.343078862071099</v>
      </c>
      <c r="E61" s="2">
        <v>0.18446066175675899</v>
      </c>
      <c r="F61" s="2">
        <v>18.236000000000001</v>
      </c>
      <c r="G61" s="2">
        <v>60.768592546877699</v>
      </c>
      <c r="H61" s="2" t="s">
        <v>18</v>
      </c>
      <c r="J61" s="2">
        <v>59</v>
      </c>
      <c r="K61" s="2">
        <v>1.1000000000000001</v>
      </c>
      <c r="L61" s="2">
        <v>-3.65253919013277E-4</v>
      </c>
      <c r="M61" s="2">
        <v>20.754477993429401</v>
      </c>
      <c r="N61" s="2">
        <v>58.678896642520399</v>
      </c>
      <c r="O61" s="2" t="s">
        <v>17</v>
      </c>
      <c r="R61" s="15"/>
    </row>
    <row r="62" spans="2:18" ht="14.25" customHeight="1" x14ac:dyDescent="0.3">
      <c r="B62" s="2">
        <v>60</v>
      </c>
      <c r="C62" s="11">
        <v>1.0249999999999999</v>
      </c>
      <c r="D62" s="2">
        <v>-1.2636557967820201E-4</v>
      </c>
      <c r="E62" s="2">
        <v>3.2325125126454899</v>
      </c>
      <c r="F62" s="2">
        <v>13.23</v>
      </c>
      <c r="G62" s="2">
        <v>87.534659549367404</v>
      </c>
      <c r="H62" s="11" t="s">
        <v>27</v>
      </c>
      <c r="J62" s="2">
        <v>60</v>
      </c>
      <c r="K62" s="11">
        <v>1.1000000000000001</v>
      </c>
      <c r="L62" s="2">
        <v>-20.899356229266999</v>
      </c>
      <c r="M62" s="2">
        <v>19.056319936497101</v>
      </c>
      <c r="N62" s="2">
        <v>56.398969869184903</v>
      </c>
      <c r="O62" s="2" t="s">
        <v>18</v>
      </c>
    </row>
    <row r="63" spans="2:18" ht="14.25" customHeight="1" x14ac:dyDescent="0.3">
      <c r="B63" s="2">
        <v>61</v>
      </c>
      <c r="C63" s="5">
        <v>1.05</v>
      </c>
      <c r="D63" s="15">
        <v>-1.2636557958423201E-4</v>
      </c>
      <c r="E63" s="2">
        <v>3.2325125067442002</v>
      </c>
      <c r="F63" s="2">
        <v>13.23</v>
      </c>
      <c r="G63" s="2">
        <v>87.534659531091194</v>
      </c>
      <c r="H63" s="5" t="s">
        <v>6</v>
      </c>
      <c r="J63" s="2">
        <v>61</v>
      </c>
      <c r="K63" s="5">
        <v>1.125</v>
      </c>
      <c r="L63" s="2">
        <v>-1.3554949954726201E-4</v>
      </c>
      <c r="M63" s="2">
        <v>18.852934585035399</v>
      </c>
      <c r="N63" s="2">
        <v>61.347386538547703</v>
      </c>
      <c r="O63" s="5" t="s">
        <v>6</v>
      </c>
    </row>
    <row r="64" spans="2:18" ht="14.25" customHeight="1" x14ac:dyDescent="0.3">
      <c r="B64" s="2">
        <v>62</v>
      </c>
      <c r="C64" s="2">
        <v>1.05</v>
      </c>
      <c r="D64" s="2">
        <v>39.170301695613702</v>
      </c>
      <c r="E64" s="2">
        <v>0.159071710241561</v>
      </c>
      <c r="F64" s="2">
        <v>8.7430000000000003</v>
      </c>
      <c r="G64" s="2">
        <v>19.9342683689948</v>
      </c>
      <c r="H64" s="2" t="s">
        <v>16</v>
      </c>
      <c r="J64" s="2">
        <v>62</v>
      </c>
      <c r="K64" s="2">
        <v>1.125</v>
      </c>
      <c r="L64" s="2">
        <v>39.998509498191098</v>
      </c>
      <c r="M64" s="2">
        <v>4.0518289972009498</v>
      </c>
      <c r="N64" s="2">
        <v>12.347211219043899</v>
      </c>
      <c r="O64" s="2" t="s">
        <v>16</v>
      </c>
    </row>
    <row r="65" spans="2:18" ht="14.25" customHeight="1" x14ac:dyDescent="0.3">
      <c r="B65" s="2">
        <v>63</v>
      </c>
      <c r="C65" s="2">
        <v>1.05</v>
      </c>
      <c r="D65" s="2">
        <v>-8.0943842615662203E-4</v>
      </c>
      <c r="E65" s="2">
        <v>2.9461863743820702</v>
      </c>
      <c r="F65" s="2">
        <v>14.048</v>
      </c>
      <c r="G65" s="2">
        <v>87.908106587649499</v>
      </c>
      <c r="H65" s="2" t="s">
        <v>17</v>
      </c>
      <c r="J65" s="2">
        <v>63</v>
      </c>
      <c r="K65" s="2">
        <v>1.125</v>
      </c>
      <c r="L65" s="2">
        <v>-8.7517879442940497E-4</v>
      </c>
      <c r="M65" s="2">
        <v>19.840004518513101</v>
      </c>
      <c r="N65" s="2">
        <v>60.298066116141896</v>
      </c>
      <c r="O65" s="2" t="s">
        <v>17</v>
      </c>
      <c r="R65" s="15"/>
    </row>
    <row r="66" spans="2:18" ht="14.25" customHeight="1" x14ac:dyDescent="0.3">
      <c r="B66" s="2">
        <v>64</v>
      </c>
      <c r="C66" s="2">
        <v>1.05</v>
      </c>
      <c r="D66" s="2">
        <v>-19.343078862321899</v>
      </c>
      <c r="E66" s="2">
        <v>0.184460661077683</v>
      </c>
      <c r="F66" s="2">
        <v>18.236000000000001</v>
      </c>
      <c r="G66" s="2">
        <v>60.768592546076597</v>
      </c>
      <c r="H66" s="2" t="s">
        <v>18</v>
      </c>
      <c r="J66" s="2">
        <v>64</v>
      </c>
      <c r="K66" s="11">
        <v>1.125</v>
      </c>
      <c r="L66" s="2">
        <v>-20.899642056531601</v>
      </c>
      <c r="M66" s="2">
        <v>19.056332817429801</v>
      </c>
      <c r="N66" s="2">
        <v>56.399024350745599</v>
      </c>
      <c r="O66" s="2" t="s">
        <v>18</v>
      </c>
    </row>
    <row r="67" spans="2:18" ht="14.25" customHeight="1" x14ac:dyDescent="0.3">
      <c r="B67" s="2">
        <v>65</v>
      </c>
      <c r="C67" s="11">
        <v>1.05</v>
      </c>
      <c r="D67" s="15">
        <v>-1.2636557958423201E-4</v>
      </c>
      <c r="E67" s="2">
        <v>3.2325125067442002</v>
      </c>
      <c r="F67" s="2">
        <v>13.23</v>
      </c>
      <c r="G67" s="2">
        <v>87.534659531091194</v>
      </c>
      <c r="H67" s="11" t="s">
        <v>27</v>
      </c>
      <c r="J67" s="2">
        <v>65</v>
      </c>
      <c r="K67" s="5">
        <v>1.1499999999999999</v>
      </c>
      <c r="L67" s="2">
        <v>-4.6165486146733E-5</v>
      </c>
      <c r="M67" s="15">
        <v>19.641732439255399</v>
      </c>
      <c r="N67" s="2">
        <v>60.380539700381597</v>
      </c>
      <c r="O67" s="5" t="s">
        <v>6</v>
      </c>
    </row>
    <row r="68" spans="2:18" ht="14.25" customHeight="1" x14ac:dyDescent="0.3">
      <c r="B68" s="2">
        <v>66</v>
      </c>
      <c r="C68" s="5">
        <v>1.075</v>
      </c>
      <c r="D68" s="2">
        <v>-1.2636557964658E-4</v>
      </c>
      <c r="E68" s="2">
        <v>3.2325124594246</v>
      </c>
      <c r="F68" s="2">
        <v>13.23</v>
      </c>
      <c r="G68" s="2">
        <v>87.534659803299604</v>
      </c>
      <c r="H68" s="5" t="s">
        <v>6</v>
      </c>
      <c r="J68" s="2">
        <v>66</v>
      </c>
      <c r="K68" s="2">
        <v>1.1499999999999999</v>
      </c>
      <c r="L68" s="2">
        <v>39.999078797144499</v>
      </c>
      <c r="M68" s="2">
        <v>4.0518603455970696</v>
      </c>
      <c r="N68" s="2">
        <v>12.3476449197417</v>
      </c>
      <c r="O68" s="2" t="s">
        <v>16</v>
      </c>
    </row>
    <row r="69" spans="2:18" ht="14.25" customHeight="1" x14ac:dyDescent="0.3">
      <c r="B69" s="2">
        <v>67</v>
      </c>
      <c r="C69" s="2">
        <v>1.075</v>
      </c>
      <c r="D69" s="2">
        <v>39.170296158131798</v>
      </c>
      <c r="E69" s="2">
        <v>0.15892760430009001</v>
      </c>
      <c r="F69" s="2">
        <v>8.7430000000000003</v>
      </c>
      <c r="G69" s="2">
        <v>19.935026580501301</v>
      </c>
      <c r="H69" s="2" t="s">
        <v>16</v>
      </c>
      <c r="J69" s="2">
        <v>67</v>
      </c>
      <c r="K69" s="2">
        <v>1.1499999999999999</v>
      </c>
      <c r="L69" s="2">
        <v>-3.6525391918081301E-4</v>
      </c>
      <c r="M69" s="2">
        <v>20.754477552240999</v>
      </c>
      <c r="N69" s="2">
        <v>58.6788965494463</v>
      </c>
      <c r="O69" s="2" t="s">
        <v>17</v>
      </c>
    </row>
    <row r="70" spans="2:18" ht="14.25" customHeight="1" x14ac:dyDescent="0.3">
      <c r="B70" s="2">
        <v>68</v>
      </c>
      <c r="C70" s="2">
        <v>1.075</v>
      </c>
      <c r="D70" s="2">
        <v>-8.0943842476237295E-4</v>
      </c>
      <c r="E70" s="2">
        <v>2.9461863340158598</v>
      </c>
      <c r="F70" s="2">
        <v>14.048</v>
      </c>
      <c r="G70" s="2">
        <v>87.908106953597198</v>
      </c>
      <c r="H70" s="2" t="s">
        <v>17</v>
      </c>
      <c r="J70" s="2">
        <v>68</v>
      </c>
      <c r="K70" s="11">
        <v>1.1499999999999999</v>
      </c>
      <c r="L70" s="2">
        <v>-20.899356229274801</v>
      </c>
      <c r="M70" s="2">
        <v>19.056319936552299</v>
      </c>
      <c r="N70" s="2">
        <v>56.398969869198901</v>
      </c>
      <c r="O70" s="2" t="s">
        <v>18</v>
      </c>
      <c r="R70" s="15"/>
    </row>
    <row r="71" spans="2:18" ht="14.25" customHeight="1" x14ac:dyDescent="0.3">
      <c r="B71" s="2">
        <v>69</v>
      </c>
      <c r="C71" s="2">
        <v>1.075</v>
      </c>
      <c r="D71" s="2">
        <v>-19.343078862283999</v>
      </c>
      <c r="E71" s="2">
        <v>0.18446066155374999</v>
      </c>
      <c r="F71" s="2">
        <v>18.236000000000001</v>
      </c>
      <c r="G71" s="2">
        <v>60.768592545378098</v>
      </c>
      <c r="H71" s="2" t="s">
        <v>18</v>
      </c>
      <c r="J71" s="2">
        <v>69</v>
      </c>
      <c r="K71" s="5">
        <v>1.175</v>
      </c>
      <c r="L71" s="2">
        <v>-1.3554949963323301E-4</v>
      </c>
      <c r="M71" s="15">
        <v>18.8529346020144</v>
      </c>
      <c r="N71" s="2">
        <v>61.347386559793797</v>
      </c>
      <c r="O71" s="5" t="s">
        <v>6</v>
      </c>
    </row>
    <row r="72" spans="2:18" ht="14.25" customHeight="1" x14ac:dyDescent="0.3">
      <c r="B72" s="2">
        <v>70</v>
      </c>
      <c r="C72" s="11">
        <v>1.075</v>
      </c>
      <c r="D72" s="2">
        <v>-1.2636557964658E-4</v>
      </c>
      <c r="E72" s="2">
        <v>3.2325124594246</v>
      </c>
      <c r="F72" s="2">
        <v>13.23</v>
      </c>
      <c r="G72" s="2">
        <v>87.534659803299604</v>
      </c>
      <c r="H72" s="11" t="s">
        <v>27</v>
      </c>
      <c r="J72" s="2">
        <v>70</v>
      </c>
      <c r="K72" s="2">
        <v>1.175</v>
      </c>
      <c r="L72" s="2">
        <v>39.998509498026799</v>
      </c>
      <c r="M72" s="2">
        <v>4.0518289972347903</v>
      </c>
      <c r="N72" s="2">
        <v>12.3472112191</v>
      </c>
      <c r="O72" s="2" t="s">
        <v>16</v>
      </c>
    </row>
    <row r="73" spans="2:18" ht="14.25" customHeight="1" x14ac:dyDescent="0.3">
      <c r="B73" s="2">
        <v>71</v>
      </c>
      <c r="C73" s="5">
        <v>1.1000000000000001</v>
      </c>
      <c r="D73" s="15">
        <v>-4.2758023209056597E-5</v>
      </c>
      <c r="E73" s="2">
        <v>2.88449327002904</v>
      </c>
      <c r="F73" s="2">
        <v>14.037000000000001</v>
      </c>
      <c r="G73" s="2">
        <v>87.4375252426819</v>
      </c>
      <c r="H73" s="5" t="s">
        <v>6</v>
      </c>
      <c r="J73" s="2">
        <v>71</v>
      </c>
      <c r="K73" s="2">
        <v>1.175</v>
      </c>
      <c r="L73" s="2">
        <v>-8.7517879480554701E-4</v>
      </c>
      <c r="M73" s="2">
        <v>19.8400046154078</v>
      </c>
      <c r="N73" s="2">
        <v>60.298065888351402</v>
      </c>
      <c r="O73" s="2" t="s">
        <v>17</v>
      </c>
    </row>
    <row r="74" spans="2:18" ht="14.25" customHeight="1" x14ac:dyDescent="0.3">
      <c r="B74" s="2">
        <v>72</v>
      </c>
      <c r="C74" s="2">
        <v>1.1000000000000001</v>
      </c>
      <c r="D74" s="2">
        <v>39.170982974341101</v>
      </c>
      <c r="E74" s="2">
        <v>0.158698217697403</v>
      </c>
      <c r="F74" s="2">
        <v>8.7439999999999998</v>
      </c>
      <c r="G74" s="2">
        <v>19.933797032052102</v>
      </c>
      <c r="H74" s="2" t="s">
        <v>16</v>
      </c>
      <c r="J74" s="2">
        <v>72</v>
      </c>
      <c r="K74" s="11">
        <v>1.175</v>
      </c>
      <c r="L74" s="2">
        <v>-20.8996420565223</v>
      </c>
      <c r="M74" s="2">
        <v>19.056332817504298</v>
      </c>
      <c r="N74" s="2">
        <v>56.399024350802001</v>
      </c>
      <c r="O74" s="2" t="s">
        <v>18</v>
      </c>
    </row>
    <row r="75" spans="2:18" ht="14.25" customHeight="1" x14ac:dyDescent="0.3">
      <c r="B75" s="2">
        <v>73</v>
      </c>
      <c r="C75" s="2">
        <v>1.1000000000000001</v>
      </c>
      <c r="D75" s="2">
        <v>-3.3497364620090102E-4</v>
      </c>
      <c r="E75" s="2">
        <v>2.3904763559576101</v>
      </c>
      <c r="F75" s="2">
        <v>15.015000000000001</v>
      </c>
      <c r="G75" s="2">
        <v>88.170248772898603</v>
      </c>
      <c r="H75" s="2" t="s">
        <v>17</v>
      </c>
      <c r="J75" s="2">
        <v>73</v>
      </c>
      <c r="K75" s="5">
        <v>1.2</v>
      </c>
      <c r="L75" s="2">
        <v>-2.7402132984979998E-5</v>
      </c>
      <c r="M75" s="15">
        <v>19.906514331740102</v>
      </c>
      <c r="N75" s="2">
        <v>61.031822037534802</v>
      </c>
      <c r="O75" s="5" t="s">
        <v>6</v>
      </c>
    </row>
    <row r="76" spans="2:18" ht="14.25" customHeight="1" x14ac:dyDescent="0.3">
      <c r="B76" s="2">
        <v>74</v>
      </c>
      <c r="C76" s="2">
        <v>1.1000000000000001</v>
      </c>
      <c r="D76" s="2">
        <v>-19.342815950234101</v>
      </c>
      <c r="E76" s="2">
        <v>0.184961969608673</v>
      </c>
      <c r="F76" s="2">
        <v>18.234000000000002</v>
      </c>
      <c r="G76" s="2">
        <v>60.768494683209603</v>
      </c>
      <c r="H76" s="2" t="s">
        <v>18</v>
      </c>
      <c r="J76" s="2">
        <v>74</v>
      </c>
      <c r="K76" s="2">
        <v>1.2</v>
      </c>
      <c r="L76" s="2">
        <v>39.999180949794301</v>
      </c>
      <c r="M76" s="2">
        <v>4.05186602516146</v>
      </c>
      <c r="N76" s="2">
        <v>14.0197708627982</v>
      </c>
      <c r="O76" s="2" t="s">
        <v>16</v>
      </c>
    </row>
    <row r="77" spans="2:18" ht="14.25" customHeight="1" x14ac:dyDescent="0.3">
      <c r="B77" s="2">
        <v>75</v>
      </c>
      <c r="C77" s="11">
        <v>1.1000000000000001</v>
      </c>
      <c r="D77" s="15">
        <v>-4.2758023209056597E-5</v>
      </c>
      <c r="E77" s="2">
        <v>2.88449327002904</v>
      </c>
      <c r="F77" s="2">
        <v>14.037000000000001</v>
      </c>
      <c r="G77" s="2">
        <v>87.4375252426819</v>
      </c>
      <c r="H77" s="11" t="s">
        <v>27</v>
      </c>
      <c r="J77" s="2">
        <v>75</v>
      </c>
      <c r="K77" s="2">
        <v>1.2</v>
      </c>
      <c r="L77" s="2">
        <v>-2.3445332835003E-4</v>
      </c>
      <c r="M77" s="2">
        <v>21.194273260903199</v>
      </c>
      <c r="N77" s="2">
        <v>58.9451195091318</v>
      </c>
      <c r="O77" s="2" t="s">
        <v>17</v>
      </c>
    </row>
    <row r="78" spans="2:18" ht="14.25" customHeight="1" x14ac:dyDescent="0.3">
      <c r="B78" s="2">
        <v>76</v>
      </c>
      <c r="C78" s="5">
        <v>1.125</v>
      </c>
      <c r="D78" s="15">
        <v>-1.2636557955013599E-4</v>
      </c>
      <c r="E78" s="2">
        <v>3.2325125154471102</v>
      </c>
      <c r="F78" s="2">
        <v>13.23</v>
      </c>
      <c r="G78" s="2">
        <v>87.534659555218994</v>
      </c>
      <c r="H78" s="5" t="s">
        <v>6</v>
      </c>
      <c r="J78" s="2">
        <v>76</v>
      </c>
      <c r="K78" s="11">
        <v>1.2</v>
      </c>
      <c r="L78" s="2">
        <v>-20.899295285678001</v>
      </c>
      <c r="M78" s="2">
        <v>19.0563157076412</v>
      </c>
      <c r="N78" s="2">
        <v>57.4806752776636</v>
      </c>
      <c r="O78" s="2" t="s">
        <v>18</v>
      </c>
    </row>
    <row r="79" spans="2:18" ht="14.25" customHeight="1" x14ac:dyDescent="0.3">
      <c r="B79" s="2">
        <v>77</v>
      </c>
      <c r="C79" s="2">
        <v>1.125</v>
      </c>
      <c r="D79" s="2">
        <v>39.170286112611002</v>
      </c>
      <c r="E79" s="2">
        <v>0.158636338365301</v>
      </c>
      <c r="F79" s="2">
        <v>8.7430000000000003</v>
      </c>
      <c r="G79" s="2">
        <v>19.936558932369799</v>
      </c>
      <c r="H79" s="2" t="s">
        <v>16</v>
      </c>
      <c r="J79" s="2">
        <v>77</v>
      </c>
      <c r="K79" s="5">
        <v>1.2250000000000001</v>
      </c>
      <c r="L79" s="2">
        <v>-1.35549500115797E-4</v>
      </c>
      <c r="M79" s="15">
        <v>18.8529348084768</v>
      </c>
      <c r="N79" s="2">
        <v>61.347386620330198</v>
      </c>
      <c r="O79" s="5" t="s">
        <v>6</v>
      </c>
    </row>
    <row r="80" spans="2:18" ht="14.25" customHeight="1" x14ac:dyDescent="0.3">
      <c r="B80" s="2">
        <v>78</v>
      </c>
      <c r="C80" s="2">
        <v>1.125</v>
      </c>
      <c r="D80" s="2">
        <v>-8.09438424784379E-4</v>
      </c>
      <c r="E80" s="2">
        <v>2.9461863682491698</v>
      </c>
      <c r="F80" s="2">
        <v>14.048</v>
      </c>
      <c r="G80" s="2">
        <v>87.908106552342403</v>
      </c>
      <c r="H80" s="2" t="s">
        <v>17</v>
      </c>
      <c r="J80" s="2">
        <v>78</v>
      </c>
      <c r="K80" s="2">
        <v>1.2250000000000001</v>
      </c>
      <c r="L80" s="2">
        <v>39.998509498012197</v>
      </c>
      <c r="M80" s="2">
        <v>4.0518289972106798</v>
      </c>
      <c r="N80" s="2">
        <v>12.347211219048001</v>
      </c>
      <c r="O80" s="2" t="s">
        <v>16</v>
      </c>
    </row>
    <row r="81" spans="2:18" ht="14.25" customHeight="1" x14ac:dyDescent="0.3">
      <c r="B81" s="2">
        <v>79</v>
      </c>
      <c r="C81" s="2">
        <v>1.125</v>
      </c>
      <c r="D81" s="2">
        <v>-19.343078862186299</v>
      </c>
      <c r="E81" s="2">
        <v>0.184460661995516</v>
      </c>
      <c r="F81" s="2">
        <v>18.236000000000001</v>
      </c>
      <c r="G81" s="2">
        <v>60.768592546074899</v>
      </c>
      <c r="H81" s="2" t="s">
        <v>18</v>
      </c>
      <c r="J81" s="2">
        <v>79</v>
      </c>
      <c r="K81" s="2">
        <v>1.2250000000000001</v>
      </c>
      <c r="L81" s="2">
        <v>-8.7517879648370202E-4</v>
      </c>
      <c r="M81" s="2">
        <v>19.840004672969201</v>
      </c>
      <c r="N81" s="2">
        <v>60.298065919142502</v>
      </c>
      <c r="O81" s="2" t="s">
        <v>17</v>
      </c>
      <c r="R81" s="15"/>
    </row>
    <row r="82" spans="2:18" ht="14.25" customHeight="1" x14ac:dyDescent="0.3">
      <c r="B82" s="2">
        <v>80</v>
      </c>
      <c r="C82" s="11">
        <v>1.125</v>
      </c>
      <c r="D82" s="15">
        <v>-1.2636557955013599E-4</v>
      </c>
      <c r="E82" s="2">
        <v>3.2325125154471102</v>
      </c>
      <c r="F82" s="2">
        <v>13.23</v>
      </c>
      <c r="G82" s="2">
        <v>87.534659555218994</v>
      </c>
      <c r="H82" s="11" t="s">
        <v>27</v>
      </c>
      <c r="J82" s="2">
        <v>80</v>
      </c>
      <c r="K82" s="11">
        <v>1.2250000000000001</v>
      </c>
      <c r="L82" s="2">
        <v>-20.899642056567401</v>
      </c>
      <c r="M82" s="2">
        <v>19.056332817785499</v>
      </c>
      <c r="N82" s="2">
        <v>56.399024351220397</v>
      </c>
      <c r="O82" s="2" t="s">
        <v>18</v>
      </c>
      <c r="R82" s="15"/>
    </row>
    <row r="83" spans="2:18" ht="14.25" customHeight="1" x14ac:dyDescent="0.3">
      <c r="B83" s="2">
        <v>81</v>
      </c>
      <c r="C83" s="5">
        <v>1.1499999999999999</v>
      </c>
      <c r="D83" s="15">
        <v>-4.2758023194404601E-5</v>
      </c>
      <c r="E83" s="2">
        <v>2.8844931239661702</v>
      </c>
      <c r="F83" s="2">
        <v>14.037000000000001</v>
      </c>
      <c r="G83" s="2">
        <v>87.437525875329996</v>
      </c>
      <c r="H83" s="5" t="s">
        <v>6</v>
      </c>
      <c r="J83" s="2">
        <v>81</v>
      </c>
      <c r="K83" s="5">
        <v>1.25</v>
      </c>
      <c r="L83" s="2">
        <v>-1.35549499583538E-4</v>
      </c>
      <c r="M83" s="15">
        <v>18.852934513661701</v>
      </c>
      <c r="N83" s="2">
        <v>61.347386452956002</v>
      </c>
      <c r="O83" s="5" t="s">
        <v>6</v>
      </c>
    </row>
    <row r="84" spans="2:18" ht="14.25" customHeight="1" x14ac:dyDescent="0.3">
      <c r="B84" s="2">
        <v>82</v>
      </c>
      <c r="C84" s="2">
        <v>1.1499999999999999</v>
      </c>
      <c r="D84" s="2">
        <v>39.170983385444302</v>
      </c>
      <c r="E84" s="2">
        <v>0.15871661601826101</v>
      </c>
      <c r="F84" s="2">
        <v>8.7439999999999998</v>
      </c>
      <c r="G84" s="2">
        <v>19.9336996190628</v>
      </c>
      <c r="H84" s="2" t="s">
        <v>16</v>
      </c>
      <c r="J84" s="2">
        <v>82</v>
      </c>
      <c r="K84" s="2">
        <v>1.25</v>
      </c>
      <c r="L84" s="2">
        <v>39.998509498030799</v>
      </c>
      <c r="M84" s="2">
        <v>4.0518289972195696</v>
      </c>
      <c r="N84" s="2">
        <v>12.347211219081901</v>
      </c>
      <c r="O84" s="2" t="s">
        <v>16</v>
      </c>
    </row>
    <row r="85" spans="2:18" ht="14.25" customHeight="1" x14ac:dyDescent="0.3">
      <c r="B85" s="2">
        <v>83</v>
      </c>
      <c r="C85" s="2">
        <v>1.1499999999999999</v>
      </c>
      <c r="D85" s="2">
        <v>-3.3497364816880597E-4</v>
      </c>
      <c r="E85" s="2">
        <v>2.39047637436108</v>
      </c>
      <c r="F85" s="2">
        <v>15.015000000000001</v>
      </c>
      <c r="G85" s="2">
        <v>88.170248812499196</v>
      </c>
      <c r="H85" s="2" t="s">
        <v>17</v>
      </c>
      <c r="J85" s="2">
        <v>83</v>
      </c>
      <c r="K85" s="2">
        <v>1.25</v>
      </c>
      <c r="L85" s="2">
        <v>-8.7517878957661503E-4</v>
      </c>
      <c r="M85" s="2">
        <v>19.840004698929</v>
      </c>
      <c r="N85" s="2">
        <v>60.2980659945733</v>
      </c>
      <c r="O85" s="2" t="s">
        <v>17</v>
      </c>
    </row>
    <row r="86" spans="2:18" ht="14.25" customHeight="1" x14ac:dyDescent="0.3">
      <c r="B86" s="2">
        <v>84</v>
      </c>
      <c r="C86" s="2">
        <v>1.1499999999999999</v>
      </c>
      <c r="D86" s="2">
        <v>-19.342815950476201</v>
      </c>
      <c r="E86" s="2">
        <v>0.18496196913959601</v>
      </c>
      <c r="F86" s="2">
        <v>18.234000000000002</v>
      </c>
      <c r="G86" s="2">
        <v>60.768494683417899</v>
      </c>
      <c r="H86" s="2" t="s">
        <v>18</v>
      </c>
      <c r="J86" s="2">
        <v>84</v>
      </c>
      <c r="K86" s="2">
        <v>1.25</v>
      </c>
      <c r="L86" s="2">
        <v>-20.899642056505801</v>
      </c>
      <c r="M86" s="2">
        <v>19.056332817363099</v>
      </c>
      <c r="N86" s="2">
        <v>56.399024350411899</v>
      </c>
      <c r="O86" s="2" t="s">
        <v>18</v>
      </c>
    </row>
    <row r="87" spans="2:18" ht="14.25" customHeight="1" x14ac:dyDescent="0.3">
      <c r="B87" s="2">
        <v>85</v>
      </c>
      <c r="C87" s="11">
        <v>1.1499999999999999</v>
      </c>
      <c r="D87" s="15">
        <v>-4.2758023194404601E-5</v>
      </c>
      <c r="E87" s="2">
        <v>2.8844931239661702</v>
      </c>
      <c r="F87" s="2">
        <v>14.037000000000001</v>
      </c>
      <c r="G87" s="2">
        <v>87.437525875329996</v>
      </c>
      <c r="H87" s="11" t="s">
        <v>27</v>
      </c>
    </row>
    <row r="88" spans="2:18" ht="14.25" customHeight="1" x14ac:dyDescent="0.3">
      <c r="B88" s="2">
        <v>86</v>
      </c>
      <c r="C88" s="5">
        <v>1.175</v>
      </c>
      <c r="D88" s="2">
        <v>-1.2636557950404501E-4</v>
      </c>
      <c r="E88" s="2">
        <v>3.2325124489693899</v>
      </c>
      <c r="F88" s="2">
        <v>13.23</v>
      </c>
      <c r="G88" s="2">
        <v>87.534659773984799</v>
      </c>
      <c r="H88" s="5" t="s">
        <v>6</v>
      </c>
    </row>
    <row r="89" spans="2:18" ht="14.25" customHeight="1" x14ac:dyDescent="0.3">
      <c r="B89" s="2">
        <v>87</v>
      </c>
      <c r="C89" s="2">
        <v>1.175</v>
      </c>
      <c r="D89" s="2">
        <v>39.170295206250103</v>
      </c>
      <c r="E89" s="2">
        <v>0.158904164872711</v>
      </c>
      <c r="F89" s="2">
        <v>8.7430000000000003</v>
      </c>
      <c r="G89" s="2">
        <v>19.935149847389301</v>
      </c>
      <c r="H89" s="2" t="s">
        <v>16</v>
      </c>
      <c r="R89" s="15"/>
    </row>
    <row r="90" spans="2:18" ht="14.25" customHeight="1" x14ac:dyDescent="0.3">
      <c r="B90" s="2">
        <v>88</v>
      </c>
      <c r="C90" s="2">
        <v>1.175</v>
      </c>
      <c r="D90" s="2">
        <v>-8.09438424568291E-4</v>
      </c>
      <c r="E90" s="2">
        <v>2.94618636191184</v>
      </c>
      <c r="F90" s="2">
        <v>14.048</v>
      </c>
      <c r="G90" s="2">
        <v>87.908106937742104</v>
      </c>
      <c r="H90" s="2" t="s">
        <v>17</v>
      </c>
      <c r="R90" s="15"/>
    </row>
    <row r="91" spans="2:18" ht="14.25" customHeight="1" x14ac:dyDescent="0.3">
      <c r="B91" s="2">
        <v>89</v>
      </c>
      <c r="C91" s="2">
        <v>1.175</v>
      </c>
      <c r="D91" s="2">
        <v>-19.343078862395299</v>
      </c>
      <c r="E91" s="2">
        <v>0.18446066151356999</v>
      </c>
      <c r="F91" s="2">
        <v>18.236000000000001</v>
      </c>
      <c r="G91" s="2">
        <v>60.768592546760303</v>
      </c>
      <c r="H91" s="2" t="s">
        <v>18</v>
      </c>
    </row>
    <row r="92" spans="2:18" ht="14.25" customHeight="1" x14ac:dyDescent="0.3">
      <c r="B92" s="2">
        <v>90</v>
      </c>
      <c r="C92" s="11">
        <v>1.175</v>
      </c>
      <c r="D92" s="2">
        <v>-1.2636557950404501E-4</v>
      </c>
      <c r="E92" s="2">
        <v>3.2325124489693899</v>
      </c>
      <c r="F92" s="2">
        <v>13.23</v>
      </c>
      <c r="G92" s="2">
        <v>87.534659773984799</v>
      </c>
      <c r="H92" s="11" t="s">
        <v>27</v>
      </c>
    </row>
    <row r="93" spans="2:18" ht="14.25" customHeight="1" x14ac:dyDescent="0.3">
      <c r="B93" s="2">
        <v>91</v>
      </c>
      <c r="C93" s="5">
        <v>1.2</v>
      </c>
      <c r="D93" s="15">
        <v>-2.5422134784896099E-5</v>
      </c>
      <c r="E93" s="2">
        <v>4.08693814014695</v>
      </c>
      <c r="F93" s="2">
        <v>12.776</v>
      </c>
      <c r="G93" s="2">
        <v>89.086680703923903</v>
      </c>
      <c r="H93" s="5" t="s">
        <v>6</v>
      </c>
    </row>
    <row r="94" spans="2:18" ht="14.25" customHeight="1" x14ac:dyDescent="0.3">
      <c r="B94" s="2">
        <v>92</v>
      </c>
      <c r="C94" s="2">
        <v>1.2</v>
      </c>
      <c r="D94" s="2">
        <v>39.171077833810799</v>
      </c>
      <c r="E94" s="2">
        <v>0.15896794657631799</v>
      </c>
      <c r="F94" s="2">
        <v>8.7430000000000003</v>
      </c>
      <c r="G94" s="2">
        <v>21.463024074884402</v>
      </c>
      <c r="H94" s="2" t="s">
        <v>16</v>
      </c>
      <c r="R94" s="15"/>
    </row>
    <row r="95" spans="2:18" ht="14.25" customHeight="1" x14ac:dyDescent="0.3">
      <c r="B95" s="2">
        <v>93</v>
      </c>
      <c r="C95" s="2">
        <v>1.2</v>
      </c>
      <c r="D95" s="2">
        <v>-2.14276473251515E-4</v>
      </c>
      <c r="E95" s="2">
        <v>2.3903112657496099</v>
      </c>
      <c r="F95" s="2">
        <v>15.124000000000001</v>
      </c>
      <c r="G95" s="2">
        <v>89.860540120627903</v>
      </c>
      <c r="H95" s="2" t="s">
        <v>17</v>
      </c>
    </row>
    <row r="96" spans="2:18" ht="14.25" customHeight="1" x14ac:dyDescent="0.3">
      <c r="B96" s="2">
        <v>94</v>
      </c>
      <c r="C96" s="2">
        <v>1.2</v>
      </c>
      <c r="D96" s="2">
        <v>-19.3427600834071</v>
      </c>
      <c r="E96" s="2">
        <v>0.185099631030577</v>
      </c>
      <c r="F96" s="2">
        <v>18.234000000000002</v>
      </c>
      <c r="G96" s="2">
        <v>61.741777775053599</v>
      </c>
      <c r="H96" s="2" t="s">
        <v>18</v>
      </c>
    </row>
    <row r="97" spans="2:18" ht="14.25" customHeight="1" x14ac:dyDescent="0.3">
      <c r="B97" s="2">
        <v>95</v>
      </c>
      <c r="C97" s="11">
        <v>1.2</v>
      </c>
      <c r="D97" s="15">
        <v>-2.54205031959904E-5</v>
      </c>
      <c r="E97" s="2">
        <v>4.0869381083298997</v>
      </c>
      <c r="F97" s="2">
        <v>12.776</v>
      </c>
      <c r="G97" s="2">
        <v>89.089376798016701</v>
      </c>
      <c r="H97" s="11" t="s">
        <v>27</v>
      </c>
      <c r="R97" s="15"/>
    </row>
    <row r="98" spans="2:18" ht="14.25" customHeight="1" x14ac:dyDescent="0.3">
      <c r="B98" s="2">
        <v>96</v>
      </c>
      <c r="C98" s="5">
        <v>1.2250000000000001</v>
      </c>
      <c r="D98" s="15">
        <v>-1.2636557974327601E-4</v>
      </c>
      <c r="E98" s="2">
        <v>3.2325125325373798</v>
      </c>
      <c r="F98" s="2">
        <v>13.23</v>
      </c>
      <c r="G98" s="2">
        <v>87.534659597890197</v>
      </c>
      <c r="H98" s="5" t="s">
        <v>6</v>
      </c>
      <c r="R98" s="15"/>
    </row>
    <row r="99" spans="2:18" ht="14.25" customHeight="1" x14ac:dyDescent="0.3">
      <c r="B99" s="2">
        <v>97</v>
      </c>
      <c r="C99" s="2">
        <v>1.2250000000000001</v>
      </c>
      <c r="D99" s="2">
        <v>39.1703023887681</v>
      </c>
      <c r="E99" s="2">
        <v>0.15909045216102199</v>
      </c>
      <c r="F99" s="2">
        <v>8.7430000000000003</v>
      </c>
      <c r="G99" s="2">
        <v>19.9341697207587</v>
      </c>
      <c r="H99" s="2" t="s">
        <v>16</v>
      </c>
    </row>
    <row r="100" spans="2:18" ht="14.25" customHeight="1" x14ac:dyDescent="0.3">
      <c r="B100" s="2">
        <v>98</v>
      </c>
      <c r="C100" s="2">
        <v>1.2250000000000001</v>
      </c>
      <c r="D100" s="2">
        <v>-8.0943842550546896E-4</v>
      </c>
      <c r="E100" s="2">
        <v>2.9461863217618101</v>
      </c>
      <c r="F100" s="2">
        <v>14.048</v>
      </c>
      <c r="G100" s="2">
        <v>87.908106990941604</v>
      </c>
      <c r="H100" s="2" t="s">
        <v>17</v>
      </c>
    </row>
    <row r="101" spans="2:18" ht="14.25" customHeight="1" x14ac:dyDescent="0.3">
      <c r="B101" s="2">
        <v>99</v>
      </c>
      <c r="C101" s="2">
        <v>1.2250000000000001</v>
      </c>
      <c r="D101" s="2">
        <v>-19.343078862116698</v>
      </c>
      <c r="E101" s="2">
        <v>0.184460650135014</v>
      </c>
      <c r="F101" s="2">
        <v>18.236000000000001</v>
      </c>
      <c r="G101" s="2">
        <v>60.768592547990899</v>
      </c>
      <c r="H101" s="2" t="s">
        <v>18</v>
      </c>
    </row>
    <row r="102" spans="2:18" ht="14.25" customHeight="1" x14ac:dyDescent="0.3">
      <c r="B102" s="2">
        <v>100</v>
      </c>
      <c r="C102" s="11">
        <v>1.2250000000000001</v>
      </c>
      <c r="D102" s="15">
        <v>-1.2636557974327601E-4</v>
      </c>
      <c r="E102" s="2">
        <v>3.2325125325373798</v>
      </c>
      <c r="F102" s="2">
        <v>13.23</v>
      </c>
      <c r="G102" s="2">
        <v>87.534659597890197</v>
      </c>
      <c r="H102" s="11" t="s">
        <v>27</v>
      </c>
    </row>
    <row r="103" spans="2:18" ht="14.25" customHeight="1" x14ac:dyDescent="0.3">
      <c r="B103" s="2">
        <v>101</v>
      </c>
      <c r="C103" s="5">
        <v>1.25</v>
      </c>
      <c r="D103" s="2">
        <v>-1.2636557972615101E-4</v>
      </c>
      <c r="E103" s="2">
        <v>3.2325125165920099</v>
      </c>
      <c r="F103" s="2">
        <v>13.23</v>
      </c>
      <c r="G103" s="2">
        <v>87.534659559412304</v>
      </c>
      <c r="H103" s="5" t="s">
        <v>6</v>
      </c>
    </row>
    <row r="104" spans="2:18" ht="14.25" customHeight="1" x14ac:dyDescent="0.3">
      <c r="B104" s="2">
        <v>102</v>
      </c>
      <c r="C104" s="2">
        <v>1.25</v>
      </c>
      <c r="D104" s="2">
        <v>39.170298157127903</v>
      </c>
      <c r="E104" s="2">
        <v>0.158967964749375</v>
      </c>
      <c r="F104" s="2">
        <v>8.7430000000000003</v>
      </c>
      <c r="G104" s="2">
        <v>19.934814537492102</v>
      </c>
      <c r="H104" s="2" t="s">
        <v>16</v>
      </c>
    </row>
    <row r="105" spans="2:18" ht="14.25" customHeight="1" x14ac:dyDescent="0.3">
      <c r="B105" s="2">
        <v>103</v>
      </c>
      <c r="C105" s="2">
        <v>1.25</v>
      </c>
      <c r="D105" s="2">
        <v>-8.0943841870267995E-4</v>
      </c>
      <c r="E105" s="2">
        <v>2.9461863204249101</v>
      </c>
      <c r="F105" s="2">
        <v>14.048</v>
      </c>
      <c r="G105" s="2">
        <v>87.908106851264606</v>
      </c>
      <c r="H105" s="2" t="s">
        <v>17</v>
      </c>
    </row>
    <row r="106" spans="2:18" ht="14.25" customHeight="1" x14ac:dyDescent="0.3">
      <c r="B106" s="2">
        <v>104</v>
      </c>
      <c r="C106" s="2">
        <v>1.25</v>
      </c>
      <c r="D106" s="2">
        <v>-19.343078862234201</v>
      </c>
      <c r="E106" s="2">
        <v>0.184460667707428</v>
      </c>
      <c r="F106" s="2">
        <v>18.236000000000001</v>
      </c>
      <c r="G106" s="2">
        <v>60.768592545845699</v>
      </c>
      <c r="H106" s="2" t="s">
        <v>18</v>
      </c>
    </row>
    <row r="107" spans="2:18" ht="14.25" customHeight="1" x14ac:dyDescent="0.3">
      <c r="B107" s="2">
        <v>105</v>
      </c>
      <c r="C107" s="11">
        <v>1.25</v>
      </c>
      <c r="D107" s="2">
        <v>-1.2636557972615101E-4</v>
      </c>
      <c r="E107" s="2">
        <v>3.2325125165920099</v>
      </c>
      <c r="F107" s="2">
        <v>13.23</v>
      </c>
      <c r="G107" s="2">
        <v>87.534659559412304</v>
      </c>
      <c r="H107" s="11" t="s">
        <v>27</v>
      </c>
    </row>
    <row r="108" spans="2:18" ht="14.25" customHeight="1" x14ac:dyDescent="0.3"/>
    <row r="109" spans="2:18" ht="14.25" customHeight="1" x14ac:dyDescent="0.3"/>
    <row r="110" spans="2:18" ht="14.25" customHeight="1" x14ac:dyDescent="0.3">
      <c r="R110" s="15"/>
    </row>
    <row r="111" spans="2:18" ht="14.25" customHeight="1" x14ac:dyDescent="0.3"/>
    <row r="112" spans="2:18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B1:H1"/>
    <mergeCell ref="J1:O1"/>
    <mergeCell ref="Q1:V1"/>
  </mergeCells>
  <conditionalFormatting sqref="G3:G10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8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23">
    <cfRule type="cellIs" dxfId="5" priority="3" operator="between">
      <formula>-0.1</formula>
      <formula>0.1</formula>
    </cfRule>
  </conditionalFormatting>
  <conditionalFormatting sqref="S3:V3">
    <cfRule type="cellIs" dxfId="4" priority="4" operator="between">
      <formula>-0.1</formula>
      <formula>0.1</formula>
    </cfRule>
  </conditionalFormatting>
  <conditionalFormatting sqref="U23">
    <cfRule type="cellIs" dxfId="3" priority="5" operator="between">
      <formula>-0.1</formula>
      <formula>0.1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DD6EE"/>
  </sheetPr>
  <dimension ref="A1:AA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6.6640625" customWidth="1"/>
    <col min="3" max="8" width="8.6640625" customWidth="1"/>
    <col min="9" max="9" width="4.88671875" customWidth="1"/>
    <col min="10" max="10" width="6.33203125" customWidth="1"/>
    <col min="11" max="15" width="8.6640625" customWidth="1"/>
    <col min="16" max="16" width="5.109375" customWidth="1"/>
    <col min="17" max="27" width="8.6640625" customWidth="1"/>
  </cols>
  <sheetData>
    <row r="1" spans="1:27" ht="14.25" customHeight="1" x14ac:dyDescent="0.3">
      <c r="A1" s="2" t="s">
        <v>28</v>
      </c>
      <c r="B1" s="52" t="s">
        <v>20</v>
      </c>
      <c r="C1" s="53"/>
      <c r="D1" s="53"/>
      <c r="E1" s="53"/>
      <c r="F1" s="53"/>
      <c r="G1" s="53"/>
      <c r="H1" s="53"/>
      <c r="J1" s="52" t="s">
        <v>21</v>
      </c>
      <c r="K1" s="53"/>
      <c r="L1" s="53"/>
      <c r="M1" s="53"/>
      <c r="N1" s="53"/>
      <c r="O1" s="53"/>
      <c r="Q1" s="52" t="s">
        <v>22</v>
      </c>
      <c r="R1" s="53"/>
      <c r="S1" s="53"/>
      <c r="T1" s="53"/>
      <c r="U1" s="53"/>
      <c r="V1" s="53"/>
    </row>
    <row r="2" spans="1:27" ht="14.25" customHeight="1" x14ac:dyDescent="0.3">
      <c r="B2" s="2" t="s">
        <v>23</v>
      </c>
      <c r="C2" s="2" t="s">
        <v>24</v>
      </c>
      <c r="D2" s="2" t="s">
        <v>11</v>
      </c>
      <c r="E2" s="2" t="s">
        <v>12</v>
      </c>
      <c r="F2" s="2" t="s">
        <v>13</v>
      </c>
      <c r="G2" s="2" t="s">
        <v>25</v>
      </c>
      <c r="H2" s="2" t="s">
        <v>26</v>
      </c>
      <c r="J2" s="2" t="s">
        <v>23</v>
      </c>
      <c r="K2" s="2" t="s">
        <v>24</v>
      </c>
      <c r="L2" s="2" t="s">
        <v>11</v>
      </c>
      <c r="M2" s="2" t="s">
        <v>12</v>
      </c>
      <c r="N2" s="2" t="s">
        <v>25</v>
      </c>
      <c r="O2" s="2" t="s">
        <v>26</v>
      </c>
      <c r="Q2" s="2" t="s">
        <v>23</v>
      </c>
      <c r="R2" s="2" t="s">
        <v>24</v>
      </c>
      <c r="S2" s="2" t="s">
        <v>6</v>
      </c>
      <c r="T2" s="2" t="s">
        <v>16</v>
      </c>
      <c r="U2" s="2" t="s">
        <v>17</v>
      </c>
      <c r="V2" s="2" t="s">
        <v>18</v>
      </c>
    </row>
    <row r="3" spans="1:27" ht="14.25" customHeight="1" x14ac:dyDescent="0.3">
      <c r="B3" s="2">
        <v>1</v>
      </c>
      <c r="C3" s="5">
        <v>2.5000000000000001E-3</v>
      </c>
      <c r="D3" s="2">
        <v>30.6372941929713</v>
      </c>
      <c r="E3" s="2">
        <v>1.63387747597703</v>
      </c>
      <c r="F3" s="2">
        <v>3.359</v>
      </c>
      <c r="G3" s="2">
        <v>88.290780185835203</v>
      </c>
      <c r="H3" s="5" t="s">
        <v>6</v>
      </c>
      <c r="J3" s="2">
        <v>1</v>
      </c>
      <c r="K3" s="2">
        <v>2.5000000000000001E-3</v>
      </c>
      <c r="L3" s="2">
        <v>30.975137138432</v>
      </c>
      <c r="M3" s="15">
        <v>4.9560417009083997</v>
      </c>
      <c r="N3" s="2">
        <v>74.580740826120305</v>
      </c>
      <c r="O3" s="5" t="s">
        <v>6</v>
      </c>
      <c r="Q3" s="2">
        <v>1</v>
      </c>
      <c r="R3" s="2">
        <v>2.5000000000000001E-3</v>
      </c>
      <c r="S3" s="16">
        <v>9.0221837392057899E-3</v>
      </c>
      <c r="T3" s="17">
        <v>-8.2229776932649708E-3</v>
      </c>
      <c r="U3" s="15">
        <v>1.50844940906479E-5</v>
      </c>
      <c r="V3" s="15">
        <v>6.9861311695095706E-5</v>
      </c>
      <c r="X3" s="2">
        <f t="shared" ref="X3:AA3" si="0">S4-S3</f>
        <v>1.9979332059744011E-2</v>
      </c>
      <c r="Y3" s="2">
        <f t="shared" si="0"/>
        <v>-2.8927696719165293E-3</v>
      </c>
      <c r="Z3" s="18">
        <f t="shared" si="0"/>
        <v>-3.6323953611981478E-3</v>
      </c>
      <c r="AA3" s="18">
        <f t="shared" si="0"/>
        <v>-1.7054643342362358E-3</v>
      </c>
    </row>
    <row r="4" spans="1:27" ht="14.25" customHeight="1" x14ac:dyDescent="0.3">
      <c r="B4" s="2">
        <v>2</v>
      </c>
      <c r="C4" s="2">
        <v>2.5000000000000001E-3</v>
      </c>
      <c r="D4" s="2">
        <v>-4.8148380605580101</v>
      </c>
      <c r="E4" s="2">
        <v>0.25078004666671</v>
      </c>
      <c r="F4" s="2">
        <v>2.7850000000000001</v>
      </c>
      <c r="G4" s="2">
        <v>54.254811934861202</v>
      </c>
      <c r="H4" s="2" t="s">
        <v>16</v>
      </c>
      <c r="J4" s="2">
        <v>2</v>
      </c>
      <c r="K4" s="2">
        <v>2.5000000000000001E-3</v>
      </c>
      <c r="L4" s="2">
        <v>-4.7907168359848704</v>
      </c>
      <c r="M4" s="2">
        <v>2.0139752386081202</v>
      </c>
      <c r="N4" s="2">
        <v>45.314895580763803</v>
      </c>
      <c r="O4" s="2" t="s">
        <v>16</v>
      </c>
      <c r="Q4" s="2">
        <v>2</v>
      </c>
      <c r="R4" s="2">
        <v>5.0000000000000001E-3</v>
      </c>
      <c r="S4" s="2">
        <v>2.9001515798949801E-2</v>
      </c>
      <c r="T4" s="2">
        <v>-1.11157473651815E-2</v>
      </c>
      <c r="U4" s="15">
        <v>-3.6173108671074998E-3</v>
      </c>
      <c r="V4" s="15">
        <v>-1.63560302254114E-3</v>
      </c>
      <c r="X4" s="2">
        <f t="shared" ref="X4:AA4" si="1">S5-S4</f>
        <v>2.00860985300002E-2</v>
      </c>
      <c r="Y4" s="2">
        <f t="shared" si="1"/>
        <v>-2.9082281869960997E-3</v>
      </c>
      <c r="Z4" s="18">
        <f t="shared" si="1"/>
        <v>-3.6518063220114501E-3</v>
      </c>
      <c r="AA4" s="18">
        <f t="shared" si="1"/>
        <v>-1.71457807270185E-3</v>
      </c>
    </row>
    <row r="5" spans="1:27" ht="14.25" customHeight="1" x14ac:dyDescent="0.3">
      <c r="B5" s="2">
        <v>3</v>
      </c>
      <c r="C5" s="2">
        <v>2.5000000000000001E-3</v>
      </c>
      <c r="D5" s="2">
        <v>-8.4126020172952405</v>
      </c>
      <c r="E5" s="2">
        <v>0.125669357530138</v>
      </c>
      <c r="F5" s="2">
        <v>2.9489999999999998</v>
      </c>
      <c r="G5" s="2">
        <v>37.842750285813899</v>
      </c>
      <c r="H5" s="2" t="s">
        <v>17</v>
      </c>
      <c r="J5" s="2">
        <v>3</v>
      </c>
      <c r="K5" s="2">
        <v>2.5000000000000001E-3</v>
      </c>
      <c r="L5" s="2">
        <v>-8.5018526695903702</v>
      </c>
      <c r="M5" s="2">
        <v>1.5446326536256401</v>
      </c>
      <c r="N5" s="2">
        <v>34.047288730581002</v>
      </c>
      <c r="O5" s="2" t="s">
        <v>17</v>
      </c>
      <c r="Q5" s="2">
        <v>3</v>
      </c>
      <c r="R5" s="2">
        <v>7.4999999999999997E-3</v>
      </c>
      <c r="S5" s="2">
        <v>4.9087614328950001E-2</v>
      </c>
      <c r="T5" s="2">
        <v>-1.40239755521776E-2</v>
      </c>
      <c r="U5" s="15">
        <v>-7.26911718911895E-3</v>
      </c>
      <c r="V5" s="15">
        <v>-3.35018109524299E-3</v>
      </c>
      <c r="X5" s="2">
        <f t="shared" ref="X5:AA5" si="2">S6-S5</f>
        <v>2.0193702408009405E-2</v>
      </c>
      <c r="Y5" s="2">
        <f t="shared" si="2"/>
        <v>-2.9238079488465019E-3</v>
      </c>
      <c r="Z5" s="18">
        <f t="shared" si="2"/>
        <v>-3.6713695299438499E-3</v>
      </c>
      <c r="AA5" s="18">
        <f t="shared" si="2"/>
        <v>-1.7237632935221199E-3</v>
      </c>
    </row>
    <row r="6" spans="1:27" ht="14.25" customHeight="1" x14ac:dyDescent="0.3">
      <c r="B6" s="2">
        <v>4</v>
      </c>
      <c r="C6" s="2">
        <v>2.5000000000000001E-3</v>
      </c>
      <c r="D6" s="2">
        <v>-2.42218938979974</v>
      </c>
      <c r="E6" s="2">
        <v>0.34391072896675101</v>
      </c>
      <c r="F6" s="2">
        <v>1.8160000000000001</v>
      </c>
      <c r="G6" s="2">
        <v>51.024999204816702</v>
      </c>
      <c r="H6" s="2" t="s">
        <v>18</v>
      </c>
      <c r="J6" s="2">
        <v>4</v>
      </c>
      <c r="K6" s="2">
        <v>2.5000000000000001E-3</v>
      </c>
      <c r="L6" s="2">
        <v>-2.4124397189058402</v>
      </c>
      <c r="M6" s="2">
        <v>1.55226046345599</v>
      </c>
      <c r="N6" s="2">
        <v>42.759388640952302</v>
      </c>
      <c r="O6" s="2" t="s">
        <v>18</v>
      </c>
      <c r="Q6" s="2">
        <v>4</v>
      </c>
      <c r="R6" s="2">
        <v>0.01</v>
      </c>
      <c r="S6" s="2">
        <v>6.9281316736959406E-2</v>
      </c>
      <c r="T6" s="2">
        <v>-1.6947783501024102E-2</v>
      </c>
      <c r="U6" s="15">
        <v>-1.09404867190628E-2</v>
      </c>
      <c r="V6" s="15">
        <v>-5.0739443887651099E-3</v>
      </c>
      <c r="X6" s="2">
        <f t="shared" ref="X6:AA6" si="3">S7-S6</f>
        <v>2.03021522685497E-2</v>
      </c>
      <c r="Y6" s="2">
        <f t="shared" si="3"/>
        <v>-2.9395101988853971E-3</v>
      </c>
      <c r="Z6" s="18">
        <f t="shared" si="3"/>
        <v>-3.6910865439462003E-3</v>
      </c>
      <c r="AA6" s="18">
        <f t="shared" si="3"/>
        <v>-1.7330207285561E-3</v>
      </c>
    </row>
    <row r="7" spans="1:27" ht="14.25" customHeight="1" x14ac:dyDescent="0.3">
      <c r="B7" s="2">
        <v>5</v>
      </c>
      <c r="C7" s="11">
        <v>2.5000000000000001E-3</v>
      </c>
      <c r="D7" s="2">
        <v>30.637294179828899</v>
      </c>
      <c r="E7" s="2">
        <v>1.63387747597702</v>
      </c>
      <c r="F7" s="2">
        <v>3.359</v>
      </c>
      <c r="G7" s="2">
        <v>88.290780204778002</v>
      </c>
      <c r="H7" s="11" t="s">
        <v>27</v>
      </c>
      <c r="J7" s="2">
        <v>5</v>
      </c>
      <c r="K7" s="2">
        <v>5.0000000000000001E-3</v>
      </c>
      <c r="L7" s="2">
        <v>30.947173007325102</v>
      </c>
      <c r="M7" s="15">
        <v>4.6452807037842296</v>
      </c>
      <c r="N7" s="2">
        <v>74.179491324808396</v>
      </c>
      <c r="O7" s="5" t="s">
        <v>6</v>
      </c>
      <c r="Q7" s="2">
        <v>5</v>
      </c>
      <c r="R7" s="2">
        <v>1.2500000000000001E-2</v>
      </c>
      <c r="S7" s="2">
        <v>8.9583469005509106E-2</v>
      </c>
      <c r="T7" s="2">
        <v>-1.9887293699909499E-2</v>
      </c>
      <c r="U7" s="15">
        <v>-1.4631573263009E-2</v>
      </c>
      <c r="V7" s="15">
        <v>-6.8069651173212099E-3</v>
      </c>
      <c r="X7" s="2">
        <f t="shared" ref="X7:AA7" si="4">S8-S7</f>
        <v>2.0411456793958893E-2</v>
      </c>
      <c r="Y7" s="2">
        <f t="shared" si="4"/>
        <v>-2.9553361942050022E-3</v>
      </c>
      <c r="Z7" s="18">
        <f t="shared" si="4"/>
        <v>-3.7109589425808002E-3</v>
      </c>
      <c r="AA7" s="18">
        <f t="shared" si="4"/>
        <v>-1.7423511190586705E-3</v>
      </c>
    </row>
    <row r="8" spans="1:27" ht="14.25" customHeight="1" x14ac:dyDescent="0.3">
      <c r="B8" s="2">
        <v>6</v>
      </c>
      <c r="C8" s="5">
        <v>5.0000000000000001E-3</v>
      </c>
      <c r="D8" s="2">
        <v>30.592933048019301</v>
      </c>
      <c r="E8" s="2">
        <v>1.1817348863061601</v>
      </c>
      <c r="F8" s="2">
        <v>3.4670000000000001</v>
      </c>
      <c r="G8" s="2">
        <v>89.997314566391694</v>
      </c>
      <c r="H8" s="5" t="s">
        <v>6</v>
      </c>
      <c r="J8" s="2">
        <v>6</v>
      </c>
      <c r="K8" s="2">
        <v>5.0000000000000001E-3</v>
      </c>
      <c r="L8" s="2">
        <v>-4.7954771376129504</v>
      </c>
      <c r="M8" s="2">
        <v>1.9442693774019599</v>
      </c>
      <c r="N8" s="2">
        <v>43.360265085521299</v>
      </c>
      <c r="O8" s="2" t="s">
        <v>16</v>
      </c>
      <c r="Q8" s="2">
        <v>6</v>
      </c>
      <c r="R8" s="2">
        <v>1.4999999999999999E-2</v>
      </c>
      <c r="S8" s="2">
        <v>0.109994925799468</v>
      </c>
      <c r="T8" s="2">
        <v>-2.2842629894114501E-2</v>
      </c>
      <c r="U8" s="15">
        <v>-1.83425322055898E-2</v>
      </c>
      <c r="V8" s="15">
        <v>-8.5493162363798805E-3</v>
      </c>
      <c r="X8" s="2">
        <f t="shared" ref="X8:AA8" si="5">S9-S8</f>
        <v>2.0521624775506994E-2</v>
      </c>
      <c r="Y8" s="2">
        <f t="shared" si="5"/>
        <v>-2.9712872077424998E-3</v>
      </c>
      <c r="Z8" s="18">
        <f t="shared" si="5"/>
        <v>-3.7309883241627984E-3</v>
      </c>
      <c r="AA8" s="18">
        <f t="shared" si="5"/>
        <v>-1.7517552153964201E-3</v>
      </c>
    </row>
    <row r="9" spans="1:27" ht="14.25" customHeight="1" x14ac:dyDescent="0.3">
      <c r="B9" s="2">
        <v>7</v>
      </c>
      <c r="C9" s="2">
        <v>5.0000000000000001E-3</v>
      </c>
      <c r="D9" s="2">
        <v>-4.8240777776734998</v>
      </c>
      <c r="E9" s="2">
        <v>0.20984790834842301</v>
      </c>
      <c r="F9" s="2">
        <v>2.8170000000000002</v>
      </c>
      <c r="G9" s="2">
        <v>52.322783520850599</v>
      </c>
      <c r="H9" s="2" t="s">
        <v>16</v>
      </c>
      <c r="J9" s="2">
        <v>7</v>
      </c>
      <c r="K9" s="2">
        <v>5.0000000000000001E-3</v>
      </c>
      <c r="L9" s="2">
        <v>-8.4679332426951905</v>
      </c>
      <c r="M9" s="2">
        <v>1.57003442270284</v>
      </c>
      <c r="N9" s="2">
        <v>36.052204160652302</v>
      </c>
      <c r="O9" s="2" t="s">
        <v>17</v>
      </c>
      <c r="Q9" s="2">
        <v>7</v>
      </c>
      <c r="R9" s="2">
        <v>1.7500000000000002E-2</v>
      </c>
      <c r="S9" s="2">
        <v>0.13051655057497499</v>
      </c>
      <c r="T9" s="2">
        <v>-2.5813917101857001E-2</v>
      </c>
      <c r="U9" s="15">
        <v>-2.2073520529752599E-2</v>
      </c>
      <c r="V9" s="15">
        <v>-1.0301071451776301E-2</v>
      </c>
      <c r="X9" s="2">
        <f t="shared" ref="X9:AA9" si="6">S10-S9</f>
        <v>2.0632665115213E-2</v>
      </c>
      <c r="Y9" s="2">
        <f t="shared" si="6"/>
        <v>-2.9873645283515979E-3</v>
      </c>
      <c r="Z9" s="18">
        <f t="shared" si="6"/>
        <v>-3.7511763070645007E-3</v>
      </c>
      <c r="AA9" s="18">
        <f t="shared" si="6"/>
        <v>-1.7612337774319999E-3</v>
      </c>
    </row>
    <row r="10" spans="1:27" ht="14.25" customHeight="1" x14ac:dyDescent="0.3">
      <c r="B10" s="2">
        <v>8</v>
      </c>
      <c r="C10" s="2">
        <v>5.0000000000000001E-3</v>
      </c>
      <c r="D10" s="2">
        <v>-8.0049851498257301</v>
      </c>
      <c r="E10" s="2">
        <v>0.125152208869589</v>
      </c>
      <c r="F10" s="2">
        <v>2.9220000000000002</v>
      </c>
      <c r="G10" s="2">
        <v>38.350333430498502</v>
      </c>
      <c r="H10" s="2" t="s">
        <v>17</v>
      </c>
      <c r="J10" s="2">
        <v>8</v>
      </c>
      <c r="K10" s="2">
        <v>5.0000000000000001E-3</v>
      </c>
      <c r="L10" s="2">
        <v>-2.41022660162443</v>
      </c>
      <c r="M10" s="2">
        <v>1.5408351911592799</v>
      </c>
      <c r="N10" s="2">
        <v>42.717646482822801</v>
      </c>
      <c r="O10" s="2" t="s">
        <v>18</v>
      </c>
      <c r="Q10" s="2">
        <v>8</v>
      </c>
      <c r="R10" s="2">
        <v>0.02</v>
      </c>
      <c r="S10" s="2">
        <v>0.15114921569018799</v>
      </c>
      <c r="T10" s="2">
        <v>-2.8801281630208599E-2</v>
      </c>
      <c r="U10" s="15">
        <v>-2.5824696836817099E-2</v>
      </c>
      <c r="V10" s="15">
        <v>-1.2062305229208301E-2</v>
      </c>
      <c r="X10" s="2">
        <f t="shared" ref="X10:AA10" si="7">S11-S10</f>
        <v>2.0744586827130013E-2</v>
      </c>
      <c r="Y10" s="2">
        <f t="shared" si="7"/>
        <v>-3.003569461171203E-3</v>
      </c>
      <c r="Z10" s="18">
        <f t="shared" si="7"/>
        <v>-3.7715245302447006E-3</v>
      </c>
      <c r="AA10" s="18">
        <f t="shared" si="7"/>
        <v>-1.7707875747418993E-3</v>
      </c>
    </row>
    <row r="11" spans="1:27" ht="14.25" customHeight="1" x14ac:dyDescent="0.3">
      <c r="B11" s="2">
        <v>9</v>
      </c>
      <c r="C11" s="2">
        <v>5.0000000000000001E-3</v>
      </c>
      <c r="D11" s="2">
        <v>-2.4202428266696798</v>
      </c>
      <c r="E11" s="2">
        <v>0.33094967394257702</v>
      </c>
      <c r="F11" s="2">
        <v>1.823</v>
      </c>
      <c r="G11" s="2">
        <v>51.099800811661297</v>
      </c>
      <c r="H11" s="2" t="s">
        <v>18</v>
      </c>
      <c r="J11" s="2">
        <v>9</v>
      </c>
      <c r="K11" s="2">
        <v>7.4999999999999997E-3</v>
      </c>
      <c r="L11" s="2">
        <v>30.947173007342901</v>
      </c>
      <c r="M11" s="15">
        <v>4.6452807041134996</v>
      </c>
      <c r="N11" s="2">
        <v>74.1794913220713</v>
      </c>
      <c r="O11" s="5" t="s">
        <v>6</v>
      </c>
      <c r="Q11" s="2">
        <v>9</v>
      </c>
      <c r="R11" s="2">
        <v>2.2499999999999999E-2</v>
      </c>
      <c r="S11" s="2">
        <v>0.17189380251731801</v>
      </c>
      <c r="T11" s="2">
        <v>-3.1804851091379802E-2</v>
      </c>
      <c r="U11" s="15">
        <v>-2.95962213670618E-2</v>
      </c>
      <c r="V11" s="15">
        <v>-1.38330928039502E-2</v>
      </c>
      <c r="X11" s="2">
        <f t="shared" ref="X11:AA11" si="8">S12-S11</f>
        <v>2.085739903943698E-2</v>
      </c>
      <c r="Y11" s="2">
        <f t="shared" si="8"/>
        <v>-3.0199033278534987E-3</v>
      </c>
      <c r="Z11" s="18">
        <f t="shared" si="8"/>
        <v>-3.7920346531653028E-3</v>
      </c>
      <c r="AA11" s="18">
        <f t="shared" si="8"/>
        <v>-1.7804173863484006E-3</v>
      </c>
    </row>
    <row r="12" spans="1:27" ht="14.25" customHeight="1" x14ac:dyDescent="0.3">
      <c r="B12" s="2">
        <v>10</v>
      </c>
      <c r="C12" s="11">
        <v>5.0000000000000001E-3</v>
      </c>
      <c r="D12" s="2">
        <v>30.592933034854401</v>
      </c>
      <c r="E12" s="2">
        <v>1.1817348863061601</v>
      </c>
      <c r="F12" s="2">
        <v>3.4670000000000001</v>
      </c>
      <c r="G12" s="2">
        <v>89.997314589411104</v>
      </c>
      <c r="H12" s="11" t="s">
        <v>27</v>
      </c>
      <c r="J12" s="2">
        <v>10</v>
      </c>
      <c r="K12" s="2">
        <v>7.4999999999999997E-3</v>
      </c>
      <c r="L12" s="2">
        <v>-4.7954771375883603</v>
      </c>
      <c r="M12" s="2">
        <v>1.9442693773261399</v>
      </c>
      <c r="N12" s="2">
        <v>43.360265076562499</v>
      </c>
      <c r="O12" s="2" t="s">
        <v>16</v>
      </c>
      <c r="Q12" s="2">
        <v>10</v>
      </c>
      <c r="R12" s="2">
        <v>2.5000000000000001E-2</v>
      </c>
      <c r="S12" s="2">
        <v>0.19275120155675499</v>
      </c>
      <c r="T12" s="2">
        <v>-3.48247544192333E-2</v>
      </c>
      <c r="U12" s="15">
        <v>-3.3388256020227103E-2</v>
      </c>
      <c r="V12" s="15">
        <v>-1.56135101902986E-2</v>
      </c>
      <c r="X12" s="2">
        <f t="shared" ref="X12:AA12" si="9">S13-S12</f>
        <v>2.0971110995883002E-2</v>
      </c>
      <c r="Y12" s="2">
        <f t="shared" si="9"/>
        <v>-3.0363674668051968E-3</v>
      </c>
      <c r="Z12" s="18">
        <f t="shared" si="9"/>
        <v>-3.8127083564631972E-3</v>
      </c>
      <c r="AA12" s="18">
        <f t="shared" si="9"/>
        <v>-1.7901240014385998E-3</v>
      </c>
    </row>
    <row r="13" spans="1:27" ht="14.25" customHeight="1" x14ac:dyDescent="0.3">
      <c r="B13" s="2">
        <v>11</v>
      </c>
      <c r="C13" s="5">
        <v>7.4999999999999997E-3</v>
      </c>
      <c r="D13" s="2">
        <v>30.5929330479653</v>
      </c>
      <c r="E13" s="2">
        <v>1.1817348861777399</v>
      </c>
      <c r="F13" s="2">
        <v>3.4670000000000001</v>
      </c>
      <c r="G13" s="2">
        <v>89.997314570940006</v>
      </c>
      <c r="H13" s="5" t="s">
        <v>6</v>
      </c>
      <c r="J13" s="2">
        <v>11</v>
      </c>
      <c r="K13" s="2">
        <v>7.4999999999999997E-3</v>
      </c>
      <c r="L13" s="2">
        <v>-8.4679332427854401</v>
      </c>
      <c r="M13" s="2">
        <v>1.57003442269509</v>
      </c>
      <c r="N13" s="2">
        <v>36.052204160764902</v>
      </c>
      <c r="O13" s="2" t="s">
        <v>17</v>
      </c>
      <c r="Q13" s="2">
        <v>11</v>
      </c>
      <c r="R13" s="2">
        <v>2.75E-2</v>
      </c>
      <c r="S13" s="2">
        <v>0.21372231255263799</v>
      </c>
      <c r="T13" s="2">
        <v>-3.7861121886038497E-2</v>
      </c>
      <c r="U13" s="15">
        <v>-3.72009643766903E-2</v>
      </c>
      <c r="V13" s="15">
        <v>-1.74036341917372E-2</v>
      </c>
      <c r="X13" s="2">
        <f t="shared" ref="X13:AA13" si="10">S14-S13</f>
        <v>2.1085732057378015E-2</v>
      </c>
      <c r="Y13" s="2">
        <f t="shared" si="10"/>
        <v>-3.0529632333156018E-3</v>
      </c>
      <c r="Z13" s="18">
        <f t="shared" si="10"/>
        <v>-3.8335473420302024E-3</v>
      </c>
      <c r="AA13" s="18">
        <f t="shared" si="10"/>
        <v>-1.7999082190639989E-3</v>
      </c>
    </row>
    <row r="14" spans="1:27" ht="14.25" customHeight="1" x14ac:dyDescent="0.3">
      <c r="B14" s="2">
        <v>12</v>
      </c>
      <c r="C14" s="2">
        <v>7.4999999999999997E-3</v>
      </c>
      <c r="D14" s="2">
        <v>-4.8240777776585704</v>
      </c>
      <c r="E14" s="2">
        <v>0.20984790853178301</v>
      </c>
      <c r="F14" s="2">
        <v>2.8170000000000002</v>
      </c>
      <c r="G14" s="2">
        <v>52.322783509788302</v>
      </c>
      <c r="H14" s="2" t="s">
        <v>16</v>
      </c>
      <c r="J14" s="2">
        <v>12</v>
      </c>
      <c r="K14" s="2">
        <v>7.4999999999999997E-3</v>
      </c>
      <c r="L14" s="2">
        <v>-2.41022660163729</v>
      </c>
      <c r="M14" s="2">
        <v>1.5408351912665801</v>
      </c>
      <c r="N14" s="2">
        <v>42.717646489441499</v>
      </c>
      <c r="O14" s="2" t="s">
        <v>18</v>
      </c>
      <c r="Q14" s="2">
        <v>12</v>
      </c>
      <c r="R14" s="2">
        <v>0.03</v>
      </c>
      <c r="S14" s="2">
        <v>0.234808044610016</v>
      </c>
      <c r="T14" s="2">
        <v>-4.0914085119354099E-2</v>
      </c>
      <c r="U14" s="15">
        <v>-4.1034511718720502E-2</v>
      </c>
      <c r="V14" s="15">
        <v>-1.9203542410801199E-2</v>
      </c>
      <c r="X14" s="2">
        <f t="shared" ref="X14:AA14" si="11">S15-S14</f>
        <v>2.1201271704079011E-2</v>
      </c>
      <c r="Y14" s="2">
        <f t="shared" si="11"/>
        <v>-3.0696920000820999E-3</v>
      </c>
      <c r="Z14" s="18">
        <f t="shared" si="11"/>
        <v>-3.8545533333790988E-3</v>
      </c>
      <c r="AA14" s="18">
        <f t="shared" si="11"/>
        <v>-1.8097708483905024E-3</v>
      </c>
    </row>
    <row r="15" spans="1:27" ht="14.25" customHeight="1" x14ac:dyDescent="0.3">
      <c r="B15" s="2">
        <v>13</v>
      </c>
      <c r="C15" s="2">
        <v>7.4999999999999997E-3</v>
      </c>
      <c r="D15" s="2">
        <v>-8.0049851529273308</v>
      </c>
      <c r="E15" s="2">
        <v>0.12515221120207401</v>
      </c>
      <c r="F15" s="2">
        <v>2.9220000000000002</v>
      </c>
      <c r="G15" s="2">
        <v>38.350333407688403</v>
      </c>
      <c r="H15" s="2" t="s">
        <v>17</v>
      </c>
      <c r="J15" s="2">
        <v>13</v>
      </c>
      <c r="K15" s="2">
        <v>0.01</v>
      </c>
      <c r="L15" s="2">
        <v>30.9752802793688</v>
      </c>
      <c r="M15" s="15">
        <v>4.9560346736504002</v>
      </c>
      <c r="N15" s="2">
        <v>72.405033876226497</v>
      </c>
      <c r="O15" s="5" t="s">
        <v>6</v>
      </c>
      <c r="Q15" s="2">
        <v>13</v>
      </c>
      <c r="R15" s="2">
        <v>3.2500000000000001E-2</v>
      </c>
      <c r="S15" s="2">
        <v>0.25600931631409501</v>
      </c>
      <c r="T15" s="2">
        <v>-4.3983777119436199E-2</v>
      </c>
      <c r="U15" s="15">
        <v>-4.4889065052099601E-2</v>
      </c>
      <c r="V15" s="15">
        <v>-2.1013313259191702E-2</v>
      </c>
      <c r="X15" s="2">
        <f t="shared" ref="X15:AA15" si="12">S16-S15</f>
        <v>2.1317739536939995E-2</v>
      </c>
      <c r="Y15" s="2">
        <f t="shared" si="12"/>
        <v>-3.0865551571822025E-3</v>
      </c>
      <c r="Z15" s="18">
        <f t="shared" si="12"/>
        <v>-3.8757280760901014E-3</v>
      </c>
      <c r="AA15" s="18">
        <f t="shared" si="12"/>
        <v>-1.8197127090334997E-3</v>
      </c>
    </row>
    <row r="16" spans="1:27" ht="14.25" customHeight="1" x14ac:dyDescent="0.3">
      <c r="B16" s="2">
        <v>14</v>
      </c>
      <c r="C16" s="2">
        <v>7.4999999999999997E-3</v>
      </c>
      <c r="D16" s="2">
        <v>-2.4202428266794</v>
      </c>
      <c r="E16" s="2">
        <v>0.330949673966212</v>
      </c>
      <c r="F16" s="2">
        <v>1.823</v>
      </c>
      <c r="G16" s="2">
        <v>51.0998008194113</v>
      </c>
      <c r="H16" s="2" t="s">
        <v>18</v>
      </c>
      <c r="J16" s="2">
        <v>14</v>
      </c>
      <c r="K16" s="2">
        <v>0.01</v>
      </c>
      <c r="L16" s="2">
        <v>-4.7897653692907198</v>
      </c>
      <c r="M16" s="2">
        <v>2.0137934342817401</v>
      </c>
      <c r="N16" s="2">
        <v>40.371583815192601</v>
      </c>
      <c r="O16" s="2" t="s">
        <v>16</v>
      </c>
      <c r="Q16" s="2">
        <v>14</v>
      </c>
      <c r="R16" s="2">
        <v>3.5000000000000003E-2</v>
      </c>
      <c r="S16" s="2">
        <v>0.27732705585103501</v>
      </c>
      <c r="T16" s="2">
        <v>-4.7070332276618401E-2</v>
      </c>
      <c r="U16" s="15">
        <v>-4.8764793128189703E-2</v>
      </c>
      <c r="V16" s="15">
        <v>-2.2833025968225201E-2</v>
      </c>
      <c r="X16" s="2">
        <f t="shared" ref="X16:AA16" si="13">S17-S16</f>
        <v>2.1435145279437018E-2</v>
      </c>
      <c r="Y16" s="2">
        <f t="shared" si="13"/>
        <v>-3.1035541123855953E-3</v>
      </c>
      <c r="Z16" s="18">
        <f t="shared" si="13"/>
        <v>-3.8970733379730949E-3</v>
      </c>
      <c r="AA16" s="18">
        <f t="shared" si="13"/>
        <v>-1.8297346309736999E-3</v>
      </c>
    </row>
    <row r="17" spans="2:27" ht="14.25" customHeight="1" x14ac:dyDescent="0.3">
      <c r="B17" s="2">
        <v>15</v>
      </c>
      <c r="C17" s="11">
        <v>7.4999999999999997E-3</v>
      </c>
      <c r="D17" s="2">
        <v>30.592933034823101</v>
      </c>
      <c r="E17" s="2">
        <v>1.1817348861777399</v>
      </c>
      <c r="F17" s="2">
        <v>3.4670000000000001</v>
      </c>
      <c r="G17" s="2">
        <v>89.997314593919597</v>
      </c>
      <c r="H17" s="11" t="s">
        <v>27</v>
      </c>
      <c r="J17" s="2">
        <v>15</v>
      </c>
      <c r="K17" s="2">
        <v>0.01</v>
      </c>
      <c r="L17" s="2">
        <v>-8.5008786923622299</v>
      </c>
      <c r="M17" s="2">
        <v>1.54455665268173</v>
      </c>
      <c r="N17" s="2">
        <v>28.964645722010101</v>
      </c>
      <c r="O17" s="2" t="s">
        <v>17</v>
      </c>
      <c r="Q17" s="2">
        <v>15</v>
      </c>
      <c r="R17" s="2">
        <v>3.7499999999999999E-2</v>
      </c>
      <c r="S17" s="2">
        <v>0.29876220113047203</v>
      </c>
      <c r="T17" s="2">
        <v>-5.0173886389003997E-2</v>
      </c>
      <c r="U17" s="15">
        <v>-5.2661866466162797E-2</v>
      </c>
      <c r="V17" s="15">
        <v>-2.4662760599198901E-2</v>
      </c>
      <c r="X17" s="2">
        <f t="shared" ref="X17:AA17" si="14">S18-S17</f>
        <v>2.1553498779725955E-2</v>
      </c>
      <c r="Y17" s="2">
        <f t="shared" si="14"/>
        <v>-3.1206902916523019E-3</v>
      </c>
      <c r="Z17" s="18">
        <f t="shared" si="14"/>
        <v>-3.9185909093931021E-3</v>
      </c>
      <c r="AA17" s="18">
        <f t="shared" si="14"/>
        <v>-1.8398374548917983E-3</v>
      </c>
    </row>
    <row r="18" spans="2:27" ht="14.25" customHeight="1" x14ac:dyDescent="0.3">
      <c r="B18" s="2">
        <v>16</v>
      </c>
      <c r="C18" s="5">
        <v>0.01</v>
      </c>
      <c r="D18" s="2">
        <v>30.6374366144811</v>
      </c>
      <c r="E18" s="2">
        <v>1.6338769519559599</v>
      </c>
      <c r="F18" s="2">
        <v>3.359</v>
      </c>
      <c r="G18" s="2">
        <v>87.288459397210602</v>
      </c>
      <c r="H18" s="5" t="s">
        <v>6</v>
      </c>
      <c r="J18" s="2">
        <v>16</v>
      </c>
      <c r="K18" s="2">
        <v>0.01</v>
      </c>
      <c r="L18" s="2">
        <v>-2.4119873981987499</v>
      </c>
      <c r="M18" s="2">
        <v>1.55211664027325</v>
      </c>
      <c r="N18" s="2">
        <v>37.288547852975498</v>
      </c>
      <c r="O18" s="2" t="s">
        <v>18</v>
      </c>
      <c r="Q18" s="2">
        <v>16</v>
      </c>
      <c r="R18" s="2">
        <v>0.04</v>
      </c>
      <c r="S18" s="2">
        <v>0.32031569991019798</v>
      </c>
      <c r="T18" s="2">
        <v>-5.3294576680656298E-2</v>
      </c>
      <c r="U18" s="15">
        <v>-5.65804573755559E-2</v>
      </c>
      <c r="V18" s="15">
        <v>-2.6502598054090699E-2</v>
      </c>
      <c r="X18" s="2">
        <f t="shared" ref="X18:AA18" si="15">S19-S18</f>
        <v>2.1672810012117016E-2</v>
      </c>
      <c r="Y18" s="2">
        <f t="shared" si="15"/>
        <v>-3.1379651391745048E-3</v>
      </c>
      <c r="Z18" s="18">
        <f t="shared" si="15"/>
        <v>-3.9402826038983998E-3</v>
      </c>
      <c r="AA18" s="18">
        <f t="shared" si="15"/>
        <v>-1.8500220321685003E-3</v>
      </c>
    </row>
    <row r="19" spans="2:27" ht="14.25" customHeight="1" x14ac:dyDescent="0.3">
      <c r="B19" s="2">
        <v>17</v>
      </c>
      <c r="C19" s="2">
        <v>0.01</v>
      </c>
      <c r="D19" s="2">
        <v>-4.8138893828432501</v>
      </c>
      <c r="E19" s="2">
        <v>0.25052741591047001</v>
      </c>
      <c r="F19" s="2">
        <v>2.7850000000000001</v>
      </c>
      <c r="G19" s="2">
        <v>50.116935251109403</v>
      </c>
      <c r="H19" s="2" t="s">
        <v>16</v>
      </c>
      <c r="J19" s="2">
        <v>17</v>
      </c>
      <c r="K19" s="2">
        <v>1.2500000000000001E-2</v>
      </c>
      <c r="L19" s="2">
        <v>30.947173007342801</v>
      </c>
      <c r="M19" s="15">
        <v>4.64528070421329</v>
      </c>
      <c r="N19" s="2">
        <v>74.179491322548003</v>
      </c>
      <c r="O19" s="5" t="s">
        <v>6</v>
      </c>
      <c r="Q19" s="2">
        <v>17</v>
      </c>
      <c r="R19" s="2">
        <v>4.2500000000000003E-2</v>
      </c>
      <c r="S19" s="2">
        <v>0.341988509922315</v>
      </c>
      <c r="T19" s="2">
        <v>-5.6432541819830803E-2</v>
      </c>
      <c r="U19" s="15">
        <v>-6.0520739979454299E-2</v>
      </c>
      <c r="V19" s="15">
        <v>-2.83526200862592E-2</v>
      </c>
      <c r="X19" s="2">
        <f t="shared" ref="X19:AA19" si="16">S20-S19</f>
        <v>2.179308907932298E-2</v>
      </c>
      <c r="Y19" s="2">
        <f t="shared" si="16"/>
        <v>-3.1553801176471968E-3</v>
      </c>
      <c r="Z19" s="18">
        <f t="shared" si="16"/>
        <v>-3.962150258140798E-3</v>
      </c>
      <c r="AA19" s="18">
        <f t="shared" si="16"/>
        <v>-1.8602892252020005E-3</v>
      </c>
    </row>
    <row r="20" spans="2:27" ht="14.25" customHeight="1" x14ac:dyDescent="0.3">
      <c r="B20" s="2">
        <v>18</v>
      </c>
      <c r="C20" s="2">
        <v>0.01</v>
      </c>
      <c r="D20" s="2">
        <v>-8.4822363770662506</v>
      </c>
      <c r="E20" s="2">
        <v>0.122132762490457</v>
      </c>
      <c r="F20" s="2">
        <v>2.8109999999999999</v>
      </c>
      <c r="G20" s="2">
        <v>36.896432326861799</v>
      </c>
      <c r="H20" s="2" t="s">
        <v>17</v>
      </c>
      <c r="J20" s="2">
        <v>18</v>
      </c>
      <c r="K20" s="2">
        <v>1.2500000000000001E-2</v>
      </c>
      <c r="L20" s="2">
        <v>-4.7954771376037897</v>
      </c>
      <c r="M20" s="2">
        <v>1.94426937740442</v>
      </c>
      <c r="N20" s="2">
        <v>43.360265081476697</v>
      </c>
      <c r="O20" s="2" t="s">
        <v>16</v>
      </c>
      <c r="Q20" s="2">
        <v>18</v>
      </c>
      <c r="R20" s="2">
        <v>4.4999999999999998E-2</v>
      </c>
      <c r="S20" s="2">
        <v>0.36378159900163798</v>
      </c>
      <c r="T20" s="2">
        <v>-5.9587921937478E-2</v>
      </c>
      <c r="U20" s="15">
        <v>-6.4482890237595097E-2</v>
      </c>
      <c r="V20" s="15">
        <v>-3.02129093114612E-2</v>
      </c>
      <c r="X20" s="2">
        <f t="shared" ref="X20:AA20" si="17">S21-S20</f>
        <v>2.1914346214088998E-2</v>
      </c>
      <c r="Y20" s="2">
        <f t="shared" si="17"/>
        <v>-3.1729367086796995E-3</v>
      </c>
      <c r="Z20" s="18">
        <f t="shared" si="17"/>
        <v>-3.9841957325848082E-3</v>
      </c>
      <c r="AA20" s="18">
        <f t="shared" si="17"/>
        <v>-1.8706399075587021E-3</v>
      </c>
    </row>
    <row r="21" spans="2:27" ht="14.25" customHeight="1" x14ac:dyDescent="0.3">
      <c r="B21" s="2">
        <v>19</v>
      </c>
      <c r="C21" s="2">
        <v>0.01</v>
      </c>
      <c r="D21" s="2">
        <v>-2.4217380326972799</v>
      </c>
      <c r="E21" s="2">
        <v>0.34377345351433503</v>
      </c>
      <c r="F21" s="2">
        <v>1.8160000000000001</v>
      </c>
      <c r="G21" s="2">
        <v>46.341430328403099</v>
      </c>
      <c r="H21" s="2" t="s">
        <v>18</v>
      </c>
      <c r="J21" s="2">
        <v>19</v>
      </c>
      <c r="K21" s="2">
        <v>1.2500000000000001E-2</v>
      </c>
      <c r="L21" s="2">
        <v>-8.4679332427277707</v>
      </c>
      <c r="M21" s="2">
        <v>1.57003442268028</v>
      </c>
      <c r="N21" s="2">
        <v>36.052204161192499</v>
      </c>
      <c r="O21" s="2" t="s">
        <v>17</v>
      </c>
      <c r="Q21" s="2">
        <v>19</v>
      </c>
      <c r="R21" s="2">
        <v>4.7500000000000001E-2</v>
      </c>
      <c r="S21" s="2">
        <v>0.38569594521572698</v>
      </c>
      <c r="T21" s="2">
        <v>-6.2760858646157699E-2</v>
      </c>
      <c r="U21" s="15">
        <v>-6.8467085970179906E-2</v>
      </c>
      <c r="V21" s="15">
        <v>-3.2083549219019902E-2</v>
      </c>
      <c r="X21" s="2">
        <f t="shared" ref="X21:AA21" si="18">S22-S21</f>
        <v>2.203659178143702E-2</v>
      </c>
      <c r="Y21" s="2">
        <f t="shared" si="18"/>
        <v>-3.1906364129952042E-3</v>
      </c>
      <c r="Z21" s="18">
        <f t="shared" si="18"/>
        <v>-4.0064209115898974E-3</v>
      </c>
      <c r="AA21" s="18">
        <f t="shared" si="18"/>
        <v>-1.8810749638225946E-3</v>
      </c>
    </row>
    <row r="22" spans="2:27" ht="14.25" customHeight="1" x14ac:dyDescent="0.3">
      <c r="B22" s="2">
        <v>20</v>
      </c>
      <c r="C22" s="11">
        <v>0.01</v>
      </c>
      <c r="D22" s="2">
        <v>30.6374366144811</v>
      </c>
      <c r="E22" s="2">
        <v>1.6338769519559599</v>
      </c>
      <c r="F22" s="2">
        <v>3.359</v>
      </c>
      <c r="G22" s="2">
        <v>87.288459397210602</v>
      </c>
      <c r="H22" s="11" t="s">
        <v>27</v>
      </c>
      <c r="J22" s="2">
        <v>20</v>
      </c>
      <c r="K22" s="2">
        <v>1.2500000000000001E-2</v>
      </c>
      <c r="L22" s="2">
        <v>-2.4102266016528602</v>
      </c>
      <c r="M22" s="2">
        <v>1.54083519128672</v>
      </c>
      <c r="N22" s="2">
        <v>42.717646488408</v>
      </c>
      <c r="O22" s="2" t="s">
        <v>18</v>
      </c>
      <c r="Q22" s="2">
        <v>20</v>
      </c>
      <c r="R22" s="2">
        <v>0.05</v>
      </c>
      <c r="S22" s="2">
        <v>0.407732536997164</v>
      </c>
      <c r="T22" s="2">
        <v>-6.5951495059152904E-2</v>
      </c>
      <c r="U22" s="15">
        <v>-7.2473506881769803E-2</v>
      </c>
      <c r="V22" s="15">
        <v>-3.3964624182842497E-2</v>
      </c>
      <c r="X22" s="2">
        <f t="shared" ref="X22:AA22" si="19">S23-S22</f>
        <v>2.2159836280421008E-2</v>
      </c>
      <c r="Y22" s="2">
        <f t="shared" si="19"/>
        <v>-3.2084807507003904E-3</v>
      </c>
      <c r="Z22" s="18">
        <f t="shared" si="19"/>
        <v>-4.0288277040189946E-3</v>
      </c>
      <c r="AA22" s="18">
        <f t="shared" si="19"/>
        <v>-1.8915952903806044E-3</v>
      </c>
    </row>
    <row r="23" spans="2:27" ht="14.25" customHeight="1" x14ac:dyDescent="0.3">
      <c r="B23" s="2">
        <v>21</v>
      </c>
      <c r="C23" s="5">
        <v>1.2500000000000001E-2</v>
      </c>
      <c r="D23" s="2">
        <v>30.592933047952101</v>
      </c>
      <c r="E23" s="2">
        <v>1.1817348862870201</v>
      </c>
      <c r="F23" s="2">
        <v>3.4670000000000001</v>
      </c>
      <c r="G23" s="2">
        <v>89.997314571623406</v>
      </c>
      <c r="H23" s="5" t="s">
        <v>6</v>
      </c>
      <c r="J23" s="2">
        <v>21</v>
      </c>
      <c r="K23" s="2">
        <v>1.4999999999999999E-2</v>
      </c>
      <c r="L23" s="2">
        <v>30.947316168219501</v>
      </c>
      <c r="M23" s="2">
        <v>4.64527445216304</v>
      </c>
      <c r="N23" s="2">
        <v>71.892587245856404</v>
      </c>
      <c r="O23" s="5" t="s">
        <v>6</v>
      </c>
      <c r="Q23" s="2">
        <v>21</v>
      </c>
      <c r="R23" s="2">
        <v>5.2499999999999998E-2</v>
      </c>
      <c r="S23" s="2">
        <v>0.429892373277585</v>
      </c>
      <c r="T23" s="2">
        <v>-6.9159975809853294E-2</v>
      </c>
      <c r="U23" s="15">
        <v>-7.6502334585788798E-2</v>
      </c>
      <c r="V23" s="15">
        <v>-3.5856219473223101E-2</v>
      </c>
      <c r="X23" s="2">
        <f t="shared" ref="X23:AA23" si="20">S24-S23</f>
        <v>2.2284090346279983E-2</v>
      </c>
      <c r="Y23" s="2">
        <f t="shared" si="20"/>
        <v>-3.2264712617405128E-3</v>
      </c>
      <c r="Z23" s="18">
        <f t="shared" si="20"/>
        <v>-4.0514180434619018E-3</v>
      </c>
      <c r="AA23" s="18">
        <f t="shared" si="20"/>
        <v>-1.9022017949891015E-3</v>
      </c>
    </row>
    <row r="24" spans="2:27" ht="14.25" customHeight="1" x14ac:dyDescent="0.3">
      <c r="B24" s="2">
        <v>22</v>
      </c>
      <c r="C24" s="2">
        <v>1.2500000000000001E-2</v>
      </c>
      <c r="D24" s="2">
        <v>-4.82407777766743</v>
      </c>
      <c r="E24" s="2">
        <v>0.209847908558494</v>
      </c>
      <c r="F24" s="2">
        <v>2.8170000000000002</v>
      </c>
      <c r="G24" s="2">
        <v>52.322783515604499</v>
      </c>
      <c r="H24" s="2" t="s">
        <v>16</v>
      </c>
      <c r="J24" s="2">
        <v>22</v>
      </c>
      <c r="K24" s="2">
        <v>1.4999999999999999E-2</v>
      </c>
      <c r="L24" s="2">
        <v>-4.7945248768050899</v>
      </c>
      <c r="M24" s="2">
        <v>1.94409971749239</v>
      </c>
      <c r="N24" s="2">
        <v>38.3682025532149</v>
      </c>
      <c r="O24" s="2" t="s">
        <v>16</v>
      </c>
      <c r="Q24" s="2">
        <v>22</v>
      </c>
      <c r="R24" s="2">
        <v>5.5E-2</v>
      </c>
      <c r="S24" s="2">
        <v>0.45217646362386499</v>
      </c>
      <c r="T24" s="2">
        <v>-7.2386447071593807E-2</v>
      </c>
      <c r="U24" s="15">
        <v>-8.0553752629250699E-2</v>
      </c>
      <c r="V24" s="15">
        <v>-3.7758421268212203E-2</v>
      </c>
      <c r="X24" s="2">
        <f t="shared" ref="X24:AA24" si="21">S25-S24</f>
        <v>2.2409364752587035E-2</v>
      </c>
      <c r="Y24" s="2">
        <f t="shared" si="21"/>
        <v>-3.2446095058844965E-3</v>
      </c>
      <c r="Z24" s="18">
        <f t="shared" si="21"/>
        <v>-4.0741938885194978E-3</v>
      </c>
      <c r="AA24" s="18">
        <f t="shared" si="21"/>
        <v>-1.9128953973409982E-3</v>
      </c>
    </row>
    <row r="25" spans="2:27" ht="14.25" customHeight="1" x14ac:dyDescent="0.3">
      <c r="B25" s="2">
        <v>23</v>
      </c>
      <c r="C25" s="2">
        <v>1.2500000000000001E-2</v>
      </c>
      <c r="D25" s="2">
        <v>-8.0049851546946993</v>
      </c>
      <c r="E25" s="2">
        <v>0.12515220939424601</v>
      </c>
      <c r="F25" s="2">
        <v>2.9220000000000002</v>
      </c>
      <c r="G25" s="2">
        <v>38.350333480283098</v>
      </c>
      <c r="H25" s="2" t="s">
        <v>17</v>
      </c>
      <c r="J25" s="2">
        <v>23</v>
      </c>
      <c r="K25" s="2">
        <v>1.4999999999999999E-2</v>
      </c>
      <c r="L25" s="2">
        <v>-8.4669568567071796</v>
      </c>
      <c r="M25" s="2">
        <v>1.56995796863249</v>
      </c>
      <c r="N25" s="2">
        <v>30.885576880714702</v>
      </c>
      <c r="O25" s="2" t="s">
        <v>17</v>
      </c>
      <c r="Q25" s="2">
        <v>23</v>
      </c>
      <c r="R25" s="2">
        <v>5.7500000000000002E-2</v>
      </c>
      <c r="S25" s="2">
        <v>0.47458582837645202</v>
      </c>
      <c r="T25" s="2">
        <v>-7.5631056577478303E-2</v>
      </c>
      <c r="U25" s="15">
        <v>-8.4627946517770197E-2</v>
      </c>
      <c r="V25" s="15">
        <v>-3.9671316665553201E-2</v>
      </c>
      <c r="X25" s="2">
        <f t="shared" ref="X25:AA25" si="22">S26-S25</f>
        <v>2.2535670413082964E-2</v>
      </c>
      <c r="Y25" s="2">
        <f t="shared" si="22"/>
        <v>-3.2628970633935966E-3</v>
      </c>
      <c r="Z25" s="18">
        <f t="shared" si="22"/>
        <v>-4.0971572235345005E-3</v>
      </c>
      <c r="AA25" s="18">
        <f t="shared" si="22"/>
        <v>-1.9236770289828009E-3</v>
      </c>
    </row>
    <row r="26" spans="2:27" ht="14.25" customHeight="1" x14ac:dyDescent="0.3">
      <c r="B26" s="2">
        <v>24</v>
      </c>
      <c r="C26" s="2">
        <v>1.2500000000000001E-2</v>
      </c>
      <c r="D26" s="2">
        <v>-2.4202428266942801</v>
      </c>
      <c r="E26" s="2">
        <v>0.330949674014069</v>
      </c>
      <c r="F26" s="2">
        <v>1.823</v>
      </c>
      <c r="G26" s="2">
        <v>51.099800817584203</v>
      </c>
      <c r="H26" s="2" t="s">
        <v>18</v>
      </c>
      <c r="J26" s="2">
        <v>24</v>
      </c>
      <c r="K26" s="2">
        <v>1.4999999999999999E-2</v>
      </c>
      <c r="L26" s="2">
        <v>-2.4097734817840402</v>
      </c>
      <c r="M26" s="2">
        <v>1.54069562508821</v>
      </c>
      <c r="N26" s="2">
        <v>37.235831363774203</v>
      </c>
      <c r="O26" s="2" t="s">
        <v>18</v>
      </c>
      <c r="Q26" s="2">
        <v>24</v>
      </c>
      <c r="R26" s="2">
        <v>0.06</v>
      </c>
      <c r="S26" s="2">
        <v>0.49712149878953499</v>
      </c>
      <c r="T26" s="2">
        <v>-7.88939536408719E-2</v>
      </c>
      <c r="U26" s="15">
        <v>-8.8725103741304698E-2</v>
      </c>
      <c r="V26" s="15">
        <v>-4.1594993694536002E-2</v>
      </c>
      <c r="X26" s="2">
        <f t="shared" ref="X26:AA26" si="23">S27-S26</f>
        <v>2.266301838415502E-2</v>
      </c>
      <c r="Y26" s="2">
        <f t="shared" si="23"/>
        <v>-3.2813355351067053E-3</v>
      </c>
      <c r="Z26" s="18">
        <f t="shared" si="23"/>
        <v>-4.1203100586122976E-3</v>
      </c>
      <c r="AA26" s="18">
        <f t="shared" si="23"/>
        <v>-1.934547633783E-3</v>
      </c>
    </row>
    <row r="27" spans="2:27" ht="14.25" customHeight="1" x14ac:dyDescent="0.3">
      <c r="B27" s="2">
        <v>25</v>
      </c>
      <c r="C27" s="11">
        <v>1.2500000000000001E-2</v>
      </c>
      <c r="D27" s="2">
        <v>30.592933034809899</v>
      </c>
      <c r="E27" s="2">
        <v>1.1817348862870201</v>
      </c>
      <c r="F27" s="2">
        <v>3.4670000000000001</v>
      </c>
      <c r="G27" s="2">
        <v>89.997314594603097</v>
      </c>
      <c r="H27" s="11" t="s">
        <v>27</v>
      </c>
      <c r="J27" s="2">
        <v>25</v>
      </c>
      <c r="K27" s="2">
        <v>1.7500000000000002E-2</v>
      </c>
      <c r="L27" s="2">
        <v>30.9471730073424</v>
      </c>
      <c r="M27" s="15">
        <v>4.6452807041148096</v>
      </c>
      <c r="N27" s="2">
        <v>74.179491322030898</v>
      </c>
      <c r="O27" s="5" t="s">
        <v>6</v>
      </c>
      <c r="Q27" s="2">
        <v>25</v>
      </c>
      <c r="R27" s="2">
        <v>6.25E-2</v>
      </c>
      <c r="S27" s="2">
        <v>0.51978451717369001</v>
      </c>
      <c r="T27" s="2">
        <v>-8.2175289175978605E-2</v>
      </c>
      <c r="U27" s="15">
        <v>-9.2845413799916995E-2</v>
      </c>
      <c r="V27" s="15">
        <v>-4.3529541328319002E-2</v>
      </c>
      <c r="X27" s="2">
        <f t="shared" ref="X27:AA27" si="24">S28-S27</f>
        <v>2.2791419866701967E-2</v>
      </c>
      <c r="Y27" s="2">
        <f t="shared" si="24"/>
        <v>-3.2999265426809921E-3</v>
      </c>
      <c r="Z27" s="18">
        <f t="shared" si="24"/>
        <v>-4.1436544300463007E-3</v>
      </c>
      <c r="AA27" s="18">
        <f t="shared" si="24"/>
        <v>-1.9455081678141015E-3</v>
      </c>
    </row>
    <row r="28" spans="2:27" ht="14.25" customHeight="1" x14ac:dyDescent="0.3">
      <c r="B28" s="2">
        <v>26</v>
      </c>
      <c r="C28" s="5">
        <v>1.4999999999999999E-2</v>
      </c>
      <c r="D28" s="2">
        <v>30.5930753732551</v>
      </c>
      <c r="E28" s="2">
        <v>1.18173423140961</v>
      </c>
      <c r="F28" s="2">
        <v>3.4670000000000001</v>
      </c>
      <c r="G28" s="2">
        <v>89.1112728236469</v>
      </c>
      <c r="H28" s="5" t="s">
        <v>6</v>
      </c>
      <c r="J28" s="2">
        <v>26</v>
      </c>
      <c r="K28" s="2">
        <v>1.7500000000000002E-2</v>
      </c>
      <c r="L28" s="2">
        <v>-4.7954771375880698</v>
      </c>
      <c r="M28" s="2">
        <v>1.9442693774727899</v>
      </c>
      <c r="N28" s="2">
        <v>43.360265084004297</v>
      </c>
      <c r="O28" s="2" t="s">
        <v>16</v>
      </c>
      <c r="Q28" s="2">
        <v>26</v>
      </c>
      <c r="R28" s="2">
        <v>6.5000000000000002E-2</v>
      </c>
      <c r="S28" s="2">
        <v>0.54257593704039198</v>
      </c>
      <c r="T28" s="2">
        <v>-8.5475215718659597E-2</v>
      </c>
      <c r="U28" s="15">
        <v>-9.6989068229963296E-2</v>
      </c>
      <c r="V28" s="15">
        <v>-4.5475049496133103E-2</v>
      </c>
      <c r="X28" s="2">
        <f t="shared" ref="X28:AA28" si="25">S29-S28</f>
        <v>2.2920886208532054E-2</v>
      </c>
      <c r="Y28" s="2">
        <f t="shared" si="25"/>
        <v>-3.3186717293034046E-3</v>
      </c>
      <c r="Z28" s="18">
        <f t="shared" si="25"/>
        <v>-4.16719240115071E-3</v>
      </c>
      <c r="AA28" s="18">
        <f t="shared" si="25"/>
        <v>-1.9565595997552976E-3</v>
      </c>
    </row>
    <row r="29" spans="2:27" ht="14.25" customHeight="1" x14ac:dyDescent="0.3">
      <c r="B29" s="2">
        <v>27</v>
      </c>
      <c r="C29" s="2">
        <v>1.4999999999999999E-2</v>
      </c>
      <c r="D29" s="2">
        <v>-4.8231441056274598</v>
      </c>
      <c r="E29" s="2">
        <v>0.21461638990960399</v>
      </c>
      <c r="F29" s="2">
        <v>2.8130000000000002</v>
      </c>
      <c r="G29" s="2">
        <v>48.117897967936202</v>
      </c>
      <c r="H29" s="2" t="s">
        <v>16</v>
      </c>
      <c r="J29" s="2">
        <v>27</v>
      </c>
      <c r="K29" s="2">
        <v>1.7500000000000002E-2</v>
      </c>
      <c r="L29" s="2">
        <v>-8.4679332427981997</v>
      </c>
      <c r="M29" s="2">
        <v>1.5700344226953</v>
      </c>
      <c r="N29" s="2">
        <v>36.052204160810703</v>
      </c>
      <c r="O29" s="2" t="s">
        <v>17</v>
      </c>
      <c r="Q29" s="2">
        <v>27</v>
      </c>
      <c r="R29" s="2">
        <v>6.7500000000000004E-2</v>
      </c>
      <c r="S29" s="2">
        <v>0.56549682324892403</v>
      </c>
      <c r="T29" s="2">
        <v>-8.8793887447963002E-2</v>
      </c>
      <c r="U29" s="15">
        <v>-0.10115626063111401</v>
      </c>
      <c r="V29" s="15">
        <v>-4.7431609095888401E-2</v>
      </c>
      <c r="X29" s="2">
        <f t="shared" ref="X29:AA29" si="26">S30-S29</f>
        <v>2.3051428906703975E-2</v>
      </c>
      <c r="Y29" s="2">
        <f t="shared" si="26"/>
        <v>-3.3375727594489035E-3</v>
      </c>
      <c r="Z29" s="18">
        <f t="shared" si="26"/>
        <v>-4.190926061937994E-3</v>
      </c>
      <c r="AA29" s="18">
        <f t="shared" si="26"/>
        <v>-1.9677029109910968E-3</v>
      </c>
    </row>
    <row r="30" spans="2:27" ht="14.25" customHeight="1" x14ac:dyDescent="0.3">
      <c r="B30" s="2">
        <v>28</v>
      </c>
      <c r="C30" s="2">
        <v>1.4999999999999999E-2</v>
      </c>
      <c r="D30" s="2">
        <v>-8.0039892296858195</v>
      </c>
      <c r="E30" s="2">
        <v>0.12611160297124199</v>
      </c>
      <c r="F30" s="2">
        <v>2.9220000000000002</v>
      </c>
      <c r="G30" s="2">
        <v>33.340274828639501</v>
      </c>
      <c r="H30" s="2" t="s">
        <v>17</v>
      </c>
      <c r="J30" s="2">
        <v>28</v>
      </c>
      <c r="K30" s="2">
        <v>1.7500000000000002E-2</v>
      </c>
      <c r="L30" s="2">
        <v>-2.4102266016416198</v>
      </c>
      <c r="M30" s="2">
        <v>1.5408351911951299</v>
      </c>
      <c r="N30" s="2">
        <v>42.717646480192101</v>
      </c>
      <c r="O30" s="2" t="s">
        <v>18</v>
      </c>
      <c r="Q30" s="2">
        <v>28</v>
      </c>
      <c r="R30" s="2">
        <v>7.0000000000000007E-2</v>
      </c>
      <c r="S30" s="2">
        <v>0.588548252155628</v>
      </c>
      <c r="T30" s="2">
        <v>-9.2131460207411905E-2</v>
      </c>
      <c r="U30" s="15">
        <v>-0.105347186693052</v>
      </c>
      <c r="V30" s="15">
        <v>-4.9399312006879498E-2</v>
      </c>
      <c r="X30" s="2">
        <f t="shared" ref="X30:AA30" si="27">S31-S30</f>
        <v>2.318305960938094E-2</v>
      </c>
      <c r="Y30" s="2">
        <f t="shared" si="27"/>
        <v>-3.3566313197610914E-3</v>
      </c>
      <c r="Z30" s="18">
        <f t="shared" si="27"/>
        <v>-4.2148575303919966E-3</v>
      </c>
      <c r="AA30" s="18">
        <f t="shared" si="27"/>
        <v>-1.9789390958802056E-3</v>
      </c>
    </row>
    <row r="31" spans="2:27" ht="14.25" customHeight="1" x14ac:dyDescent="0.3">
      <c r="B31" s="2">
        <v>29</v>
      </c>
      <c r="C31" s="2">
        <v>1.4999999999999999E-2</v>
      </c>
      <c r="D31" s="2">
        <v>-2.4197905150580401</v>
      </c>
      <c r="E31" s="2">
        <v>0.330809459467379</v>
      </c>
      <c r="F31" s="2">
        <v>1.823</v>
      </c>
      <c r="G31" s="2">
        <v>46.417510379632503</v>
      </c>
      <c r="H31" s="2" t="s">
        <v>18</v>
      </c>
      <c r="J31" s="2">
        <v>29</v>
      </c>
      <c r="K31" s="2">
        <v>0.02</v>
      </c>
      <c r="L31" s="2">
        <v>30.9759643417771</v>
      </c>
      <c r="M31" s="15">
        <v>4.9559868468632304</v>
      </c>
      <c r="N31" s="2">
        <v>72.405417662011899</v>
      </c>
      <c r="O31" s="5" t="s">
        <v>6</v>
      </c>
      <c r="Q31" s="2">
        <v>29</v>
      </c>
      <c r="R31" s="2">
        <v>7.2499999999999995E-2</v>
      </c>
      <c r="S31" s="2">
        <v>0.61173131176500894</v>
      </c>
      <c r="T31" s="2">
        <v>-9.5488091527172997E-2</v>
      </c>
      <c r="U31" s="15">
        <v>-0.109562044223444</v>
      </c>
      <c r="V31" s="15">
        <v>-5.1378251102759703E-2</v>
      </c>
      <c r="X31" s="2">
        <f t="shared" ref="X31:AA31" si="28">S32-S31</f>
        <v>2.3315790118762059E-2</v>
      </c>
      <c r="Y31" s="2">
        <f t="shared" si="28"/>
        <v>-3.3758491189673084E-3</v>
      </c>
      <c r="Z31" s="18">
        <f t="shared" si="28"/>
        <v>-4.2389889520470098E-3</v>
      </c>
      <c r="AA31" s="18">
        <f t="shared" si="28"/>
        <v>-1.9902691618554E-3</v>
      </c>
    </row>
    <row r="32" spans="2:27" ht="14.25" customHeight="1" x14ac:dyDescent="0.3">
      <c r="B32" s="2">
        <v>30</v>
      </c>
      <c r="C32" s="11">
        <v>1.4999999999999999E-2</v>
      </c>
      <c r="D32" s="2">
        <v>30.593075373277902</v>
      </c>
      <c r="E32" s="2">
        <v>1.18173423140961</v>
      </c>
      <c r="F32" s="2">
        <v>3.4670000000000001</v>
      </c>
      <c r="G32" s="2">
        <v>89.111272823605603</v>
      </c>
      <c r="H32" s="11" t="s">
        <v>27</v>
      </c>
      <c r="J32" s="2">
        <v>30</v>
      </c>
      <c r="K32" s="2">
        <v>0.02</v>
      </c>
      <c r="L32" s="2">
        <v>-4.7845207738597004</v>
      </c>
      <c r="M32" s="2">
        <v>2.0129383665877598</v>
      </c>
      <c r="N32" s="2">
        <v>40.334030311482998</v>
      </c>
      <c r="O32" s="2" t="s">
        <v>16</v>
      </c>
      <c r="Q32" s="2">
        <v>30</v>
      </c>
      <c r="R32" s="2">
        <v>7.4999999999999997E-2</v>
      </c>
      <c r="S32" s="16">
        <v>0.635047101883771</v>
      </c>
      <c r="T32" s="17">
        <v>-9.8863940646140305E-2</v>
      </c>
      <c r="U32" s="15">
        <v>-0.11380103317549101</v>
      </c>
      <c r="V32" s="15">
        <v>-5.3368520264615103E-2</v>
      </c>
    </row>
    <row r="33" spans="2:15" ht="14.25" customHeight="1" x14ac:dyDescent="0.3">
      <c r="B33" s="2">
        <v>31</v>
      </c>
      <c r="C33" s="5">
        <v>1.7500000000000002E-2</v>
      </c>
      <c r="D33" s="2">
        <v>30.5929330479652</v>
      </c>
      <c r="E33" s="2">
        <v>1.18173488617539</v>
      </c>
      <c r="F33" s="2">
        <v>3.4670000000000001</v>
      </c>
      <c r="G33" s="2">
        <v>89.997314570976002</v>
      </c>
      <c r="H33" s="5" t="s">
        <v>6</v>
      </c>
      <c r="J33" s="2">
        <v>31</v>
      </c>
      <c r="K33" s="2">
        <v>0.02</v>
      </c>
      <c r="L33" s="2">
        <v>-8.4970545180533694</v>
      </c>
      <c r="M33" s="2">
        <v>1.5442726987144999</v>
      </c>
      <c r="N33" s="2">
        <v>28.948357009238201</v>
      </c>
      <c r="O33" s="2" t="s">
        <v>17</v>
      </c>
    </row>
    <row r="34" spans="2:15" ht="14.25" customHeight="1" x14ac:dyDescent="0.3">
      <c r="B34" s="2">
        <v>32</v>
      </c>
      <c r="C34" s="2">
        <v>1.7500000000000002E-2</v>
      </c>
      <c r="D34" s="2">
        <v>-4.8240777776487898</v>
      </c>
      <c r="E34" s="2">
        <v>0.20984790869740699</v>
      </c>
      <c r="F34" s="2">
        <v>2.8170000000000002</v>
      </c>
      <c r="G34" s="2">
        <v>52.322783518681497</v>
      </c>
      <c r="H34" s="2" t="s">
        <v>16</v>
      </c>
      <c r="J34" s="2">
        <v>32</v>
      </c>
      <c r="K34" s="2">
        <v>0.02</v>
      </c>
      <c r="L34" s="2">
        <v>-2.40985653333773</v>
      </c>
      <c r="M34" s="2">
        <v>1.55145257215738</v>
      </c>
      <c r="N34" s="2">
        <v>37.254155666214402</v>
      </c>
      <c r="O34" s="2" t="s">
        <v>18</v>
      </c>
    </row>
    <row r="35" spans="2:15" ht="14.25" customHeight="1" x14ac:dyDescent="0.3">
      <c r="B35" s="2">
        <v>33</v>
      </c>
      <c r="C35" s="2">
        <v>1.7500000000000002E-2</v>
      </c>
      <c r="D35" s="2">
        <v>-8.0049851579641604</v>
      </c>
      <c r="E35" s="2">
        <v>0.125152212969283</v>
      </c>
      <c r="F35" s="2">
        <v>2.9220000000000002</v>
      </c>
      <c r="G35" s="2">
        <v>38.350333426680301</v>
      </c>
      <c r="H35" s="2" t="s">
        <v>17</v>
      </c>
      <c r="J35" s="2">
        <v>33</v>
      </c>
      <c r="K35" s="2">
        <v>2.2499999999999999E-2</v>
      </c>
      <c r="L35" s="2">
        <v>30.975280279367201</v>
      </c>
      <c r="M35" s="15">
        <v>4.9560346736544103</v>
      </c>
      <c r="N35" s="2">
        <v>72.405033876271801</v>
      </c>
      <c r="O35" s="5" t="s">
        <v>6</v>
      </c>
    </row>
    <row r="36" spans="2:15" ht="14.25" customHeight="1" x14ac:dyDescent="0.3">
      <c r="B36" s="2">
        <v>34</v>
      </c>
      <c r="C36" s="2">
        <v>1.7500000000000002E-2</v>
      </c>
      <c r="D36" s="2">
        <v>-2.42024282668701</v>
      </c>
      <c r="E36" s="2">
        <v>0.330949674103242</v>
      </c>
      <c r="F36" s="2">
        <v>1.823</v>
      </c>
      <c r="G36" s="2">
        <v>51.099800807405501</v>
      </c>
      <c r="H36" s="2" t="s">
        <v>18</v>
      </c>
      <c r="J36" s="2">
        <v>34</v>
      </c>
      <c r="K36" s="2">
        <v>2.2499999999999999E-2</v>
      </c>
      <c r="L36" s="2">
        <v>-4.7897653693140398</v>
      </c>
      <c r="M36" s="2">
        <v>2.01379343421095</v>
      </c>
      <c r="N36" s="2">
        <v>40.371583811217398</v>
      </c>
      <c r="O36" s="2" t="s">
        <v>16</v>
      </c>
    </row>
    <row r="37" spans="2:15" ht="14.25" customHeight="1" x14ac:dyDescent="0.3">
      <c r="B37" s="2">
        <v>35</v>
      </c>
      <c r="C37" s="11">
        <v>1.7500000000000002E-2</v>
      </c>
      <c r="D37" s="2">
        <v>30.592933034823002</v>
      </c>
      <c r="E37" s="2">
        <v>1.18173488617539</v>
      </c>
      <c r="F37" s="2">
        <v>3.4670000000000001</v>
      </c>
      <c r="G37" s="2">
        <v>89.997314593955593</v>
      </c>
      <c r="H37" s="11" t="s">
        <v>27</v>
      </c>
      <c r="J37" s="2">
        <v>35</v>
      </c>
      <c r="K37" s="2">
        <v>2.2499999999999999E-2</v>
      </c>
      <c r="L37" s="2">
        <v>-8.5008786923630009</v>
      </c>
      <c r="M37" s="2">
        <v>1.5445566526858101</v>
      </c>
      <c r="N37" s="2">
        <v>28.964645722126399</v>
      </c>
      <c r="O37" s="2" t="s">
        <v>17</v>
      </c>
    </row>
    <row r="38" spans="2:15" ht="14.25" customHeight="1" x14ac:dyDescent="0.3">
      <c r="B38" s="2">
        <v>36</v>
      </c>
      <c r="C38" s="5">
        <v>0.02</v>
      </c>
      <c r="D38" s="2">
        <v>30.638118664724299</v>
      </c>
      <c r="E38" s="2">
        <v>1.63387205424924</v>
      </c>
      <c r="F38" s="2">
        <v>3.359</v>
      </c>
      <c r="G38" s="2">
        <v>87.288033922314199</v>
      </c>
      <c r="H38" s="5" t="s">
        <v>6</v>
      </c>
      <c r="J38" s="2">
        <v>36</v>
      </c>
      <c r="K38" s="2">
        <v>2.2499999999999999E-2</v>
      </c>
      <c r="L38" s="2">
        <v>-2.4119873981954298</v>
      </c>
      <c r="M38" s="2">
        <v>1.55211664030445</v>
      </c>
      <c r="N38" s="2">
        <v>37.288547854388902</v>
      </c>
      <c r="O38" s="2" t="s">
        <v>18</v>
      </c>
    </row>
    <row r="39" spans="2:15" ht="14.25" customHeight="1" x14ac:dyDescent="0.3">
      <c r="B39" s="2">
        <v>37</v>
      </c>
      <c r="C39" s="2">
        <v>0.02</v>
      </c>
      <c r="D39" s="2">
        <v>-4.8086595174932896</v>
      </c>
      <c r="E39" s="2">
        <v>0.24935355406933299</v>
      </c>
      <c r="F39" s="2">
        <v>2.786</v>
      </c>
      <c r="G39" s="2">
        <v>50.072475920212497</v>
      </c>
      <c r="H39" s="2" t="s">
        <v>16</v>
      </c>
      <c r="J39" s="2">
        <v>37</v>
      </c>
      <c r="K39" s="2">
        <v>2.5000000000000001E-2</v>
      </c>
      <c r="L39" s="2">
        <v>30.947316168216599</v>
      </c>
      <c r="M39" s="15">
        <v>4.6452744521509501</v>
      </c>
      <c r="N39" s="2">
        <v>71.892587245918605</v>
      </c>
      <c r="O39" s="5" t="s">
        <v>6</v>
      </c>
    </row>
    <row r="40" spans="2:15" ht="14.25" customHeight="1" x14ac:dyDescent="0.3">
      <c r="B40" s="2">
        <v>38</v>
      </c>
      <c r="C40" s="2">
        <v>0.02</v>
      </c>
      <c r="D40" s="2">
        <v>-8.5329251546674492</v>
      </c>
      <c r="E40" s="2">
        <v>0.112959282691957</v>
      </c>
      <c r="F40" s="2">
        <v>2.8069999999999999</v>
      </c>
      <c r="G40" s="2">
        <v>37.007149103339898</v>
      </c>
      <c r="H40" s="2" t="s">
        <v>17</v>
      </c>
      <c r="J40" s="2">
        <v>38</v>
      </c>
      <c r="K40" s="2">
        <v>2.5000000000000001E-2</v>
      </c>
      <c r="L40" s="2">
        <v>-4.7945248768227797</v>
      </c>
      <c r="M40" s="2">
        <v>1.9440997176667401</v>
      </c>
      <c r="N40" s="2">
        <v>38.368202550734601</v>
      </c>
      <c r="O40" s="2" t="s">
        <v>16</v>
      </c>
    </row>
    <row r="41" spans="2:15" ht="14.25" customHeight="1" x14ac:dyDescent="0.3">
      <c r="B41" s="2">
        <v>39</v>
      </c>
      <c r="C41" s="2">
        <v>0.02</v>
      </c>
      <c r="D41" s="2">
        <v>-2.41961112994592</v>
      </c>
      <c r="E41" s="2">
        <v>0.34314681979464701</v>
      </c>
      <c r="F41" s="2">
        <v>1.8160000000000001</v>
      </c>
      <c r="G41" s="2">
        <v>46.299426812942102</v>
      </c>
      <c r="H41" s="2" t="s">
        <v>18</v>
      </c>
      <c r="J41" s="2">
        <v>39</v>
      </c>
      <c r="K41" s="2">
        <v>2.5000000000000001E-2</v>
      </c>
      <c r="L41" s="2">
        <v>-8.4669568567081903</v>
      </c>
      <c r="M41" s="2">
        <v>1.5699579685915801</v>
      </c>
      <c r="N41" s="2">
        <v>30.885576881451701</v>
      </c>
      <c r="O41" s="2" t="s">
        <v>17</v>
      </c>
    </row>
    <row r="42" spans="2:15" ht="14.25" customHeight="1" x14ac:dyDescent="0.3">
      <c r="B42" s="2">
        <v>40</v>
      </c>
      <c r="C42" s="11">
        <v>0.02</v>
      </c>
      <c r="D42" s="2">
        <v>30.638118664724299</v>
      </c>
      <c r="E42" s="2">
        <v>1.63387205424924</v>
      </c>
      <c r="F42" s="2">
        <v>3.359</v>
      </c>
      <c r="G42" s="2">
        <v>87.288033922314199</v>
      </c>
      <c r="H42" s="11" t="s">
        <v>27</v>
      </c>
      <c r="J42" s="2">
        <v>40</v>
      </c>
      <c r="K42" s="2">
        <v>2.5000000000000001E-2</v>
      </c>
      <c r="L42" s="2">
        <v>-2.4097734817930299</v>
      </c>
      <c r="M42" s="2">
        <v>1.54069562534134</v>
      </c>
      <c r="N42" s="2">
        <v>37.235831361040198</v>
      </c>
      <c r="O42" s="2" t="s">
        <v>18</v>
      </c>
    </row>
    <row r="43" spans="2:15" ht="14.25" customHeight="1" x14ac:dyDescent="0.3">
      <c r="B43" s="2">
        <v>41</v>
      </c>
      <c r="C43" s="5">
        <v>2.2499999999999999E-2</v>
      </c>
      <c r="D43" s="2">
        <v>30.6374366144783</v>
      </c>
      <c r="E43" s="2">
        <v>1.6338769519596901</v>
      </c>
      <c r="F43" s="2">
        <v>3.359</v>
      </c>
      <c r="G43" s="2">
        <v>87.288459397212506</v>
      </c>
      <c r="H43" s="5" t="s">
        <v>6</v>
      </c>
      <c r="J43" s="2">
        <v>41</v>
      </c>
      <c r="K43" s="2">
        <v>2.75E-2</v>
      </c>
      <c r="L43" s="2">
        <v>30.975137138431201</v>
      </c>
      <c r="M43" s="15">
        <v>4.9560417009047999</v>
      </c>
      <c r="N43" s="2">
        <v>74.580740826154894</v>
      </c>
      <c r="O43" s="5" t="s">
        <v>6</v>
      </c>
    </row>
    <row r="44" spans="2:15" ht="14.25" customHeight="1" x14ac:dyDescent="0.3">
      <c r="B44" s="2">
        <v>42</v>
      </c>
      <c r="C44" s="2">
        <v>2.2499999999999999E-2</v>
      </c>
      <c r="D44" s="2">
        <v>-4.8138893828703804</v>
      </c>
      <c r="E44" s="2">
        <v>0.25052741588109401</v>
      </c>
      <c r="F44" s="2">
        <v>2.7850000000000001</v>
      </c>
      <c r="G44" s="2">
        <v>50.1169352459669</v>
      </c>
      <c r="H44" s="2" t="s">
        <v>16</v>
      </c>
      <c r="J44" s="2">
        <v>42</v>
      </c>
      <c r="K44" s="2">
        <v>2.75E-2</v>
      </c>
      <c r="L44" s="2">
        <v>-4.7907168360054699</v>
      </c>
      <c r="M44" s="2">
        <v>2.0139752386222001</v>
      </c>
      <c r="N44" s="2">
        <v>45.3148955798817</v>
      </c>
      <c r="O44" s="2" t="s">
        <v>16</v>
      </c>
    </row>
    <row r="45" spans="2:15" ht="14.25" customHeight="1" x14ac:dyDescent="0.3">
      <c r="B45" s="2">
        <v>43</v>
      </c>
      <c r="C45" s="2">
        <v>2.2499999999999999E-2</v>
      </c>
      <c r="D45" s="2">
        <v>-8.4822363822130793</v>
      </c>
      <c r="E45" s="2">
        <v>0.122132763045881</v>
      </c>
      <c r="F45" s="2">
        <v>2.8109999999999999</v>
      </c>
      <c r="G45" s="2">
        <v>36.896432336786802</v>
      </c>
      <c r="H45" s="2" t="s">
        <v>17</v>
      </c>
      <c r="J45" s="2">
        <v>43</v>
      </c>
      <c r="K45" s="2">
        <v>2.75E-2</v>
      </c>
      <c r="L45" s="2">
        <v>-8.5018526697125392</v>
      </c>
      <c r="M45" s="2">
        <v>1.5446326536847601</v>
      </c>
      <c r="N45" s="2">
        <v>34.047288733591998</v>
      </c>
      <c r="O45" s="2" t="s">
        <v>17</v>
      </c>
    </row>
    <row r="46" spans="2:15" ht="14.25" customHeight="1" x14ac:dyDescent="0.3">
      <c r="B46" s="2">
        <v>44</v>
      </c>
      <c r="C46" s="2">
        <v>2.2499999999999999E-2</v>
      </c>
      <c r="D46" s="2">
        <v>-2.42173803269326</v>
      </c>
      <c r="E46" s="2">
        <v>0.34377345351945299</v>
      </c>
      <c r="F46" s="2">
        <v>1.8160000000000001</v>
      </c>
      <c r="G46" s="2">
        <v>46.341430330149898</v>
      </c>
      <c r="H46" s="2" t="s">
        <v>18</v>
      </c>
      <c r="J46" s="2">
        <v>44</v>
      </c>
      <c r="K46" s="2">
        <v>2.75E-2</v>
      </c>
      <c r="L46" s="2">
        <v>-2.41243971889631</v>
      </c>
      <c r="M46" s="2">
        <v>1.55226046353823</v>
      </c>
      <c r="N46" s="2">
        <v>42.759388648361401</v>
      </c>
      <c r="O46" s="2" t="s">
        <v>18</v>
      </c>
    </row>
    <row r="47" spans="2:15" ht="14.25" customHeight="1" x14ac:dyDescent="0.3">
      <c r="B47" s="2">
        <v>45</v>
      </c>
      <c r="C47" s="11">
        <v>2.2499999999999999E-2</v>
      </c>
      <c r="D47" s="2">
        <v>30.6374366144783</v>
      </c>
      <c r="E47" s="2">
        <v>1.6338769519596901</v>
      </c>
      <c r="F47" s="2">
        <v>3.359</v>
      </c>
      <c r="G47" s="2">
        <v>87.288459397212506</v>
      </c>
      <c r="H47" s="11" t="s">
        <v>27</v>
      </c>
      <c r="J47" s="2">
        <v>45</v>
      </c>
      <c r="K47" s="2">
        <v>0.03</v>
      </c>
      <c r="L47" s="2">
        <v>30.9480006132375</v>
      </c>
      <c r="M47" s="15">
        <v>4.6452302198234099</v>
      </c>
      <c r="N47" s="2">
        <v>71.892900849307594</v>
      </c>
      <c r="O47" s="5" t="s">
        <v>6</v>
      </c>
    </row>
    <row r="48" spans="2:15" ht="14.25" customHeight="1" x14ac:dyDescent="0.3">
      <c r="B48" s="2">
        <v>46</v>
      </c>
      <c r="C48" s="5">
        <v>2.5000000000000001E-2</v>
      </c>
      <c r="D48" s="2">
        <v>30.593075373252699</v>
      </c>
      <c r="E48" s="2">
        <v>1.1817342314019901</v>
      </c>
      <c r="F48" s="2">
        <v>3.4670000000000001</v>
      </c>
      <c r="G48" s="2">
        <v>89.111272823513005</v>
      </c>
      <c r="H48" s="5" t="s">
        <v>6</v>
      </c>
      <c r="J48" s="2">
        <v>46</v>
      </c>
      <c r="K48" s="2">
        <v>0.03</v>
      </c>
      <c r="L48" s="2">
        <v>-4.78927690645809</v>
      </c>
      <c r="M48" s="2">
        <v>1.9432951357983499</v>
      </c>
      <c r="N48" s="2">
        <v>38.3319535747858</v>
      </c>
      <c r="O48" s="2" t="s">
        <v>16</v>
      </c>
    </row>
    <row r="49" spans="2:15" ht="14.25" customHeight="1" x14ac:dyDescent="0.3">
      <c r="B49" s="2">
        <v>47</v>
      </c>
      <c r="C49" s="2">
        <v>2.5000000000000001E-2</v>
      </c>
      <c r="D49" s="2">
        <v>-4.8231441057429398</v>
      </c>
      <c r="E49" s="2">
        <v>0.214616390606202</v>
      </c>
      <c r="F49" s="2">
        <v>2.8130000000000002</v>
      </c>
      <c r="G49" s="2">
        <v>48.1178979649696</v>
      </c>
      <c r="H49" s="2" t="s">
        <v>16</v>
      </c>
      <c r="J49" s="2">
        <v>47</v>
      </c>
      <c r="K49" s="2">
        <v>0.03</v>
      </c>
      <c r="L49" s="2">
        <v>-8.4631227385484404</v>
      </c>
      <c r="M49" s="2">
        <v>1.5696739259446499</v>
      </c>
      <c r="N49" s="2">
        <v>30.869696846456499</v>
      </c>
      <c r="O49" s="2" t="s">
        <v>17</v>
      </c>
    </row>
    <row r="50" spans="2:15" ht="14.25" customHeight="1" x14ac:dyDescent="0.3">
      <c r="B50" s="2">
        <v>48</v>
      </c>
      <c r="C50" s="2">
        <v>2.5000000000000001E-2</v>
      </c>
      <c r="D50" s="2">
        <v>-8.0039892341842105</v>
      </c>
      <c r="E50" s="2">
        <v>0.126111602066168</v>
      </c>
      <c r="F50" s="2">
        <v>2.9220000000000002</v>
      </c>
      <c r="G50" s="2">
        <v>33.340274918368102</v>
      </c>
      <c r="H50" s="2" t="s">
        <v>17</v>
      </c>
      <c r="J50" s="2">
        <v>48</v>
      </c>
      <c r="K50" s="2">
        <v>0.03</v>
      </c>
      <c r="L50" s="2">
        <v>-2.4076392137909401</v>
      </c>
      <c r="M50" s="2">
        <v>1.54005022764203</v>
      </c>
      <c r="N50" s="2">
        <v>37.202958961794998</v>
      </c>
      <c r="O50" s="2" t="s">
        <v>18</v>
      </c>
    </row>
    <row r="51" spans="2:15" ht="14.25" customHeight="1" x14ac:dyDescent="0.3">
      <c r="B51" s="2">
        <v>49</v>
      </c>
      <c r="C51" s="2">
        <v>2.5000000000000001E-2</v>
      </c>
      <c r="D51" s="2">
        <v>-2.4197905150671799</v>
      </c>
      <c r="E51" s="2">
        <v>0.33080946004107697</v>
      </c>
      <c r="F51" s="2">
        <v>1.823</v>
      </c>
      <c r="G51" s="2">
        <v>46.417510374166902</v>
      </c>
      <c r="H51" s="2" t="s">
        <v>18</v>
      </c>
      <c r="J51" s="2">
        <v>49</v>
      </c>
      <c r="K51" s="2">
        <v>3.2500000000000001E-2</v>
      </c>
      <c r="L51" s="2">
        <v>30.9471730073424</v>
      </c>
      <c r="M51" s="15">
        <v>4.6452807041148096</v>
      </c>
      <c r="N51" s="2">
        <v>74.179491322030898</v>
      </c>
      <c r="O51" s="5" t="s">
        <v>6</v>
      </c>
    </row>
    <row r="52" spans="2:15" ht="14.25" customHeight="1" x14ac:dyDescent="0.3">
      <c r="B52" s="2">
        <v>50</v>
      </c>
      <c r="C52" s="11">
        <v>2.5000000000000001E-2</v>
      </c>
      <c r="D52" s="2">
        <v>30.593075373252699</v>
      </c>
      <c r="E52" s="2">
        <v>1.1817342314019901</v>
      </c>
      <c r="F52" s="2">
        <v>3.4670000000000001</v>
      </c>
      <c r="G52" s="2">
        <v>89.111272823513005</v>
      </c>
      <c r="H52" s="11" t="s">
        <v>27</v>
      </c>
      <c r="J52" s="2">
        <v>50</v>
      </c>
      <c r="K52" s="2">
        <v>3.2500000000000001E-2</v>
      </c>
      <c r="L52" s="2">
        <v>-4.7954771375880698</v>
      </c>
      <c r="M52" s="2">
        <v>1.9442693774727899</v>
      </c>
      <c r="N52" s="2">
        <v>43.360265084004297</v>
      </c>
      <c r="O52" s="2" t="s">
        <v>16</v>
      </c>
    </row>
    <row r="53" spans="2:15" ht="14.25" customHeight="1" x14ac:dyDescent="0.3">
      <c r="B53" s="2">
        <v>51</v>
      </c>
      <c r="C53" s="5">
        <v>2.75E-2</v>
      </c>
      <c r="D53" s="2">
        <v>30.637294192971599</v>
      </c>
      <c r="E53" s="2">
        <v>1.6338774759793</v>
      </c>
      <c r="F53" s="2">
        <v>3.359</v>
      </c>
      <c r="G53" s="2">
        <v>88.290780185802603</v>
      </c>
      <c r="H53" s="5" t="s">
        <v>6</v>
      </c>
      <c r="J53" s="2">
        <v>51</v>
      </c>
      <c r="K53" s="2">
        <v>3.2500000000000001E-2</v>
      </c>
      <c r="L53" s="2">
        <v>-8.4679332427981997</v>
      </c>
      <c r="M53" s="2">
        <v>1.5700344226953</v>
      </c>
      <c r="N53" s="2">
        <v>36.052204160810703</v>
      </c>
      <c r="O53" s="2" t="s">
        <v>17</v>
      </c>
    </row>
    <row r="54" spans="2:15" ht="14.25" customHeight="1" x14ac:dyDescent="0.3">
      <c r="B54" s="2">
        <v>52</v>
      </c>
      <c r="C54" s="2">
        <v>2.75E-2</v>
      </c>
      <c r="D54" s="2">
        <v>-4.8148380605796399</v>
      </c>
      <c r="E54" s="2">
        <v>0.25078004682671201</v>
      </c>
      <c r="F54" s="2">
        <v>2.7850000000000001</v>
      </c>
      <c r="G54" s="2">
        <v>54.254811933459898</v>
      </c>
      <c r="H54" s="2" t="s">
        <v>16</v>
      </c>
      <c r="J54" s="2">
        <v>52</v>
      </c>
      <c r="K54" s="2">
        <v>3.2500000000000001E-2</v>
      </c>
      <c r="L54" s="2">
        <v>-2.4102266016416198</v>
      </c>
      <c r="M54" s="2">
        <v>1.5408351911951299</v>
      </c>
      <c r="N54" s="2">
        <v>42.717646480192101</v>
      </c>
      <c r="O54" s="2" t="s">
        <v>18</v>
      </c>
    </row>
    <row r="55" spans="2:15" ht="14.25" customHeight="1" x14ac:dyDescent="0.3">
      <c r="B55" s="2">
        <v>53</v>
      </c>
      <c r="C55" s="2">
        <v>2.75E-2</v>
      </c>
      <c r="D55" s="2">
        <v>-8.4126019942941692</v>
      </c>
      <c r="E55" s="2">
        <v>0.12566937895105201</v>
      </c>
      <c r="F55" s="2">
        <v>2.9489999999999998</v>
      </c>
      <c r="G55" s="2">
        <v>37.842749604939002</v>
      </c>
      <c r="H55" s="2" t="s">
        <v>17</v>
      </c>
      <c r="J55" s="2">
        <v>53</v>
      </c>
      <c r="K55" s="2">
        <v>3.5000000000000003E-2</v>
      </c>
      <c r="L55" s="2">
        <v>30.9759643417771</v>
      </c>
      <c r="M55" s="15">
        <v>4.9559868468632304</v>
      </c>
      <c r="N55" s="2">
        <v>72.405417662011899</v>
      </c>
      <c r="O55" s="5" t="s">
        <v>6</v>
      </c>
    </row>
    <row r="56" spans="2:15" ht="14.25" customHeight="1" x14ac:dyDescent="0.3">
      <c r="B56" s="2">
        <v>54</v>
      </c>
      <c r="C56" s="2">
        <v>2.75E-2</v>
      </c>
      <c r="D56" s="2">
        <v>-2.42218938978721</v>
      </c>
      <c r="E56" s="2">
        <v>0.343910729016074</v>
      </c>
      <c r="F56" s="2">
        <v>1.8160000000000001</v>
      </c>
      <c r="G56" s="2">
        <v>51.024999213588302</v>
      </c>
      <c r="H56" s="2" t="s">
        <v>18</v>
      </c>
      <c r="J56" s="2">
        <v>54</v>
      </c>
      <c r="K56" s="2">
        <v>3.5000000000000003E-2</v>
      </c>
      <c r="L56" s="2">
        <v>-4.7845207738597004</v>
      </c>
      <c r="M56" s="2">
        <v>2.0129383665877598</v>
      </c>
      <c r="N56" s="2">
        <v>40.334030311482998</v>
      </c>
      <c r="O56" s="2" t="s">
        <v>16</v>
      </c>
    </row>
    <row r="57" spans="2:15" ht="14.25" customHeight="1" x14ac:dyDescent="0.3">
      <c r="B57" s="2">
        <v>55</v>
      </c>
      <c r="C57" s="11">
        <v>2.75E-2</v>
      </c>
      <c r="D57" s="2">
        <v>30.6372941798294</v>
      </c>
      <c r="E57" s="2">
        <v>1.63387747597927</v>
      </c>
      <c r="F57" s="2">
        <v>3.359</v>
      </c>
      <c r="G57" s="2">
        <v>88.290780204745403</v>
      </c>
      <c r="H57" s="11" t="s">
        <v>27</v>
      </c>
      <c r="J57" s="2">
        <v>55</v>
      </c>
      <c r="K57" s="2">
        <v>3.5000000000000003E-2</v>
      </c>
      <c r="L57" s="2">
        <v>-8.4970545180533694</v>
      </c>
      <c r="M57" s="2">
        <v>1.5442726987144999</v>
      </c>
      <c r="N57" s="2">
        <v>28.948357009238201</v>
      </c>
      <c r="O57" s="2" t="s">
        <v>17</v>
      </c>
    </row>
    <row r="58" spans="2:15" ht="14.25" customHeight="1" x14ac:dyDescent="0.3">
      <c r="B58" s="2">
        <v>56</v>
      </c>
      <c r="C58" s="5">
        <v>0.03</v>
      </c>
      <c r="D58" s="2">
        <v>30.593757234281998</v>
      </c>
      <c r="E58" s="2">
        <v>1.1817252137175001</v>
      </c>
      <c r="F58" s="2">
        <v>3.4670000000000001</v>
      </c>
      <c r="G58" s="2">
        <v>89.110688902584499</v>
      </c>
      <c r="H58" s="5" t="s">
        <v>6</v>
      </c>
      <c r="J58" s="2">
        <v>56</v>
      </c>
      <c r="K58" s="2">
        <v>3.5000000000000003E-2</v>
      </c>
      <c r="L58" s="2">
        <v>-2.40985653333773</v>
      </c>
      <c r="M58" s="2">
        <v>1.55145257215738</v>
      </c>
      <c r="N58" s="2">
        <v>37.254155666214402</v>
      </c>
      <c r="O58" s="2" t="s">
        <v>18</v>
      </c>
    </row>
    <row r="59" spans="2:15" ht="14.25" customHeight="1" x14ac:dyDescent="0.3">
      <c r="B59" s="2">
        <v>57</v>
      </c>
      <c r="C59" s="2">
        <v>0.03</v>
      </c>
      <c r="D59" s="2">
        <v>-4.8179051627322798</v>
      </c>
      <c r="E59" s="2">
        <v>0.21333781631552201</v>
      </c>
      <c r="F59" s="2">
        <v>2.8149999999999999</v>
      </c>
      <c r="G59" s="2">
        <v>48.074046214267902</v>
      </c>
      <c r="H59" s="2" t="s">
        <v>16</v>
      </c>
      <c r="J59" s="2">
        <v>57</v>
      </c>
      <c r="K59" s="2">
        <v>3.7499999999999999E-2</v>
      </c>
      <c r="L59" s="2">
        <v>30.975280279367201</v>
      </c>
      <c r="M59" s="15">
        <v>4.9560346736544103</v>
      </c>
      <c r="N59" s="2">
        <v>72.405033876271801</v>
      </c>
      <c r="O59" s="5" t="s">
        <v>6</v>
      </c>
    </row>
    <row r="60" spans="2:15" ht="14.25" customHeight="1" x14ac:dyDescent="0.3">
      <c r="B60" s="2">
        <v>58</v>
      </c>
      <c r="C60" s="2">
        <v>0.03</v>
      </c>
      <c r="D60" s="2">
        <v>-8.0008001805983202</v>
      </c>
      <c r="E60" s="2">
        <v>0.12267923359343801</v>
      </c>
      <c r="F60" s="2">
        <v>2.9249999999999998</v>
      </c>
      <c r="G60" s="2">
        <v>33.288237948061003</v>
      </c>
      <c r="H60" s="2" t="s">
        <v>17</v>
      </c>
      <c r="J60" s="2">
        <v>58</v>
      </c>
      <c r="K60" s="2">
        <v>3.7499999999999999E-2</v>
      </c>
      <c r="L60" s="2">
        <v>-4.7897653693140398</v>
      </c>
      <c r="M60" s="2">
        <v>2.01379343421095</v>
      </c>
      <c r="N60" s="2">
        <v>40.371583811217398</v>
      </c>
      <c r="O60" s="2" t="s">
        <v>16</v>
      </c>
    </row>
    <row r="61" spans="2:15" ht="14.25" customHeight="1" x14ac:dyDescent="0.3">
      <c r="B61" s="2">
        <v>59</v>
      </c>
      <c r="C61" s="2">
        <v>0.03</v>
      </c>
      <c r="D61" s="2">
        <v>-2.4176594506297802</v>
      </c>
      <c r="E61" s="2">
        <v>0.33017645934283602</v>
      </c>
      <c r="F61" s="2">
        <v>1.823</v>
      </c>
      <c r="G61" s="2">
        <v>46.377285991125198</v>
      </c>
      <c r="H61" s="2" t="s">
        <v>18</v>
      </c>
      <c r="J61" s="2">
        <v>59</v>
      </c>
      <c r="K61" s="2">
        <v>3.7499999999999999E-2</v>
      </c>
      <c r="L61" s="2">
        <v>-8.5008786923630009</v>
      </c>
      <c r="M61" s="2">
        <v>1.5445566526858101</v>
      </c>
      <c r="N61" s="2">
        <v>28.964645722126399</v>
      </c>
      <c r="O61" s="2" t="s">
        <v>17</v>
      </c>
    </row>
    <row r="62" spans="2:15" ht="14.25" customHeight="1" x14ac:dyDescent="0.3">
      <c r="B62" s="2">
        <v>60</v>
      </c>
      <c r="C62" s="11">
        <v>0.03</v>
      </c>
      <c r="D62" s="2">
        <v>30.593757234281998</v>
      </c>
      <c r="E62" s="2">
        <v>1.1817252137175001</v>
      </c>
      <c r="F62" s="2">
        <v>3.4670000000000001</v>
      </c>
      <c r="G62" s="2">
        <v>89.110688902584499</v>
      </c>
      <c r="H62" s="11" t="s">
        <v>27</v>
      </c>
      <c r="J62" s="2">
        <v>60</v>
      </c>
      <c r="K62" s="2">
        <v>3.7499999999999999E-2</v>
      </c>
      <c r="L62" s="2">
        <v>-2.4119873981954298</v>
      </c>
      <c r="M62" s="2">
        <v>1.55211664030445</v>
      </c>
      <c r="N62" s="2">
        <v>37.288547854388902</v>
      </c>
      <c r="O62" s="2" t="s">
        <v>18</v>
      </c>
    </row>
    <row r="63" spans="2:15" ht="14.25" customHeight="1" x14ac:dyDescent="0.3">
      <c r="B63" s="2">
        <v>61</v>
      </c>
      <c r="C63" s="5">
        <v>3.2500000000000001E-2</v>
      </c>
      <c r="D63" s="2">
        <v>30.5929330479652</v>
      </c>
      <c r="E63" s="2">
        <v>1.18173488617539</v>
      </c>
      <c r="F63" s="2">
        <v>3.4670000000000001</v>
      </c>
      <c r="G63" s="2">
        <v>89.997314570976002</v>
      </c>
      <c r="H63" s="5" t="s">
        <v>6</v>
      </c>
      <c r="J63" s="2">
        <v>61</v>
      </c>
      <c r="K63" s="2">
        <v>0.04</v>
      </c>
      <c r="L63" s="2">
        <v>30.947316168216599</v>
      </c>
      <c r="M63" s="2">
        <v>4.6452744521509501</v>
      </c>
      <c r="N63" s="2">
        <v>71.892587245918605</v>
      </c>
      <c r="O63" s="5" t="s">
        <v>6</v>
      </c>
    </row>
    <row r="64" spans="2:15" ht="14.25" customHeight="1" x14ac:dyDescent="0.3">
      <c r="B64" s="2">
        <v>62</v>
      </c>
      <c r="C64" s="2">
        <v>3.2500000000000001E-2</v>
      </c>
      <c r="D64" s="2">
        <v>-4.8240777776487898</v>
      </c>
      <c r="E64" s="2">
        <v>0.20984790869740699</v>
      </c>
      <c r="F64" s="2">
        <v>2.8170000000000002</v>
      </c>
      <c r="G64" s="2">
        <v>52.322783518681497</v>
      </c>
      <c r="H64" s="2" t="s">
        <v>16</v>
      </c>
      <c r="J64" s="2">
        <v>62</v>
      </c>
      <c r="K64" s="2">
        <v>0.04</v>
      </c>
      <c r="L64" s="2">
        <v>-4.7945248768227797</v>
      </c>
      <c r="M64" s="2">
        <v>1.9440997176667401</v>
      </c>
      <c r="N64" s="2">
        <v>38.368202550734601</v>
      </c>
      <c r="O64" s="2" t="s">
        <v>16</v>
      </c>
    </row>
    <row r="65" spans="2:15" ht="14.25" customHeight="1" x14ac:dyDescent="0.3">
      <c r="B65" s="2">
        <v>63</v>
      </c>
      <c r="C65" s="2">
        <v>3.2500000000000001E-2</v>
      </c>
      <c r="D65" s="2">
        <v>-8.0049851579641604</v>
      </c>
      <c r="E65" s="2">
        <v>0.125152212969283</v>
      </c>
      <c r="F65" s="2">
        <v>2.9220000000000002</v>
      </c>
      <c r="G65" s="2">
        <v>38.350333426680301</v>
      </c>
      <c r="H65" s="2" t="s">
        <v>17</v>
      </c>
      <c r="J65" s="2">
        <v>63</v>
      </c>
      <c r="K65" s="2">
        <v>0.04</v>
      </c>
      <c r="L65" s="2">
        <v>-8.4669568567081903</v>
      </c>
      <c r="M65" s="2">
        <v>1.5699579685915801</v>
      </c>
      <c r="N65" s="2">
        <v>30.885576881451701</v>
      </c>
      <c r="O65" s="2" t="s">
        <v>17</v>
      </c>
    </row>
    <row r="66" spans="2:15" ht="14.25" customHeight="1" x14ac:dyDescent="0.3">
      <c r="B66" s="2">
        <v>64</v>
      </c>
      <c r="C66" s="2">
        <v>3.2500000000000001E-2</v>
      </c>
      <c r="D66" s="2">
        <v>-2.42024282668701</v>
      </c>
      <c r="E66" s="2">
        <v>0.330949674103242</v>
      </c>
      <c r="F66" s="2">
        <v>1.823</v>
      </c>
      <c r="G66" s="2">
        <v>51.099800807405501</v>
      </c>
      <c r="H66" s="2" t="s">
        <v>18</v>
      </c>
      <c r="J66" s="2">
        <v>64</v>
      </c>
      <c r="K66" s="2">
        <v>0.04</v>
      </c>
      <c r="L66" s="2">
        <v>-2.4097734817930299</v>
      </c>
      <c r="M66" s="2">
        <v>1.54069562534134</v>
      </c>
      <c r="N66" s="2">
        <v>37.235831361040198</v>
      </c>
      <c r="O66" s="2" t="s">
        <v>18</v>
      </c>
    </row>
    <row r="67" spans="2:15" ht="14.25" customHeight="1" x14ac:dyDescent="0.3">
      <c r="B67" s="2">
        <v>65</v>
      </c>
      <c r="C67" s="11">
        <v>3.2500000000000001E-2</v>
      </c>
      <c r="D67" s="2">
        <v>30.592933034823002</v>
      </c>
      <c r="E67" s="2">
        <v>1.18173488617539</v>
      </c>
      <c r="F67" s="2">
        <v>3.4670000000000001</v>
      </c>
      <c r="G67" s="2">
        <v>89.997314593955593</v>
      </c>
      <c r="H67" s="11" t="s">
        <v>27</v>
      </c>
      <c r="J67" s="2">
        <v>65</v>
      </c>
      <c r="K67" s="2">
        <v>4.2500000000000003E-2</v>
      </c>
      <c r="L67" s="2">
        <v>30.975137138431201</v>
      </c>
      <c r="M67" s="15">
        <v>4.9560417009047999</v>
      </c>
      <c r="N67" s="2">
        <v>74.580740826154894</v>
      </c>
      <c r="O67" s="5" t="s">
        <v>6</v>
      </c>
    </row>
    <row r="68" spans="2:15" ht="14.25" customHeight="1" x14ac:dyDescent="0.3">
      <c r="B68" s="2">
        <v>66</v>
      </c>
      <c r="C68" s="5">
        <v>3.5000000000000003E-2</v>
      </c>
      <c r="D68" s="2">
        <v>30.638118664724299</v>
      </c>
      <c r="E68" s="2">
        <v>1.63387205424924</v>
      </c>
      <c r="F68" s="2">
        <v>3.359</v>
      </c>
      <c r="G68" s="2">
        <v>87.288033922314199</v>
      </c>
      <c r="H68" s="5" t="s">
        <v>6</v>
      </c>
      <c r="J68" s="2">
        <v>66</v>
      </c>
      <c r="K68" s="2">
        <v>4.2500000000000003E-2</v>
      </c>
      <c r="L68" s="2">
        <v>-4.7907168360054699</v>
      </c>
      <c r="M68" s="2">
        <v>2.0139752386222001</v>
      </c>
      <c r="N68" s="2">
        <v>45.3148955798817</v>
      </c>
      <c r="O68" s="2" t="s">
        <v>16</v>
      </c>
    </row>
    <row r="69" spans="2:15" ht="14.25" customHeight="1" x14ac:dyDescent="0.3">
      <c r="B69" s="2">
        <v>67</v>
      </c>
      <c r="C69" s="2">
        <v>3.5000000000000003E-2</v>
      </c>
      <c r="D69" s="2">
        <v>-4.8086595174932896</v>
      </c>
      <c r="E69" s="2">
        <v>0.24935355406933299</v>
      </c>
      <c r="F69" s="2">
        <v>2.786</v>
      </c>
      <c r="G69" s="2">
        <v>50.072475920212497</v>
      </c>
      <c r="H69" s="2" t="s">
        <v>16</v>
      </c>
      <c r="J69" s="2">
        <v>67</v>
      </c>
      <c r="K69" s="2">
        <v>4.2500000000000003E-2</v>
      </c>
      <c r="L69" s="2">
        <v>-8.5018526697125392</v>
      </c>
      <c r="M69" s="2">
        <v>1.5446326536847601</v>
      </c>
      <c r="N69" s="2">
        <v>34.047288733591998</v>
      </c>
      <c r="O69" s="2" t="s">
        <v>17</v>
      </c>
    </row>
    <row r="70" spans="2:15" ht="14.25" customHeight="1" x14ac:dyDescent="0.3">
      <c r="B70" s="2">
        <v>68</v>
      </c>
      <c r="C70" s="2">
        <v>3.5000000000000003E-2</v>
      </c>
      <c r="D70" s="2">
        <v>-8.5329251546674492</v>
      </c>
      <c r="E70" s="2">
        <v>0.112959282691957</v>
      </c>
      <c r="F70" s="2">
        <v>2.8069999999999999</v>
      </c>
      <c r="G70" s="2">
        <v>37.007149103339898</v>
      </c>
      <c r="H70" s="2" t="s">
        <v>17</v>
      </c>
      <c r="J70" s="2">
        <v>68</v>
      </c>
      <c r="K70" s="2">
        <v>4.2500000000000003E-2</v>
      </c>
      <c r="L70" s="2">
        <v>-2.41243971889631</v>
      </c>
      <c r="M70" s="2">
        <v>1.55226046353823</v>
      </c>
      <c r="N70" s="2">
        <v>42.759388648361401</v>
      </c>
      <c r="O70" s="2" t="s">
        <v>18</v>
      </c>
    </row>
    <row r="71" spans="2:15" ht="14.25" customHeight="1" x14ac:dyDescent="0.3">
      <c r="B71" s="2">
        <v>69</v>
      </c>
      <c r="C71" s="2">
        <v>3.5000000000000003E-2</v>
      </c>
      <c r="D71" s="2">
        <v>-2.41961112994592</v>
      </c>
      <c r="E71" s="2">
        <v>0.34314681979464701</v>
      </c>
      <c r="F71" s="2">
        <v>1.8160000000000001</v>
      </c>
      <c r="G71" s="2">
        <v>46.299426812942102</v>
      </c>
      <c r="H71" s="2" t="s">
        <v>18</v>
      </c>
      <c r="J71" s="2">
        <v>69</v>
      </c>
      <c r="K71" s="2">
        <v>4.4999999999999998E-2</v>
      </c>
      <c r="L71" s="2">
        <v>30.9480006132375</v>
      </c>
      <c r="M71" s="15">
        <v>4.6452302198234099</v>
      </c>
      <c r="N71" s="2">
        <v>71.892900849307594</v>
      </c>
      <c r="O71" s="5" t="s">
        <v>6</v>
      </c>
    </row>
    <row r="72" spans="2:15" ht="14.25" customHeight="1" x14ac:dyDescent="0.3">
      <c r="B72" s="2">
        <v>70</v>
      </c>
      <c r="C72" s="11">
        <v>3.5000000000000003E-2</v>
      </c>
      <c r="D72" s="2">
        <v>30.638118664724299</v>
      </c>
      <c r="E72" s="2">
        <v>1.63387205424924</v>
      </c>
      <c r="F72" s="2">
        <v>3.359</v>
      </c>
      <c r="G72" s="2">
        <v>87.288033922314199</v>
      </c>
      <c r="H72" s="11" t="s">
        <v>27</v>
      </c>
      <c r="J72" s="2">
        <v>70</v>
      </c>
      <c r="K72" s="2">
        <v>4.4999999999999998E-2</v>
      </c>
      <c r="L72" s="2">
        <v>-4.78927690645809</v>
      </c>
      <c r="M72" s="2">
        <v>1.9432951357983499</v>
      </c>
      <c r="N72" s="2">
        <v>38.3319535747858</v>
      </c>
      <c r="O72" s="2" t="s">
        <v>16</v>
      </c>
    </row>
    <row r="73" spans="2:15" ht="14.25" customHeight="1" x14ac:dyDescent="0.3">
      <c r="B73" s="2">
        <v>71</v>
      </c>
      <c r="C73" s="5">
        <v>3.7499999999999999E-2</v>
      </c>
      <c r="D73" s="2">
        <v>30.6374366144783</v>
      </c>
      <c r="E73" s="2">
        <v>1.6338769519596901</v>
      </c>
      <c r="F73" s="2">
        <v>3.359</v>
      </c>
      <c r="G73" s="2">
        <v>87.288459397212506</v>
      </c>
      <c r="H73" s="5" t="s">
        <v>6</v>
      </c>
      <c r="J73" s="2">
        <v>71</v>
      </c>
      <c r="K73" s="2">
        <v>4.4999999999999998E-2</v>
      </c>
      <c r="L73" s="2">
        <v>-8.4631227385484404</v>
      </c>
      <c r="M73" s="2">
        <v>1.5696739259446499</v>
      </c>
      <c r="N73" s="2">
        <v>30.869696846456499</v>
      </c>
      <c r="O73" s="2" t="s">
        <v>17</v>
      </c>
    </row>
    <row r="74" spans="2:15" ht="14.25" customHeight="1" x14ac:dyDescent="0.3">
      <c r="B74" s="2">
        <v>72</v>
      </c>
      <c r="C74" s="2">
        <v>3.7499999999999999E-2</v>
      </c>
      <c r="D74" s="2">
        <v>-4.8138893828703804</v>
      </c>
      <c r="E74" s="2">
        <v>0.25052741588109401</v>
      </c>
      <c r="F74" s="2">
        <v>2.7850000000000001</v>
      </c>
      <c r="G74" s="2">
        <v>50.1169352459669</v>
      </c>
      <c r="H74" s="2" t="s">
        <v>16</v>
      </c>
      <c r="J74" s="2">
        <v>72</v>
      </c>
      <c r="K74" s="2">
        <v>4.4999999999999998E-2</v>
      </c>
      <c r="L74" s="2">
        <v>-2.4076392137909401</v>
      </c>
      <c r="M74" s="2">
        <v>1.54005022764203</v>
      </c>
      <c r="N74" s="2">
        <v>37.202958961794998</v>
      </c>
      <c r="O74" s="2" t="s">
        <v>18</v>
      </c>
    </row>
    <row r="75" spans="2:15" ht="14.25" customHeight="1" x14ac:dyDescent="0.3">
      <c r="B75" s="2">
        <v>73</v>
      </c>
      <c r="C75" s="2">
        <v>3.7499999999999999E-2</v>
      </c>
      <c r="D75" s="2">
        <v>-8.4822363822130793</v>
      </c>
      <c r="E75" s="2">
        <v>0.122132763045881</v>
      </c>
      <c r="F75" s="2">
        <v>2.8109999999999999</v>
      </c>
      <c r="G75" s="2">
        <v>36.896432336786802</v>
      </c>
      <c r="H75" s="2" t="s">
        <v>17</v>
      </c>
      <c r="J75" s="2">
        <v>73</v>
      </c>
      <c r="K75" s="2">
        <v>4.7500000000000001E-2</v>
      </c>
      <c r="L75" s="2">
        <v>30.9471730073424</v>
      </c>
      <c r="M75" s="15">
        <v>4.6452807041148096</v>
      </c>
      <c r="N75" s="2">
        <v>74.179491322030898</v>
      </c>
      <c r="O75" s="5" t="s">
        <v>6</v>
      </c>
    </row>
    <row r="76" spans="2:15" ht="14.25" customHeight="1" x14ac:dyDescent="0.3">
      <c r="B76" s="2">
        <v>74</v>
      </c>
      <c r="C76" s="2">
        <v>3.7499999999999999E-2</v>
      </c>
      <c r="D76" s="2">
        <v>-2.42173803269326</v>
      </c>
      <c r="E76" s="2">
        <v>0.34377345351945299</v>
      </c>
      <c r="F76" s="2">
        <v>1.8160000000000001</v>
      </c>
      <c r="G76" s="2">
        <v>46.341430330149898</v>
      </c>
      <c r="H76" s="2" t="s">
        <v>18</v>
      </c>
      <c r="J76" s="2">
        <v>74</v>
      </c>
      <c r="K76" s="2">
        <v>4.7500000000000001E-2</v>
      </c>
      <c r="L76" s="2">
        <v>-4.7954771375880698</v>
      </c>
      <c r="M76" s="2">
        <v>1.9442693774727899</v>
      </c>
      <c r="N76" s="2">
        <v>43.360265084004297</v>
      </c>
      <c r="O76" s="2" t="s">
        <v>16</v>
      </c>
    </row>
    <row r="77" spans="2:15" ht="14.25" customHeight="1" x14ac:dyDescent="0.3">
      <c r="B77" s="2">
        <v>75</v>
      </c>
      <c r="C77" s="11">
        <v>3.7499999999999999E-2</v>
      </c>
      <c r="D77" s="2">
        <v>30.6374366144783</v>
      </c>
      <c r="E77" s="2">
        <v>1.6338769519596901</v>
      </c>
      <c r="F77" s="2">
        <v>3.359</v>
      </c>
      <c r="G77" s="2">
        <v>87.288459397212506</v>
      </c>
      <c r="H77" s="11" t="s">
        <v>27</v>
      </c>
      <c r="J77" s="2">
        <v>75</v>
      </c>
      <c r="K77" s="2">
        <v>4.7500000000000001E-2</v>
      </c>
      <c r="L77" s="2">
        <v>-8.4679332427981997</v>
      </c>
      <c r="M77" s="2">
        <v>1.5700344226953</v>
      </c>
      <c r="N77" s="2">
        <v>36.052204160810703</v>
      </c>
      <c r="O77" s="2" t="s">
        <v>17</v>
      </c>
    </row>
    <row r="78" spans="2:15" ht="14.25" customHeight="1" x14ac:dyDescent="0.3">
      <c r="B78" s="2">
        <v>76</v>
      </c>
      <c r="C78" s="5">
        <v>0.04</v>
      </c>
      <c r="D78" s="2">
        <v>30.593075373252699</v>
      </c>
      <c r="E78" s="2">
        <v>1.1817342314019901</v>
      </c>
      <c r="F78" s="2">
        <v>3.4670000000000001</v>
      </c>
      <c r="G78" s="2">
        <v>89.111272823513005</v>
      </c>
      <c r="H78" s="5" t="s">
        <v>6</v>
      </c>
      <c r="J78" s="2">
        <v>76</v>
      </c>
      <c r="K78" s="2">
        <v>4.7500000000000001E-2</v>
      </c>
      <c r="L78" s="2">
        <v>-2.4102266016416198</v>
      </c>
      <c r="M78" s="2">
        <v>1.5408351911951299</v>
      </c>
      <c r="N78" s="2">
        <v>42.717646480192101</v>
      </c>
      <c r="O78" s="2" t="s">
        <v>18</v>
      </c>
    </row>
    <row r="79" spans="2:15" ht="14.25" customHeight="1" x14ac:dyDescent="0.3">
      <c r="B79" s="2">
        <v>77</v>
      </c>
      <c r="C79" s="2">
        <v>0.04</v>
      </c>
      <c r="D79" s="2">
        <v>-4.8231441057429398</v>
      </c>
      <c r="E79" s="2">
        <v>0.214616390606202</v>
      </c>
      <c r="F79" s="2">
        <v>2.8130000000000002</v>
      </c>
      <c r="G79" s="2">
        <v>48.1178979649696</v>
      </c>
      <c r="H79" s="2" t="s">
        <v>16</v>
      </c>
      <c r="J79" s="2">
        <v>77</v>
      </c>
      <c r="K79" s="2">
        <v>0.05</v>
      </c>
      <c r="L79" s="2">
        <v>30.9759643417771</v>
      </c>
      <c r="M79" s="15">
        <v>4.9559868468632304</v>
      </c>
      <c r="N79" s="2">
        <v>72.405417662011899</v>
      </c>
      <c r="O79" s="5" t="s">
        <v>6</v>
      </c>
    </row>
    <row r="80" spans="2:15" ht="14.25" customHeight="1" x14ac:dyDescent="0.3">
      <c r="B80" s="2">
        <v>78</v>
      </c>
      <c r="C80" s="2">
        <v>0.04</v>
      </c>
      <c r="D80" s="2">
        <v>-8.0039892341842105</v>
      </c>
      <c r="E80" s="2">
        <v>0.126111602066168</v>
      </c>
      <c r="F80" s="2">
        <v>2.9220000000000002</v>
      </c>
      <c r="G80" s="2">
        <v>33.340274918368102</v>
      </c>
      <c r="H80" s="2" t="s">
        <v>17</v>
      </c>
      <c r="J80" s="2">
        <v>78</v>
      </c>
      <c r="K80" s="2">
        <v>0.05</v>
      </c>
      <c r="L80" s="2">
        <v>-4.7845207738597004</v>
      </c>
      <c r="M80" s="2">
        <v>2.0129383665877598</v>
      </c>
      <c r="N80" s="2">
        <v>40.334030311482998</v>
      </c>
      <c r="O80" s="2" t="s">
        <v>16</v>
      </c>
    </row>
    <row r="81" spans="2:15" ht="14.25" customHeight="1" x14ac:dyDescent="0.3">
      <c r="B81" s="2">
        <v>79</v>
      </c>
      <c r="C81" s="2">
        <v>0.04</v>
      </c>
      <c r="D81" s="2">
        <v>-2.4197905150671799</v>
      </c>
      <c r="E81" s="2">
        <v>0.33080946004107697</v>
      </c>
      <c r="F81" s="2">
        <v>1.823</v>
      </c>
      <c r="G81" s="2">
        <v>46.417510374166902</v>
      </c>
      <c r="H81" s="2" t="s">
        <v>18</v>
      </c>
      <c r="J81" s="2">
        <v>79</v>
      </c>
      <c r="K81" s="2">
        <v>0.05</v>
      </c>
      <c r="L81" s="2">
        <v>-8.4970545180533694</v>
      </c>
      <c r="M81" s="2">
        <v>1.5442726987144999</v>
      </c>
      <c r="N81" s="2">
        <v>28.948357009238201</v>
      </c>
      <c r="O81" s="2" t="s">
        <v>17</v>
      </c>
    </row>
    <row r="82" spans="2:15" ht="14.25" customHeight="1" x14ac:dyDescent="0.3">
      <c r="B82" s="2">
        <v>80</v>
      </c>
      <c r="C82" s="11">
        <v>0.04</v>
      </c>
      <c r="D82" s="2">
        <v>30.593075373252699</v>
      </c>
      <c r="E82" s="2">
        <v>1.1817342314019901</v>
      </c>
      <c r="F82" s="2">
        <v>3.4670000000000001</v>
      </c>
      <c r="G82" s="2">
        <v>89.111272823513005</v>
      </c>
      <c r="H82" s="11" t="s">
        <v>27</v>
      </c>
      <c r="J82" s="2">
        <v>80</v>
      </c>
      <c r="K82" s="2">
        <v>0.05</v>
      </c>
      <c r="L82" s="2">
        <v>-2.40985653333773</v>
      </c>
      <c r="M82" s="2">
        <v>1.55145257215738</v>
      </c>
      <c r="N82" s="2">
        <v>37.254155666214402</v>
      </c>
      <c r="O82" s="2" t="s">
        <v>18</v>
      </c>
    </row>
    <row r="83" spans="2:15" ht="14.25" customHeight="1" x14ac:dyDescent="0.3">
      <c r="B83" s="2">
        <v>81</v>
      </c>
      <c r="C83" s="5">
        <v>4.2500000000000003E-2</v>
      </c>
      <c r="D83" s="2">
        <v>30.637294192971599</v>
      </c>
      <c r="E83" s="2">
        <v>1.6338774759793</v>
      </c>
      <c r="F83" s="2">
        <v>3.359</v>
      </c>
      <c r="G83" s="2">
        <v>88.290780185802603</v>
      </c>
      <c r="H83" s="5" t="s">
        <v>6</v>
      </c>
      <c r="J83" s="2">
        <v>81</v>
      </c>
      <c r="K83" s="2">
        <v>5.2499999999999998E-2</v>
      </c>
      <c r="L83" s="2">
        <v>30.975280279367201</v>
      </c>
      <c r="M83" s="15">
        <v>4.9560346736544103</v>
      </c>
      <c r="N83" s="2">
        <v>72.405033876271801</v>
      </c>
      <c r="O83" s="5" t="s">
        <v>6</v>
      </c>
    </row>
    <row r="84" spans="2:15" ht="14.25" customHeight="1" x14ac:dyDescent="0.3">
      <c r="B84" s="2">
        <v>82</v>
      </c>
      <c r="C84" s="2">
        <v>4.2500000000000003E-2</v>
      </c>
      <c r="D84" s="2">
        <v>-4.8148380605796399</v>
      </c>
      <c r="E84" s="2">
        <v>0.25078004682671201</v>
      </c>
      <c r="F84" s="2">
        <v>2.7850000000000001</v>
      </c>
      <c r="G84" s="2">
        <v>54.254811933459898</v>
      </c>
      <c r="H84" s="2" t="s">
        <v>16</v>
      </c>
      <c r="J84" s="2">
        <v>82</v>
      </c>
      <c r="K84" s="2">
        <v>5.2499999999999998E-2</v>
      </c>
      <c r="L84" s="2">
        <v>-4.7897653693140398</v>
      </c>
      <c r="M84" s="2">
        <v>2.01379343421095</v>
      </c>
      <c r="N84" s="2">
        <v>40.371583811217398</v>
      </c>
      <c r="O84" s="2" t="s">
        <v>16</v>
      </c>
    </row>
    <row r="85" spans="2:15" ht="14.25" customHeight="1" x14ac:dyDescent="0.3">
      <c r="B85" s="2">
        <v>83</v>
      </c>
      <c r="C85" s="2">
        <v>4.2500000000000003E-2</v>
      </c>
      <c r="D85" s="2">
        <v>-8.4126019942941692</v>
      </c>
      <c r="E85" s="2">
        <v>0.12566937895105201</v>
      </c>
      <c r="F85" s="2">
        <v>2.9489999999999998</v>
      </c>
      <c r="G85" s="2">
        <v>37.842749604939002</v>
      </c>
      <c r="H85" s="2" t="s">
        <v>17</v>
      </c>
      <c r="J85" s="2">
        <v>83</v>
      </c>
      <c r="K85" s="2">
        <v>5.2499999999999998E-2</v>
      </c>
      <c r="L85" s="2">
        <v>-8.5008786923630009</v>
      </c>
      <c r="M85" s="2">
        <v>1.5445566526858101</v>
      </c>
      <c r="N85" s="2">
        <v>28.964645722126399</v>
      </c>
      <c r="O85" s="2" t="s">
        <v>17</v>
      </c>
    </row>
    <row r="86" spans="2:15" ht="14.25" customHeight="1" x14ac:dyDescent="0.3">
      <c r="B86" s="2">
        <v>84</v>
      </c>
      <c r="C86" s="2">
        <v>4.2500000000000003E-2</v>
      </c>
      <c r="D86" s="2">
        <v>-2.42218938978721</v>
      </c>
      <c r="E86" s="2">
        <v>0.343910729016074</v>
      </c>
      <c r="F86" s="2">
        <v>1.8160000000000001</v>
      </c>
      <c r="G86" s="2">
        <v>51.024999213588302</v>
      </c>
      <c r="H86" s="2" t="s">
        <v>18</v>
      </c>
      <c r="J86" s="2">
        <v>84</v>
      </c>
      <c r="K86" s="2">
        <v>5.2499999999999998E-2</v>
      </c>
      <c r="L86" s="2">
        <v>-2.4119873981954298</v>
      </c>
      <c r="M86" s="2">
        <v>1.55211664030445</v>
      </c>
      <c r="N86" s="2">
        <v>37.288547854388902</v>
      </c>
      <c r="O86" s="2" t="s">
        <v>18</v>
      </c>
    </row>
    <row r="87" spans="2:15" ht="14.25" customHeight="1" x14ac:dyDescent="0.3">
      <c r="B87" s="2">
        <v>85</v>
      </c>
      <c r="C87" s="11">
        <v>4.2500000000000003E-2</v>
      </c>
      <c r="D87" s="2">
        <v>30.6372941798294</v>
      </c>
      <c r="E87" s="2">
        <v>1.63387747597927</v>
      </c>
      <c r="F87" s="2">
        <v>3.359</v>
      </c>
      <c r="G87" s="2">
        <v>88.290780204745403</v>
      </c>
      <c r="H87" s="11" t="s">
        <v>27</v>
      </c>
      <c r="J87" s="2">
        <v>85</v>
      </c>
      <c r="K87" s="2">
        <v>5.5E-2</v>
      </c>
      <c r="L87" s="2">
        <v>30.947316168216599</v>
      </c>
      <c r="M87" s="2">
        <v>4.6452744521509501</v>
      </c>
      <c r="N87" s="2">
        <v>71.892587245918605</v>
      </c>
      <c r="O87" s="5" t="s">
        <v>6</v>
      </c>
    </row>
    <row r="88" spans="2:15" ht="14.25" customHeight="1" x14ac:dyDescent="0.3">
      <c r="B88" s="2">
        <v>86</v>
      </c>
      <c r="C88" s="5">
        <v>4.4999999999999998E-2</v>
      </c>
      <c r="D88" s="2">
        <v>30.593757234281998</v>
      </c>
      <c r="E88" s="2">
        <v>1.1817252137175001</v>
      </c>
      <c r="F88" s="2">
        <v>3.4670000000000001</v>
      </c>
      <c r="G88" s="2">
        <v>89.110688902584499</v>
      </c>
      <c r="H88" s="5" t="s">
        <v>6</v>
      </c>
      <c r="J88" s="2">
        <v>86</v>
      </c>
      <c r="K88" s="2">
        <v>5.5E-2</v>
      </c>
      <c r="L88" s="2">
        <v>-4.7945248768227797</v>
      </c>
      <c r="M88" s="2">
        <v>1.9440997176667401</v>
      </c>
      <c r="N88" s="2">
        <v>38.368202550734601</v>
      </c>
      <c r="O88" s="2" t="s">
        <v>16</v>
      </c>
    </row>
    <row r="89" spans="2:15" ht="14.25" customHeight="1" x14ac:dyDescent="0.3">
      <c r="B89" s="2">
        <v>87</v>
      </c>
      <c r="C89" s="2">
        <v>4.4999999999999998E-2</v>
      </c>
      <c r="D89" s="2">
        <v>-4.8179051627322798</v>
      </c>
      <c r="E89" s="2">
        <v>0.21333781631552201</v>
      </c>
      <c r="F89" s="2">
        <v>2.8149999999999999</v>
      </c>
      <c r="G89" s="2">
        <v>48.074046214267902</v>
      </c>
      <c r="H89" s="2" t="s">
        <v>16</v>
      </c>
      <c r="J89" s="2">
        <v>87</v>
      </c>
      <c r="K89" s="2">
        <v>5.5E-2</v>
      </c>
      <c r="L89" s="2">
        <v>-8.4669568567081903</v>
      </c>
      <c r="M89" s="2">
        <v>1.5699579685915801</v>
      </c>
      <c r="N89" s="2">
        <v>30.885576881451701</v>
      </c>
      <c r="O89" s="2" t="s">
        <v>17</v>
      </c>
    </row>
    <row r="90" spans="2:15" ht="14.25" customHeight="1" x14ac:dyDescent="0.3">
      <c r="B90" s="2">
        <v>88</v>
      </c>
      <c r="C90" s="2">
        <v>4.4999999999999998E-2</v>
      </c>
      <c r="D90" s="2">
        <v>-8.0008001805983202</v>
      </c>
      <c r="E90" s="2">
        <v>0.12267923359343801</v>
      </c>
      <c r="F90" s="2">
        <v>2.9249999999999998</v>
      </c>
      <c r="G90" s="2">
        <v>33.288237948061003</v>
      </c>
      <c r="H90" s="2" t="s">
        <v>17</v>
      </c>
      <c r="J90" s="2">
        <v>88</v>
      </c>
      <c r="K90" s="2">
        <v>5.5E-2</v>
      </c>
      <c r="L90" s="2">
        <v>-2.4097734817930299</v>
      </c>
      <c r="M90" s="2">
        <v>1.54069562534134</v>
      </c>
      <c r="N90" s="2">
        <v>37.235831361040198</v>
      </c>
      <c r="O90" s="2" t="s">
        <v>18</v>
      </c>
    </row>
    <row r="91" spans="2:15" ht="14.25" customHeight="1" x14ac:dyDescent="0.3">
      <c r="B91" s="2">
        <v>89</v>
      </c>
      <c r="C91" s="2">
        <v>4.4999999999999998E-2</v>
      </c>
      <c r="D91" s="2">
        <v>-2.4176594506297802</v>
      </c>
      <c r="E91" s="2">
        <v>0.33017645934283602</v>
      </c>
      <c r="F91" s="2">
        <v>1.823</v>
      </c>
      <c r="G91" s="2">
        <v>46.377285991125198</v>
      </c>
      <c r="H91" s="2" t="s">
        <v>18</v>
      </c>
      <c r="J91" s="2">
        <v>89</v>
      </c>
      <c r="K91" s="2">
        <v>5.7500000000000002E-2</v>
      </c>
      <c r="L91" s="2">
        <v>30.975137138431201</v>
      </c>
      <c r="M91" s="2">
        <v>4.9560417009047999</v>
      </c>
      <c r="N91" s="2">
        <v>74.580740826154894</v>
      </c>
      <c r="O91" s="5" t="s">
        <v>6</v>
      </c>
    </row>
    <row r="92" spans="2:15" ht="14.25" customHeight="1" x14ac:dyDescent="0.3">
      <c r="B92" s="2">
        <v>90</v>
      </c>
      <c r="C92" s="11">
        <v>4.4999999999999998E-2</v>
      </c>
      <c r="D92" s="2">
        <v>30.593757234281998</v>
      </c>
      <c r="E92" s="2">
        <v>1.1817252137175001</v>
      </c>
      <c r="F92" s="2">
        <v>3.4670000000000001</v>
      </c>
      <c r="G92" s="2">
        <v>89.110688902584499</v>
      </c>
      <c r="H92" s="11" t="s">
        <v>27</v>
      </c>
      <c r="J92" s="2">
        <v>90</v>
      </c>
      <c r="K92" s="2">
        <v>5.7500000000000002E-2</v>
      </c>
      <c r="L92" s="2">
        <v>-4.7907168360054699</v>
      </c>
      <c r="M92" s="2">
        <v>2.0139752386222001</v>
      </c>
      <c r="N92" s="2">
        <v>45.3148955798817</v>
      </c>
      <c r="O92" s="2" t="s">
        <v>16</v>
      </c>
    </row>
    <row r="93" spans="2:15" ht="14.25" customHeight="1" x14ac:dyDescent="0.3">
      <c r="B93" s="2">
        <v>91</v>
      </c>
      <c r="C93" s="5">
        <v>4.7500000000000001E-2</v>
      </c>
      <c r="D93" s="2">
        <v>30.5929330479652</v>
      </c>
      <c r="E93" s="2">
        <v>1.18173488617539</v>
      </c>
      <c r="F93" s="2">
        <v>3.4670000000000001</v>
      </c>
      <c r="G93" s="2">
        <v>89.997314570976002</v>
      </c>
      <c r="H93" s="5" t="s">
        <v>6</v>
      </c>
      <c r="J93" s="2">
        <v>91</v>
      </c>
      <c r="K93" s="2">
        <v>5.7500000000000002E-2</v>
      </c>
      <c r="L93" s="2">
        <v>-8.5018526697125392</v>
      </c>
      <c r="M93" s="2">
        <v>1.5446326536847601</v>
      </c>
      <c r="N93" s="2">
        <v>34.047288733591998</v>
      </c>
      <c r="O93" s="2" t="s">
        <v>17</v>
      </c>
    </row>
    <row r="94" spans="2:15" ht="14.25" customHeight="1" x14ac:dyDescent="0.3">
      <c r="B94" s="2">
        <v>92</v>
      </c>
      <c r="C94" s="2">
        <v>4.7500000000000001E-2</v>
      </c>
      <c r="D94" s="2">
        <v>-4.8240777776487898</v>
      </c>
      <c r="E94" s="2">
        <v>0.20984790869740699</v>
      </c>
      <c r="F94" s="2">
        <v>2.8170000000000002</v>
      </c>
      <c r="G94" s="2">
        <v>52.322783518681497</v>
      </c>
      <c r="H94" s="2" t="s">
        <v>16</v>
      </c>
      <c r="J94" s="2">
        <v>92</v>
      </c>
      <c r="K94" s="2">
        <v>5.7500000000000002E-2</v>
      </c>
      <c r="L94" s="2">
        <v>-2.41243971889631</v>
      </c>
      <c r="M94" s="2">
        <v>1.55226046353823</v>
      </c>
      <c r="N94" s="2">
        <v>42.759388648361401</v>
      </c>
      <c r="O94" s="2" t="s">
        <v>18</v>
      </c>
    </row>
    <row r="95" spans="2:15" ht="14.25" customHeight="1" x14ac:dyDescent="0.3">
      <c r="B95" s="2">
        <v>93</v>
      </c>
      <c r="C95" s="2">
        <v>4.7500000000000001E-2</v>
      </c>
      <c r="D95" s="2">
        <v>-8.0049851579641604</v>
      </c>
      <c r="E95" s="2">
        <v>0.125152212969283</v>
      </c>
      <c r="F95" s="2">
        <v>2.9220000000000002</v>
      </c>
      <c r="G95" s="2">
        <v>38.350333426680301</v>
      </c>
      <c r="H95" s="2" t="s">
        <v>17</v>
      </c>
      <c r="J95" s="2">
        <v>93</v>
      </c>
      <c r="K95" s="2">
        <v>0.06</v>
      </c>
      <c r="L95" s="2">
        <v>30.9480006132375</v>
      </c>
      <c r="M95" s="2">
        <v>4.6452302198234099</v>
      </c>
      <c r="N95" s="2">
        <v>71.892900849307594</v>
      </c>
      <c r="O95" s="5" t="s">
        <v>6</v>
      </c>
    </row>
    <row r="96" spans="2:15" ht="14.25" customHeight="1" x14ac:dyDescent="0.3">
      <c r="B96" s="2">
        <v>94</v>
      </c>
      <c r="C96" s="2">
        <v>4.7500000000000001E-2</v>
      </c>
      <c r="D96" s="2">
        <v>-2.42024282668701</v>
      </c>
      <c r="E96" s="2">
        <v>0.330949674103242</v>
      </c>
      <c r="F96" s="2">
        <v>1.823</v>
      </c>
      <c r="G96" s="2">
        <v>51.099800807405501</v>
      </c>
      <c r="H96" s="2" t="s">
        <v>18</v>
      </c>
      <c r="J96" s="2">
        <v>94</v>
      </c>
      <c r="K96" s="2">
        <v>0.06</v>
      </c>
      <c r="L96" s="2">
        <v>-4.78927690645809</v>
      </c>
      <c r="M96" s="2">
        <v>1.9432951357983499</v>
      </c>
      <c r="N96" s="2">
        <v>38.3319535747858</v>
      </c>
      <c r="O96" s="2" t="s">
        <v>16</v>
      </c>
    </row>
    <row r="97" spans="2:15" ht="14.25" customHeight="1" x14ac:dyDescent="0.3">
      <c r="B97" s="2">
        <v>95</v>
      </c>
      <c r="C97" s="11">
        <v>4.7500000000000001E-2</v>
      </c>
      <c r="D97" s="2">
        <v>30.592933034823002</v>
      </c>
      <c r="E97" s="2">
        <v>1.18173488617539</v>
      </c>
      <c r="F97" s="2">
        <v>3.4670000000000001</v>
      </c>
      <c r="G97" s="2">
        <v>89.997314593955593</v>
      </c>
      <c r="H97" s="11" t="s">
        <v>27</v>
      </c>
      <c r="J97" s="2">
        <v>95</v>
      </c>
      <c r="K97" s="2">
        <v>0.06</v>
      </c>
      <c r="L97" s="2">
        <v>-8.4631227385484404</v>
      </c>
      <c r="M97" s="2">
        <v>1.5696739259446499</v>
      </c>
      <c r="N97" s="2">
        <v>30.869696846456499</v>
      </c>
      <c r="O97" s="2" t="s">
        <v>17</v>
      </c>
    </row>
    <row r="98" spans="2:15" ht="14.25" customHeight="1" x14ac:dyDescent="0.3">
      <c r="B98" s="2">
        <v>96</v>
      </c>
      <c r="C98" s="5">
        <v>0.05</v>
      </c>
      <c r="D98" s="2">
        <v>30.638118664724299</v>
      </c>
      <c r="E98" s="2">
        <v>1.63387205424924</v>
      </c>
      <c r="F98" s="2">
        <v>3.359</v>
      </c>
      <c r="G98" s="2">
        <v>87.288033922314199</v>
      </c>
      <c r="H98" s="5" t="s">
        <v>6</v>
      </c>
      <c r="J98" s="2">
        <v>96</v>
      </c>
      <c r="K98" s="2">
        <v>0.06</v>
      </c>
      <c r="L98" s="2">
        <v>-2.4076392137909401</v>
      </c>
      <c r="M98" s="2">
        <v>1.54005022764203</v>
      </c>
      <c r="N98" s="2">
        <v>37.202958961794998</v>
      </c>
      <c r="O98" s="2" t="s">
        <v>18</v>
      </c>
    </row>
    <row r="99" spans="2:15" ht="14.25" customHeight="1" x14ac:dyDescent="0.3">
      <c r="B99" s="2">
        <v>97</v>
      </c>
      <c r="C99" s="2">
        <v>0.05</v>
      </c>
      <c r="D99" s="2">
        <v>-4.8086595174932896</v>
      </c>
      <c r="E99" s="2">
        <v>0.24935355406933299</v>
      </c>
      <c r="F99" s="2">
        <v>2.786</v>
      </c>
      <c r="G99" s="2">
        <v>50.072475920212497</v>
      </c>
      <c r="H99" s="2" t="s">
        <v>16</v>
      </c>
      <c r="J99" s="2">
        <v>97</v>
      </c>
      <c r="K99" s="2">
        <v>6.25E-2</v>
      </c>
      <c r="L99" s="2">
        <v>30.9471730073424</v>
      </c>
      <c r="M99" s="2">
        <v>4.6452807041148096</v>
      </c>
      <c r="N99" s="2">
        <v>74.179491322030898</v>
      </c>
      <c r="O99" s="5" t="s">
        <v>6</v>
      </c>
    </row>
    <row r="100" spans="2:15" ht="14.25" customHeight="1" x14ac:dyDescent="0.3">
      <c r="B100" s="2">
        <v>98</v>
      </c>
      <c r="C100" s="2">
        <v>0.05</v>
      </c>
      <c r="D100" s="2">
        <v>-8.5329251546674492</v>
      </c>
      <c r="E100" s="2">
        <v>0.112959282691957</v>
      </c>
      <c r="F100" s="2">
        <v>2.8069999999999999</v>
      </c>
      <c r="G100" s="2">
        <v>37.007149103339898</v>
      </c>
      <c r="H100" s="2" t="s">
        <v>17</v>
      </c>
      <c r="J100" s="2">
        <v>98</v>
      </c>
      <c r="K100" s="2">
        <v>6.25E-2</v>
      </c>
      <c r="L100" s="2">
        <v>-4.7954771375880698</v>
      </c>
      <c r="M100" s="2">
        <v>1.9442693774727899</v>
      </c>
      <c r="N100" s="2">
        <v>43.360265084004297</v>
      </c>
      <c r="O100" s="2" t="s">
        <v>16</v>
      </c>
    </row>
    <row r="101" spans="2:15" ht="14.25" customHeight="1" x14ac:dyDescent="0.3">
      <c r="B101" s="2">
        <v>99</v>
      </c>
      <c r="C101" s="2">
        <v>0.05</v>
      </c>
      <c r="D101" s="2">
        <v>-2.41961112994592</v>
      </c>
      <c r="E101" s="2">
        <v>0.34314681979464701</v>
      </c>
      <c r="F101" s="2">
        <v>1.8160000000000001</v>
      </c>
      <c r="G101" s="2">
        <v>46.299426812942102</v>
      </c>
      <c r="H101" s="2" t="s">
        <v>18</v>
      </c>
      <c r="J101" s="2">
        <v>99</v>
      </c>
      <c r="K101" s="2">
        <v>6.25E-2</v>
      </c>
      <c r="L101" s="2">
        <v>-8.4679332427981997</v>
      </c>
      <c r="M101" s="2">
        <v>1.5700344226953</v>
      </c>
      <c r="N101" s="2">
        <v>36.052204160810703</v>
      </c>
      <c r="O101" s="2" t="s">
        <v>17</v>
      </c>
    </row>
    <row r="102" spans="2:15" ht="14.25" customHeight="1" x14ac:dyDescent="0.3">
      <c r="B102" s="2">
        <v>100</v>
      </c>
      <c r="C102" s="11">
        <v>0.05</v>
      </c>
      <c r="D102" s="2">
        <v>30.638118664724299</v>
      </c>
      <c r="E102" s="2">
        <v>1.63387205424924</v>
      </c>
      <c r="F102" s="2">
        <v>3.359</v>
      </c>
      <c r="G102" s="2">
        <v>87.288033922314199</v>
      </c>
      <c r="H102" s="11" t="s">
        <v>27</v>
      </c>
      <c r="J102" s="2">
        <v>100</v>
      </c>
      <c r="K102" s="2">
        <v>6.25E-2</v>
      </c>
      <c r="L102" s="2">
        <v>-2.4102266016416198</v>
      </c>
      <c r="M102" s="2">
        <v>1.5408351911951299</v>
      </c>
      <c r="N102" s="2">
        <v>42.717646480192101</v>
      </c>
      <c r="O102" s="2" t="s">
        <v>18</v>
      </c>
    </row>
    <row r="103" spans="2:15" ht="14.25" customHeight="1" x14ac:dyDescent="0.3">
      <c r="B103" s="2">
        <v>101</v>
      </c>
      <c r="C103" s="5">
        <v>5.2499999999999998E-2</v>
      </c>
      <c r="D103" s="2">
        <v>30.6374366144783</v>
      </c>
      <c r="E103" s="2">
        <v>1.6338769519596901</v>
      </c>
      <c r="F103" s="2">
        <v>3.359</v>
      </c>
      <c r="G103" s="2">
        <v>87.288459397212506</v>
      </c>
      <c r="H103" s="5" t="s">
        <v>6</v>
      </c>
      <c r="J103" s="2">
        <v>101</v>
      </c>
      <c r="K103" s="2">
        <v>6.5000000000000002E-2</v>
      </c>
      <c r="L103" s="2">
        <v>30.9759643417771</v>
      </c>
      <c r="M103" s="2">
        <v>4.9559868468632304</v>
      </c>
      <c r="N103" s="2">
        <v>72.405417662011899</v>
      </c>
      <c r="O103" s="5" t="s">
        <v>6</v>
      </c>
    </row>
    <row r="104" spans="2:15" ht="14.25" customHeight="1" x14ac:dyDescent="0.3">
      <c r="B104" s="2">
        <v>102</v>
      </c>
      <c r="C104" s="2">
        <v>5.2499999999999998E-2</v>
      </c>
      <c r="D104" s="2">
        <v>-4.8138893828703804</v>
      </c>
      <c r="E104" s="2">
        <v>0.25052741588109401</v>
      </c>
      <c r="F104" s="2">
        <v>2.7850000000000001</v>
      </c>
      <c r="G104" s="2">
        <v>50.1169352459669</v>
      </c>
      <c r="H104" s="2" t="s">
        <v>16</v>
      </c>
      <c r="J104" s="2">
        <v>102</v>
      </c>
      <c r="K104" s="2">
        <v>6.5000000000000002E-2</v>
      </c>
      <c r="L104" s="2">
        <v>-4.7845207738597004</v>
      </c>
      <c r="M104" s="2">
        <v>2.0129383665877598</v>
      </c>
      <c r="N104" s="2">
        <v>40.334030311482998</v>
      </c>
      <c r="O104" s="2" t="s">
        <v>16</v>
      </c>
    </row>
    <row r="105" spans="2:15" ht="14.25" customHeight="1" x14ac:dyDescent="0.3">
      <c r="B105" s="2">
        <v>103</v>
      </c>
      <c r="C105" s="2">
        <v>5.2499999999999998E-2</v>
      </c>
      <c r="D105" s="2">
        <v>-8.4822363822130793</v>
      </c>
      <c r="E105" s="2">
        <v>0.122132763045881</v>
      </c>
      <c r="F105" s="2">
        <v>2.8109999999999999</v>
      </c>
      <c r="G105" s="2">
        <v>36.896432336786802</v>
      </c>
      <c r="H105" s="2" t="s">
        <v>17</v>
      </c>
      <c r="J105" s="2">
        <v>103</v>
      </c>
      <c r="K105" s="2">
        <v>6.5000000000000002E-2</v>
      </c>
      <c r="L105" s="2">
        <v>-8.4970545180533694</v>
      </c>
      <c r="M105" s="2">
        <v>1.5442726987144999</v>
      </c>
      <c r="N105" s="2">
        <v>28.948357009238201</v>
      </c>
      <c r="O105" s="2" t="s">
        <v>17</v>
      </c>
    </row>
    <row r="106" spans="2:15" ht="14.25" customHeight="1" x14ac:dyDescent="0.3">
      <c r="B106" s="2">
        <v>104</v>
      </c>
      <c r="C106" s="2">
        <v>5.2499999999999998E-2</v>
      </c>
      <c r="D106" s="2">
        <v>-2.42173803269326</v>
      </c>
      <c r="E106" s="2">
        <v>0.34377345351945299</v>
      </c>
      <c r="F106" s="2">
        <v>1.8160000000000001</v>
      </c>
      <c r="G106" s="2">
        <v>46.341430330149898</v>
      </c>
      <c r="H106" s="2" t="s">
        <v>18</v>
      </c>
      <c r="J106" s="2">
        <v>104</v>
      </c>
      <c r="K106" s="2">
        <v>6.5000000000000002E-2</v>
      </c>
      <c r="L106" s="2">
        <v>-2.40985653333773</v>
      </c>
      <c r="M106" s="2">
        <v>1.55145257215738</v>
      </c>
      <c r="N106" s="2">
        <v>37.254155666214402</v>
      </c>
      <c r="O106" s="2" t="s">
        <v>18</v>
      </c>
    </row>
    <row r="107" spans="2:15" ht="14.25" customHeight="1" x14ac:dyDescent="0.3">
      <c r="B107" s="2">
        <v>105</v>
      </c>
      <c r="C107" s="11">
        <v>5.2499999999999998E-2</v>
      </c>
      <c r="D107" s="2">
        <v>30.6374366144783</v>
      </c>
      <c r="E107" s="2">
        <v>1.6338769519596901</v>
      </c>
      <c r="F107" s="2">
        <v>3.359</v>
      </c>
      <c r="G107" s="2">
        <v>87.288459397212506</v>
      </c>
      <c r="H107" s="11" t="s">
        <v>27</v>
      </c>
      <c r="J107" s="2">
        <v>105</v>
      </c>
      <c r="K107" s="2">
        <v>6.7500000000000004E-2</v>
      </c>
      <c r="L107" s="2">
        <v>30.975280279367201</v>
      </c>
      <c r="M107" s="2">
        <v>4.9560346736544103</v>
      </c>
      <c r="N107" s="2">
        <v>72.405033876271801</v>
      </c>
      <c r="O107" s="5" t="s">
        <v>6</v>
      </c>
    </row>
    <row r="108" spans="2:15" ht="14.25" customHeight="1" x14ac:dyDescent="0.3">
      <c r="B108" s="2">
        <v>106</v>
      </c>
      <c r="C108" s="5">
        <v>5.5E-2</v>
      </c>
      <c r="D108" s="2">
        <v>30.593075373252699</v>
      </c>
      <c r="E108" s="2">
        <v>1.1817342314019901</v>
      </c>
      <c r="F108" s="2">
        <v>3.4670000000000001</v>
      </c>
      <c r="G108" s="2">
        <v>89.111272823513005</v>
      </c>
      <c r="H108" s="5" t="s">
        <v>6</v>
      </c>
      <c r="J108" s="2">
        <v>106</v>
      </c>
      <c r="K108" s="2">
        <v>6.7500000000000004E-2</v>
      </c>
      <c r="L108" s="2">
        <v>-4.7897653693140398</v>
      </c>
      <c r="M108" s="2">
        <v>2.01379343421095</v>
      </c>
      <c r="N108" s="2">
        <v>40.371583811217398</v>
      </c>
      <c r="O108" s="2" t="s">
        <v>16</v>
      </c>
    </row>
    <row r="109" spans="2:15" ht="14.25" customHeight="1" x14ac:dyDescent="0.3">
      <c r="B109" s="2">
        <v>107</v>
      </c>
      <c r="C109" s="2">
        <v>5.5E-2</v>
      </c>
      <c r="D109" s="2">
        <v>-4.8231441057429398</v>
      </c>
      <c r="E109" s="2">
        <v>0.214616390606202</v>
      </c>
      <c r="F109" s="2">
        <v>2.8130000000000002</v>
      </c>
      <c r="G109" s="2">
        <v>48.1178979649696</v>
      </c>
      <c r="H109" s="2" t="s">
        <v>16</v>
      </c>
      <c r="J109" s="2">
        <v>107</v>
      </c>
      <c r="K109" s="2">
        <v>6.7500000000000004E-2</v>
      </c>
      <c r="L109" s="2">
        <v>-8.5008786923630009</v>
      </c>
      <c r="M109" s="2">
        <v>1.5445566526858101</v>
      </c>
      <c r="N109" s="2">
        <v>28.964645722126399</v>
      </c>
      <c r="O109" s="2" t="s">
        <v>17</v>
      </c>
    </row>
    <row r="110" spans="2:15" ht="14.25" customHeight="1" x14ac:dyDescent="0.3">
      <c r="B110" s="2">
        <v>108</v>
      </c>
      <c r="C110" s="2">
        <v>5.5E-2</v>
      </c>
      <c r="D110" s="2">
        <v>-8.0039892341842105</v>
      </c>
      <c r="E110" s="2">
        <v>0.126111602066168</v>
      </c>
      <c r="F110" s="2">
        <v>2.9220000000000002</v>
      </c>
      <c r="G110" s="2">
        <v>33.340274918368102</v>
      </c>
      <c r="H110" s="2" t="s">
        <v>17</v>
      </c>
      <c r="J110" s="2">
        <v>108</v>
      </c>
      <c r="K110" s="2">
        <v>6.7500000000000004E-2</v>
      </c>
      <c r="L110" s="2">
        <v>-2.4119873981954298</v>
      </c>
      <c r="M110" s="2">
        <v>1.55211664030445</v>
      </c>
      <c r="N110" s="2">
        <v>37.288547854388902</v>
      </c>
      <c r="O110" s="2" t="s">
        <v>18</v>
      </c>
    </row>
    <row r="111" spans="2:15" ht="14.25" customHeight="1" x14ac:dyDescent="0.3">
      <c r="B111" s="2">
        <v>109</v>
      </c>
      <c r="C111" s="2">
        <v>5.5E-2</v>
      </c>
      <c r="D111" s="2">
        <v>-2.4197905150671799</v>
      </c>
      <c r="E111" s="2">
        <v>0.33080946004107697</v>
      </c>
      <c r="F111" s="2">
        <v>1.823</v>
      </c>
      <c r="G111" s="2">
        <v>46.417510374166902</v>
      </c>
      <c r="H111" s="2" t="s">
        <v>18</v>
      </c>
      <c r="J111" s="2">
        <v>109</v>
      </c>
      <c r="K111" s="2">
        <v>7.0000000000000007E-2</v>
      </c>
      <c r="L111" s="2">
        <v>30.947316168216599</v>
      </c>
      <c r="M111" s="2">
        <v>4.6452744521509501</v>
      </c>
      <c r="N111" s="2">
        <v>71.892587245918605</v>
      </c>
      <c r="O111" s="5" t="s">
        <v>6</v>
      </c>
    </row>
    <row r="112" spans="2:15" ht="14.25" customHeight="1" x14ac:dyDescent="0.3">
      <c r="B112" s="2">
        <v>110</v>
      </c>
      <c r="C112" s="11">
        <v>5.5E-2</v>
      </c>
      <c r="D112" s="2">
        <v>30.593075373252699</v>
      </c>
      <c r="E112" s="2">
        <v>1.1817342314019901</v>
      </c>
      <c r="F112" s="2">
        <v>3.4670000000000001</v>
      </c>
      <c r="G112" s="2">
        <v>89.111272823513005</v>
      </c>
      <c r="H112" s="11" t="s">
        <v>27</v>
      </c>
      <c r="J112" s="2">
        <v>110</v>
      </c>
      <c r="K112" s="2">
        <v>7.0000000000000007E-2</v>
      </c>
      <c r="L112" s="2">
        <v>-4.7945248768227797</v>
      </c>
      <c r="M112" s="2">
        <v>1.9440997176667401</v>
      </c>
      <c r="N112" s="2">
        <v>38.368202550734601</v>
      </c>
      <c r="O112" s="2" t="s">
        <v>16</v>
      </c>
    </row>
    <row r="113" spans="2:15" ht="14.25" customHeight="1" x14ac:dyDescent="0.3">
      <c r="B113" s="2">
        <v>111</v>
      </c>
      <c r="C113" s="5">
        <v>5.7500000000000002E-2</v>
      </c>
      <c r="D113" s="2">
        <v>30.637294192971599</v>
      </c>
      <c r="E113" s="2">
        <v>1.6338774759793</v>
      </c>
      <c r="F113" s="2">
        <v>3.359</v>
      </c>
      <c r="G113" s="2">
        <v>88.290780185802603</v>
      </c>
      <c r="H113" s="5" t="s">
        <v>6</v>
      </c>
      <c r="J113" s="2">
        <v>111</v>
      </c>
      <c r="K113" s="2">
        <v>7.0000000000000007E-2</v>
      </c>
      <c r="L113" s="2">
        <v>-8.4669568567081903</v>
      </c>
      <c r="M113" s="2">
        <v>1.5699579685915801</v>
      </c>
      <c r="N113" s="2">
        <v>30.885576881451701</v>
      </c>
      <c r="O113" s="2" t="s">
        <v>17</v>
      </c>
    </row>
    <row r="114" spans="2:15" ht="14.25" customHeight="1" x14ac:dyDescent="0.3">
      <c r="B114" s="2">
        <v>112</v>
      </c>
      <c r="C114" s="2">
        <v>5.7500000000000002E-2</v>
      </c>
      <c r="D114" s="2">
        <v>-4.8148380605796399</v>
      </c>
      <c r="E114" s="2">
        <v>0.25078004682671201</v>
      </c>
      <c r="F114" s="2">
        <v>2.7850000000000001</v>
      </c>
      <c r="G114" s="2">
        <v>54.254811933459898</v>
      </c>
      <c r="H114" s="2" t="s">
        <v>16</v>
      </c>
      <c r="J114" s="2">
        <v>112</v>
      </c>
      <c r="K114" s="2">
        <v>7.0000000000000007E-2</v>
      </c>
      <c r="L114" s="2">
        <v>-2.4097734817930299</v>
      </c>
      <c r="M114" s="2">
        <v>1.54069562534134</v>
      </c>
      <c r="N114" s="2">
        <v>37.235831361040198</v>
      </c>
      <c r="O114" s="2" t="s">
        <v>18</v>
      </c>
    </row>
    <row r="115" spans="2:15" ht="14.25" customHeight="1" x14ac:dyDescent="0.3">
      <c r="B115" s="2">
        <v>113</v>
      </c>
      <c r="C115" s="2">
        <v>5.7500000000000002E-2</v>
      </c>
      <c r="D115" s="2">
        <v>-8.4126019942941692</v>
      </c>
      <c r="E115" s="2">
        <v>0.12566937895105201</v>
      </c>
      <c r="F115" s="2">
        <v>2.9489999999999998</v>
      </c>
      <c r="G115" s="2">
        <v>37.842749604939002</v>
      </c>
      <c r="H115" s="2" t="s">
        <v>17</v>
      </c>
      <c r="J115" s="2">
        <v>113</v>
      </c>
      <c r="K115" s="2">
        <v>7.2499999999999995E-2</v>
      </c>
      <c r="L115" s="2">
        <v>30.975137138431201</v>
      </c>
      <c r="M115" s="2">
        <v>4.9560417009047999</v>
      </c>
      <c r="N115" s="2">
        <v>74.580740826154894</v>
      </c>
      <c r="O115" s="5" t="s">
        <v>6</v>
      </c>
    </row>
    <row r="116" spans="2:15" ht="14.25" customHeight="1" x14ac:dyDescent="0.3">
      <c r="B116" s="2">
        <v>114</v>
      </c>
      <c r="C116" s="2">
        <v>5.7500000000000002E-2</v>
      </c>
      <c r="D116" s="2">
        <v>-2.42218938978721</v>
      </c>
      <c r="E116" s="2">
        <v>0.343910729016074</v>
      </c>
      <c r="F116" s="2">
        <v>1.8160000000000001</v>
      </c>
      <c r="G116" s="2">
        <v>51.024999213588302</v>
      </c>
      <c r="H116" s="2" t="s">
        <v>18</v>
      </c>
      <c r="J116" s="2">
        <v>114</v>
      </c>
      <c r="K116" s="2">
        <v>7.2499999999999995E-2</v>
      </c>
      <c r="L116" s="2">
        <v>-4.7907168360054699</v>
      </c>
      <c r="M116" s="2">
        <v>2.0139752386222001</v>
      </c>
      <c r="N116" s="2">
        <v>45.3148955798817</v>
      </c>
      <c r="O116" s="2" t="s">
        <v>16</v>
      </c>
    </row>
    <row r="117" spans="2:15" ht="14.25" customHeight="1" x14ac:dyDescent="0.3">
      <c r="B117" s="2">
        <v>115</v>
      </c>
      <c r="C117" s="11">
        <v>5.7500000000000002E-2</v>
      </c>
      <c r="D117" s="2">
        <v>30.6372941798294</v>
      </c>
      <c r="E117" s="2">
        <v>1.63387747597927</v>
      </c>
      <c r="F117" s="2">
        <v>3.359</v>
      </c>
      <c r="G117" s="2">
        <v>88.290780204745403</v>
      </c>
      <c r="H117" s="11" t="s">
        <v>27</v>
      </c>
      <c r="J117" s="2">
        <v>115</v>
      </c>
      <c r="K117" s="2">
        <v>7.2499999999999995E-2</v>
      </c>
      <c r="L117" s="2">
        <v>-8.5018526697125392</v>
      </c>
      <c r="M117" s="2">
        <v>1.5446326536847601</v>
      </c>
      <c r="N117" s="2">
        <v>34.047288733591998</v>
      </c>
      <c r="O117" s="2" t="s">
        <v>17</v>
      </c>
    </row>
    <row r="118" spans="2:15" ht="14.25" customHeight="1" x14ac:dyDescent="0.3">
      <c r="B118" s="2">
        <v>116</v>
      </c>
      <c r="C118" s="5">
        <v>0.06</v>
      </c>
      <c r="D118" s="2">
        <v>30.593757234281998</v>
      </c>
      <c r="E118" s="2">
        <v>1.1817252137175001</v>
      </c>
      <c r="F118" s="2">
        <v>3.4670000000000001</v>
      </c>
      <c r="G118" s="2">
        <v>89.110688902584499</v>
      </c>
      <c r="H118" s="5" t="s">
        <v>6</v>
      </c>
      <c r="J118" s="2">
        <v>116</v>
      </c>
      <c r="K118" s="2">
        <v>7.2499999999999995E-2</v>
      </c>
      <c r="L118" s="2">
        <v>-2.41243971889631</v>
      </c>
      <c r="M118" s="2">
        <v>1.55226046353823</v>
      </c>
      <c r="N118" s="2">
        <v>42.759388648361401</v>
      </c>
      <c r="O118" s="2" t="s">
        <v>18</v>
      </c>
    </row>
    <row r="119" spans="2:15" ht="14.25" customHeight="1" x14ac:dyDescent="0.3">
      <c r="B119" s="2">
        <v>117</v>
      </c>
      <c r="C119" s="2">
        <v>0.06</v>
      </c>
      <c r="D119" s="2">
        <v>-4.8179051627322798</v>
      </c>
      <c r="E119" s="2">
        <v>0.21333781631552201</v>
      </c>
      <c r="F119" s="2">
        <v>2.8149999999999999</v>
      </c>
      <c r="G119" s="2">
        <v>48.074046214267902</v>
      </c>
      <c r="H119" s="2" t="s">
        <v>16</v>
      </c>
      <c r="J119" s="2">
        <v>117</v>
      </c>
      <c r="K119" s="2">
        <v>7.4999999999999997E-2</v>
      </c>
      <c r="L119" s="2">
        <v>30.9480006132375</v>
      </c>
      <c r="M119" s="2">
        <v>4.6452302198234099</v>
      </c>
      <c r="N119" s="2">
        <v>71.892900849307594</v>
      </c>
      <c r="O119" s="5" t="s">
        <v>6</v>
      </c>
    </row>
    <row r="120" spans="2:15" ht="14.25" customHeight="1" x14ac:dyDescent="0.3">
      <c r="B120" s="2">
        <v>118</v>
      </c>
      <c r="C120" s="2">
        <v>0.06</v>
      </c>
      <c r="D120" s="2">
        <v>-8.0008001805983202</v>
      </c>
      <c r="E120" s="2">
        <v>0.12267923359343801</v>
      </c>
      <c r="F120" s="2">
        <v>2.9249999999999998</v>
      </c>
      <c r="G120" s="2">
        <v>33.288237948061003</v>
      </c>
      <c r="H120" s="2" t="s">
        <v>17</v>
      </c>
      <c r="J120" s="2">
        <v>118</v>
      </c>
      <c r="K120" s="2">
        <v>7.4999999999999997E-2</v>
      </c>
      <c r="L120" s="2">
        <v>-4.78927690645809</v>
      </c>
      <c r="M120" s="2">
        <v>1.9432951357983499</v>
      </c>
      <c r="N120" s="2">
        <v>38.3319535747858</v>
      </c>
      <c r="O120" s="2" t="s">
        <v>16</v>
      </c>
    </row>
    <row r="121" spans="2:15" ht="14.25" customHeight="1" x14ac:dyDescent="0.3">
      <c r="B121" s="2">
        <v>119</v>
      </c>
      <c r="C121" s="2">
        <v>0.06</v>
      </c>
      <c r="D121" s="2">
        <v>-2.4176594506297802</v>
      </c>
      <c r="E121" s="2">
        <v>0.33017645934283602</v>
      </c>
      <c r="F121" s="2">
        <v>1.823</v>
      </c>
      <c r="G121" s="2">
        <v>46.377285991125198</v>
      </c>
      <c r="H121" s="2" t="s">
        <v>18</v>
      </c>
      <c r="J121" s="2">
        <v>119</v>
      </c>
      <c r="K121" s="2">
        <v>7.4999999999999997E-2</v>
      </c>
      <c r="L121" s="2">
        <v>-8.4631227385484404</v>
      </c>
      <c r="M121" s="2">
        <v>1.5696739259446499</v>
      </c>
      <c r="N121" s="2">
        <v>30.869696846456499</v>
      </c>
      <c r="O121" s="2" t="s">
        <v>17</v>
      </c>
    </row>
    <row r="122" spans="2:15" ht="14.25" customHeight="1" x14ac:dyDescent="0.3">
      <c r="B122" s="2">
        <v>120</v>
      </c>
      <c r="C122" s="11">
        <v>0.06</v>
      </c>
      <c r="D122" s="2">
        <v>30.593757234281998</v>
      </c>
      <c r="E122" s="2">
        <v>1.1817252137175001</v>
      </c>
      <c r="F122" s="2">
        <v>3.4670000000000001</v>
      </c>
      <c r="G122" s="2">
        <v>89.110688902584499</v>
      </c>
      <c r="H122" s="11" t="s">
        <v>27</v>
      </c>
      <c r="J122" s="2">
        <v>120</v>
      </c>
      <c r="K122" s="2">
        <v>7.4999999999999997E-2</v>
      </c>
      <c r="L122" s="2">
        <v>-2.4076392137909401</v>
      </c>
      <c r="M122" s="2">
        <v>1.54005022764203</v>
      </c>
      <c r="N122" s="2">
        <v>37.202958961794998</v>
      </c>
      <c r="O122" s="2" t="s">
        <v>18</v>
      </c>
    </row>
    <row r="123" spans="2:15" ht="14.25" customHeight="1" x14ac:dyDescent="0.3">
      <c r="B123" s="2">
        <v>121</v>
      </c>
      <c r="C123" s="5">
        <v>6.25E-2</v>
      </c>
      <c r="D123" s="2">
        <v>30.5929330479652</v>
      </c>
      <c r="E123" s="2">
        <v>1.18173488617539</v>
      </c>
      <c r="F123" s="2">
        <v>3.4670000000000001</v>
      </c>
      <c r="G123" s="2">
        <v>89.997314570976002</v>
      </c>
      <c r="H123" s="5" t="s">
        <v>6</v>
      </c>
    </row>
    <row r="124" spans="2:15" ht="14.25" customHeight="1" x14ac:dyDescent="0.3">
      <c r="B124" s="2">
        <v>122</v>
      </c>
      <c r="C124" s="2">
        <v>6.25E-2</v>
      </c>
      <c r="D124" s="2">
        <v>-4.8240777776487898</v>
      </c>
      <c r="E124" s="2">
        <v>0.20984790869740699</v>
      </c>
      <c r="F124" s="2">
        <v>2.8170000000000002</v>
      </c>
      <c r="G124" s="2">
        <v>52.322783518681497</v>
      </c>
      <c r="H124" s="2" t="s">
        <v>16</v>
      </c>
    </row>
    <row r="125" spans="2:15" ht="14.25" customHeight="1" x14ac:dyDescent="0.3">
      <c r="B125" s="2">
        <v>123</v>
      </c>
      <c r="C125" s="2">
        <v>6.25E-2</v>
      </c>
      <c r="D125" s="2">
        <v>-8.0049851579641604</v>
      </c>
      <c r="E125" s="2">
        <v>0.125152212969283</v>
      </c>
      <c r="F125" s="2">
        <v>2.9220000000000002</v>
      </c>
      <c r="G125" s="2">
        <v>38.350333426680301</v>
      </c>
      <c r="H125" s="2" t="s">
        <v>17</v>
      </c>
    </row>
    <row r="126" spans="2:15" ht="14.25" customHeight="1" x14ac:dyDescent="0.3">
      <c r="B126" s="2">
        <v>124</v>
      </c>
      <c r="C126" s="2">
        <v>6.25E-2</v>
      </c>
      <c r="D126" s="2">
        <v>-2.42024282668701</v>
      </c>
      <c r="E126" s="2">
        <v>0.330949674103242</v>
      </c>
      <c r="F126" s="2">
        <v>1.823</v>
      </c>
      <c r="G126" s="2">
        <v>51.099800807405501</v>
      </c>
      <c r="H126" s="2" t="s">
        <v>18</v>
      </c>
    </row>
    <row r="127" spans="2:15" ht="14.25" customHeight="1" x14ac:dyDescent="0.3">
      <c r="B127" s="2">
        <v>125</v>
      </c>
      <c r="C127" s="11">
        <v>6.25E-2</v>
      </c>
      <c r="D127" s="2">
        <v>30.592933034823002</v>
      </c>
      <c r="E127" s="2">
        <v>1.18173488617539</v>
      </c>
      <c r="F127" s="2">
        <v>3.4670000000000001</v>
      </c>
      <c r="G127" s="2">
        <v>89.997314593955593</v>
      </c>
      <c r="H127" s="11" t="s">
        <v>27</v>
      </c>
    </row>
    <row r="128" spans="2:15" ht="14.25" customHeight="1" x14ac:dyDescent="0.3">
      <c r="B128" s="2">
        <v>126</v>
      </c>
      <c r="C128" s="5">
        <v>6.5000000000000002E-2</v>
      </c>
      <c r="D128" s="2">
        <v>30.638118664724299</v>
      </c>
      <c r="E128" s="2">
        <v>1.63387205424924</v>
      </c>
      <c r="F128" s="2">
        <v>3.359</v>
      </c>
      <c r="G128" s="2">
        <v>87.288033922314199</v>
      </c>
      <c r="H128" s="5" t="s">
        <v>6</v>
      </c>
    </row>
    <row r="129" spans="2:8" ht="14.25" customHeight="1" x14ac:dyDescent="0.3">
      <c r="B129" s="2">
        <v>127</v>
      </c>
      <c r="C129" s="2">
        <v>6.5000000000000002E-2</v>
      </c>
      <c r="D129" s="2">
        <v>-4.8086595174932896</v>
      </c>
      <c r="E129" s="2">
        <v>0.24935355406933299</v>
      </c>
      <c r="F129" s="2">
        <v>2.786</v>
      </c>
      <c r="G129" s="2">
        <v>50.072475920212497</v>
      </c>
      <c r="H129" s="2" t="s">
        <v>16</v>
      </c>
    </row>
    <row r="130" spans="2:8" ht="14.25" customHeight="1" x14ac:dyDescent="0.3">
      <c r="B130" s="2">
        <v>128</v>
      </c>
      <c r="C130" s="2">
        <v>6.5000000000000002E-2</v>
      </c>
      <c r="D130" s="2">
        <v>-8.5329251546674492</v>
      </c>
      <c r="E130" s="2">
        <v>0.112959282691957</v>
      </c>
      <c r="F130" s="2">
        <v>2.8069999999999999</v>
      </c>
      <c r="G130" s="2">
        <v>37.007149103339898</v>
      </c>
      <c r="H130" s="2" t="s">
        <v>17</v>
      </c>
    </row>
    <row r="131" spans="2:8" ht="14.25" customHeight="1" x14ac:dyDescent="0.3">
      <c r="B131" s="2">
        <v>129</v>
      </c>
      <c r="C131" s="2">
        <v>6.5000000000000002E-2</v>
      </c>
      <c r="D131" s="2">
        <v>-2.41961112994592</v>
      </c>
      <c r="E131" s="2">
        <v>0.34314681979464701</v>
      </c>
      <c r="F131" s="2">
        <v>1.8160000000000001</v>
      </c>
      <c r="G131" s="2">
        <v>46.299426812942102</v>
      </c>
      <c r="H131" s="2" t="s">
        <v>18</v>
      </c>
    </row>
    <row r="132" spans="2:8" ht="14.25" customHeight="1" x14ac:dyDescent="0.3">
      <c r="B132" s="2">
        <v>130</v>
      </c>
      <c r="C132" s="11">
        <v>6.5000000000000002E-2</v>
      </c>
      <c r="D132" s="2">
        <v>30.638118664724299</v>
      </c>
      <c r="E132" s="2">
        <v>1.63387205424924</v>
      </c>
      <c r="F132" s="2">
        <v>3.359</v>
      </c>
      <c r="G132" s="2">
        <v>87.288033922314199</v>
      </c>
      <c r="H132" s="11" t="s">
        <v>27</v>
      </c>
    </row>
    <row r="133" spans="2:8" ht="14.25" customHeight="1" x14ac:dyDescent="0.3">
      <c r="B133" s="2">
        <v>131</v>
      </c>
      <c r="C133" s="5">
        <v>6.7500000000000004E-2</v>
      </c>
      <c r="D133" s="2">
        <v>30.6374366144783</v>
      </c>
      <c r="E133" s="2">
        <v>1.6338769519596901</v>
      </c>
      <c r="F133" s="2">
        <v>3.359</v>
      </c>
      <c r="G133" s="2">
        <v>87.288459397212506</v>
      </c>
      <c r="H133" s="5" t="s">
        <v>6</v>
      </c>
    </row>
    <row r="134" spans="2:8" ht="14.25" customHeight="1" x14ac:dyDescent="0.3">
      <c r="B134" s="2">
        <v>132</v>
      </c>
      <c r="C134" s="2">
        <v>6.7500000000000004E-2</v>
      </c>
      <c r="D134" s="2">
        <v>-4.8138893828703804</v>
      </c>
      <c r="E134" s="2">
        <v>0.25052741588109401</v>
      </c>
      <c r="F134" s="2">
        <v>2.7850000000000001</v>
      </c>
      <c r="G134" s="2">
        <v>50.1169352459669</v>
      </c>
      <c r="H134" s="2" t="s">
        <v>16</v>
      </c>
    </row>
    <row r="135" spans="2:8" ht="14.25" customHeight="1" x14ac:dyDescent="0.3">
      <c r="B135" s="2">
        <v>133</v>
      </c>
      <c r="C135" s="2">
        <v>6.7500000000000004E-2</v>
      </c>
      <c r="D135" s="2">
        <v>-8.4822363822130793</v>
      </c>
      <c r="E135" s="2">
        <v>0.122132763045881</v>
      </c>
      <c r="F135" s="2">
        <v>2.8109999999999999</v>
      </c>
      <c r="G135" s="2">
        <v>36.896432336786802</v>
      </c>
      <c r="H135" s="2" t="s">
        <v>17</v>
      </c>
    </row>
    <row r="136" spans="2:8" ht="14.25" customHeight="1" x14ac:dyDescent="0.3">
      <c r="B136" s="2">
        <v>134</v>
      </c>
      <c r="C136" s="2">
        <v>6.7500000000000004E-2</v>
      </c>
      <c r="D136" s="2">
        <v>-2.42173803269326</v>
      </c>
      <c r="E136" s="2">
        <v>0.34377345351945299</v>
      </c>
      <c r="F136" s="2">
        <v>1.8160000000000001</v>
      </c>
      <c r="G136" s="2">
        <v>46.341430330149898</v>
      </c>
      <c r="H136" s="2" t="s">
        <v>18</v>
      </c>
    </row>
    <row r="137" spans="2:8" ht="14.25" customHeight="1" x14ac:dyDescent="0.3">
      <c r="B137" s="2">
        <v>135</v>
      </c>
      <c r="C137" s="11">
        <v>6.7500000000000004E-2</v>
      </c>
      <c r="D137" s="2">
        <v>30.6374366144783</v>
      </c>
      <c r="E137" s="2">
        <v>1.6338769519596901</v>
      </c>
      <c r="F137" s="2">
        <v>3.359</v>
      </c>
      <c r="G137" s="2">
        <v>87.288459397212506</v>
      </c>
      <c r="H137" s="11" t="s">
        <v>27</v>
      </c>
    </row>
    <row r="138" spans="2:8" ht="14.25" customHeight="1" x14ac:dyDescent="0.3">
      <c r="B138" s="2">
        <v>136</v>
      </c>
      <c r="C138" s="5">
        <v>7.0000000000000007E-2</v>
      </c>
      <c r="D138" s="2">
        <v>30.593075373252699</v>
      </c>
      <c r="E138" s="2">
        <v>1.1817342314019901</v>
      </c>
      <c r="F138" s="2">
        <v>3.4670000000000001</v>
      </c>
      <c r="G138" s="2">
        <v>89.111272823513005</v>
      </c>
      <c r="H138" s="5" t="s">
        <v>6</v>
      </c>
    </row>
    <row r="139" spans="2:8" ht="14.25" customHeight="1" x14ac:dyDescent="0.3">
      <c r="B139" s="2">
        <v>137</v>
      </c>
      <c r="C139" s="2">
        <v>7.0000000000000007E-2</v>
      </c>
      <c r="D139" s="2">
        <v>-4.8231441057429398</v>
      </c>
      <c r="E139" s="2">
        <v>0.214616390606202</v>
      </c>
      <c r="F139" s="2">
        <v>2.8130000000000002</v>
      </c>
      <c r="G139" s="2">
        <v>48.1178979649696</v>
      </c>
      <c r="H139" s="2" t="s">
        <v>16</v>
      </c>
    </row>
    <row r="140" spans="2:8" ht="14.25" customHeight="1" x14ac:dyDescent="0.3">
      <c r="B140" s="2">
        <v>138</v>
      </c>
      <c r="C140" s="2">
        <v>7.0000000000000007E-2</v>
      </c>
      <c r="D140" s="2">
        <v>-8.0039892341842105</v>
      </c>
      <c r="E140" s="2">
        <v>0.126111602066168</v>
      </c>
      <c r="F140" s="2">
        <v>2.9220000000000002</v>
      </c>
      <c r="G140" s="2">
        <v>33.340274918368102</v>
      </c>
      <c r="H140" s="2" t="s">
        <v>17</v>
      </c>
    </row>
    <row r="141" spans="2:8" ht="14.25" customHeight="1" x14ac:dyDescent="0.3">
      <c r="B141" s="2">
        <v>139</v>
      </c>
      <c r="C141" s="2">
        <v>7.0000000000000007E-2</v>
      </c>
      <c r="D141" s="2">
        <v>-2.4197905150671799</v>
      </c>
      <c r="E141" s="2">
        <v>0.33080946004107697</v>
      </c>
      <c r="F141" s="2">
        <v>1.823</v>
      </c>
      <c r="G141" s="2">
        <v>46.417510374166902</v>
      </c>
      <c r="H141" s="2" t="s">
        <v>18</v>
      </c>
    </row>
    <row r="142" spans="2:8" ht="14.25" customHeight="1" x14ac:dyDescent="0.3">
      <c r="B142" s="2">
        <v>140</v>
      </c>
      <c r="C142" s="11">
        <v>7.0000000000000007E-2</v>
      </c>
      <c r="D142" s="2">
        <v>30.593075373252699</v>
      </c>
      <c r="E142" s="2">
        <v>1.1817342314019901</v>
      </c>
      <c r="F142" s="2">
        <v>3.4670000000000001</v>
      </c>
      <c r="G142" s="2">
        <v>89.111272823513005</v>
      </c>
      <c r="H142" s="11" t="s">
        <v>27</v>
      </c>
    </row>
    <row r="143" spans="2:8" ht="14.25" customHeight="1" x14ac:dyDescent="0.3">
      <c r="B143" s="2">
        <v>141</v>
      </c>
      <c r="C143" s="5">
        <v>7.2499999999999995E-2</v>
      </c>
      <c r="D143" s="2">
        <v>30.637294192971599</v>
      </c>
      <c r="E143" s="2">
        <v>1.6338774759793</v>
      </c>
      <c r="F143" s="2">
        <v>3.359</v>
      </c>
      <c r="G143" s="2">
        <v>88.290780185802603</v>
      </c>
      <c r="H143" s="5" t="s">
        <v>6</v>
      </c>
    </row>
    <row r="144" spans="2:8" ht="14.25" customHeight="1" x14ac:dyDescent="0.3">
      <c r="B144" s="2">
        <v>142</v>
      </c>
      <c r="C144" s="2">
        <v>7.2499999999999995E-2</v>
      </c>
      <c r="D144" s="2">
        <v>-4.8148380605796399</v>
      </c>
      <c r="E144" s="2">
        <v>0.25078004682671201</v>
      </c>
      <c r="F144" s="2">
        <v>2.7850000000000001</v>
      </c>
      <c r="G144" s="2">
        <v>54.254811933459898</v>
      </c>
      <c r="H144" s="2" t="s">
        <v>16</v>
      </c>
    </row>
    <row r="145" spans="2:8" ht="14.25" customHeight="1" x14ac:dyDescent="0.3">
      <c r="B145" s="2">
        <v>143</v>
      </c>
      <c r="C145" s="2">
        <v>7.2499999999999995E-2</v>
      </c>
      <c r="D145" s="2">
        <v>-8.4126019942941692</v>
      </c>
      <c r="E145" s="2">
        <v>0.12566937895105201</v>
      </c>
      <c r="F145" s="2">
        <v>2.9489999999999998</v>
      </c>
      <c r="G145" s="2">
        <v>37.842749604939002</v>
      </c>
      <c r="H145" s="2" t="s">
        <v>17</v>
      </c>
    </row>
    <row r="146" spans="2:8" ht="14.25" customHeight="1" x14ac:dyDescent="0.3">
      <c r="B146" s="2">
        <v>144</v>
      </c>
      <c r="C146" s="2">
        <v>7.2499999999999995E-2</v>
      </c>
      <c r="D146" s="2">
        <v>-2.42218938978721</v>
      </c>
      <c r="E146" s="2">
        <v>0.343910729016074</v>
      </c>
      <c r="F146" s="2">
        <v>1.8160000000000001</v>
      </c>
      <c r="G146" s="2">
        <v>51.024999213588302</v>
      </c>
      <c r="H146" s="2" t="s">
        <v>18</v>
      </c>
    </row>
    <row r="147" spans="2:8" ht="14.25" customHeight="1" x14ac:dyDescent="0.3">
      <c r="B147" s="2">
        <v>145</v>
      </c>
      <c r="C147" s="11">
        <v>7.2499999999999995E-2</v>
      </c>
      <c r="D147" s="2">
        <v>30.6372941798294</v>
      </c>
      <c r="E147" s="2">
        <v>1.63387747597927</v>
      </c>
      <c r="F147" s="2">
        <v>3.359</v>
      </c>
      <c r="G147" s="2">
        <v>88.290780204745403</v>
      </c>
      <c r="H147" s="11" t="s">
        <v>27</v>
      </c>
    </row>
    <row r="148" spans="2:8" ht="14.25" customHeight="1" x14ac:dyDescent="0.3">
      <c r="B148" s="2">
        <v>146</v>
      </c>
      <c r="C148" s="5">
        <v>7.4999999999999997E-2</v>
      </c>
      <c r="D148" s="2">
        <v>30.593757234281998</v>
      </c>
      <c r="E148" s="2">
        <v>1.1817252137175001</v>
      </c>
      <c r="F148" s="2">
        <v>3.4670000000000001</v>
      </c>
      <c r="G148" s="2">
        <v>89.110688902584499</v>
      </c>
      <c r="H148" s="5" t="s">
        <v>6</v>
      </c>
    </row>
    <row r="149" spans="2:8" ht="14.25" customHeight="1" x14ac:dyDescent="0.3">
      <c r="B149" s="2">
        <v>147</v>
      </c>
      <c r="C149" s="2">
        <v>7.4999999999999997E-2</v>
      </c>
      <c r="D149" s="2">
        <v>-4.8179051627322798</v>
      </c>
      <c r="E149" s="2">
        <v>0.21333781631552201</v>
      </c>
      <c r="F149" s="2">
        <v>2.8149999999999999</v>
      </c>
      <c r="G149" s="2">
        <v>48.074046214267902</v>
      </c>
      <c r="H149" s="2" t="s">
        <v>16</v>
      </c>
    </row>
    <row r="150" spans="2:8" ht="14.25" customHeight="1" x14ac:dyDescent="0.3">
      <c r="B150" s="2">
        <v>148</v>
      </c>
      <c r="C150" s="2">
        <v>7.4999999999999997E-2</v>
      </c>
      <c r="D150" s="2">
        <v>-8.0008001805983202</v>
      </c>
      <c r="E150" s="2">
        <v>0.12267923359343801</v>
      </c>
      <c r="F150" s="2">
        <v>2.9249999999999998</v>
      </c>
      <c r="G150" s="2">
        <v>33.288237948061003</v>
      </c>
      <c r="H150" s="2" t="s">
        <v>17</v>
      </c>
    </row>
    <row r="151" spans="2:8" ht="14.25" customHeight="1" x14ac:dyDescent="0.3">
      <c r="B151" s="2">
        <v>149</v>
      </c>
      <c r="C151" s="2">
        <v>7.4999999999999997E-2</v>
      </c>
      <c r="D151" s="2">
        <v>-2.4176594506297802</v>
      </c>
      <c r="E151" s="2">
        <v>0.33017645934283602</v>
      </c>
      <c r="F151" s="2">
        <v>1.823</v>
      </c>
      <c r="G151" s="2">
        <v>46.377285991125198</v>
      </c>
      <c r="H151" s="2" t="s">
        <v>18</v>
      </c>
    </row>
    <row r="152" spans="2:8" ht="14.25" customHeight="1" x14ac:dyDescent="0.3">
      <c r="B152" s="2">
        <v>150</v>
      </c>
      <c r="C152" s="11">
        <v>7.4999999999999997E-2</v>
      </c>
      <c r="D152" s="2">
        <v>30.593757234281998</v>
      </c>
      <c r="E152" s="2">
        <v>1.1817252137175001</v>
      </c>
      <c r="F152" s="2">
        <v>3.4670000000000001</v>
      </c>
      <c r="G152" s="2">
        <v>89.110688902584499</v>
      </c>
      <c r="H152" s="11" t="s">
        <v>27</v>
      </c>
    </row>
    <row r="153" spans="2:8" ht="14.25" customHeight="1" x14ac:dyDescent="0.3">
      <c r="H153" s="5"/>
    </row>
    <row r="154" spans="2:8" ht="14.25" customHeight="1" x14ac:dyDescent="0.3"/>
    <row r="155" spans="2:8" ht="14.25" customHeight="1" x14ac:dyDescent="0.3">
      <c r="B155" s="52" t="s">
        <v>20</v>
      </c>
      <c r="C155" s="53"/>
      <c r="D155" s="53"/>
      <c r="E155" s="53"/>
      <c r="F155" s="53"/>
      <c r="G155" s="53"/>
      <c r="H155" s="53"/>
    </row>
    <row r="156" spans="2:8" ht="14.25" customHeight="1" x14ac:dyDescent="0.3">
      <c r="B156" s="2" t="s">
        <v>23</v>
      </c>
      <c r="C156" s="2" t="s">
        <v>24</v>
      </c>
      <c r="D156" s="2" t="s">
        <v>11</v>
      </c>
      <c r="E156" s="2" t="s">
        <v>12</v>
      </c>
      <c r="F156" s="2" t="s">
        <v>13</v>
      </c>
      <c r="G156" s="2" t="s">
        <v>25</v>
      </c>
      <c r="H156" s="2" t="s">
        <v>26</v>
      </c>
    </row>
    <row r="157" spans="2:8" ht="14.25" customHeight="1" x14ac:dyDescent="0.3">
      <c r="B157" s="2">
        <v>1</v>
      </c>
      <c r="C157" s="5">
        <v>2.5000000000000001E-3</v>
      </c>
      <c r="D157" s="2">
        <v>30.6381186611899</v>
      </c>
      <c r="E157" s="2">
        <v>1.6338720604169501</v>
      </c>
      <c r="F157" s="2">
        <v>3.359</v>
      </c>
      <c r="G157" s="2">
        <v>87.288034032184598</v>
      </c>
      <c r="H157" s="5" t="s">
        <v>6</v>
      </c>
    </row>
    <row r="158" spans="2:8" ht="14.25" customHeight="1" x14ac:dyDescent="0.3">
      <c r="B158" s="2">
        <v>2</v>
      </c>
      <c r="C158" s="2">
        <v>2.5000000000000001E-3</v>
      </c>
      <c r="D158" s="2">
        <v>-4.8086598529171098</v>
      </c>
      <c r="E158" s="2">
        <v>0.24935368354146201</v>
      </c>
      <c r="F158" s="2">
        <v>2.786</v>
      </c>
      <c r="G158" s="2">
        <v>50.0724788784838</v>
      </c>
      <c r="H158" s="2" t="s">
        <v>16</v>
      </c>
    </row>
    <row r="159" spans="2:8" ht="14.25" customHeight="1" x14ac:dyDescent="0.3">
      <c r="B159" s="2">
        <v>3</v>
      </c>
      <c r="C159" s="2">
        <v>2.5000000000000001E-3</v>
      </c>
      <c r="D159" s="2">
        <v>-8.5329501246920003</v>
      </c>
      <c r="E159" s="2">
        <v>0.113212865796971</v>
      </c>
      <c r="F159" s="2">
        <v>2.8069999999999999</v>
      </c>
      <c r="G159" s="2">
        <v>37.006666629388</v>
      </c>
      <c r="H159" s="2" t="s">
        <v>17</v>
      </c>
    </row>
    <row r="160" spans="2:8" ht="14.25" customHeight="1" x14ac:dyDescent="0.3">
      <c r="B160" s="2">
        <v>4</v>
      </c>
      <c r="C160" s="2">
        <v>2.5000000000000001E-3</v>
      </c>
      <c r="D160" s="2">
        <v>-2.4196112468214701</v>
      </c>
      <c r="E160" s="2">
        <v>0.34314687124629101</v>
      </c>
      <c r="F160" s="2">
        <v>1.8160000000000001</v>
      </c>
      <c r="G160" s="2">
        <v>46.299429443049199</v>
      </c>
      <c r="H160" s="2" t="s">
        <v>18</v>
      </c>
    </row>
    <row r="161" spans="2:8" ht="14.25" customHeight="1" x14ac:dyDescent="0.3">
      <c r="B161" s="2">
        <v>5</v>
      </c>
      <c r="C161" s="11">
        <v>2.5000000000000001E-3</v>
      </c>
      <c r="D161" s="2">
        <v>-8.5329501246920003</v>
      </c>
      <c r="E161" s="2">
        <v>0.113212865796971</v>
      </c>
      <c r="F161" s="2">
        <v>2.8069999999999999</v>
      </c>
      <c r="G161" s="2">
        <v>37.006666629388</v>
      </c>
      <c r="H161" s="11" t="s">
        <v>27</v>
      </c>
    </row>
    <row r="162" spans="2:8" ht="14.25" customHeight="1" x14ac:dyDescent="0.3">
      <c r="B162" s="2">
        <v>6</v>
      </c>
      <c r="C162" s="5">
        <v>5.0000000000000001E-3</v>
      </c>
      <c r="D162" s="2">
        <v>30.676977111887499</v>
      </c>
      <c r="E162" s="2">
        <v>1.2426213430128601</v>
      </c>
      <c r="F162" s="2">
        <v>4.4880000000000004</v>
      </c>
      <c r="G162" s="2">
        <v>89.045666744938003</v>
      </c>
      <c r="H162" s="5" t="s">
        <v>6</v>
      </c>
    </row>
    <row r="163" spans="2:8" ht="14.25" customHeight="1" x14ac:dyDescent="0.3">
      <c r="B163" s="2">
        <v>7</v>
      </c>
      <c r="C163" s="2">
        <v>5.0000000000000001E-3</v>
      </c>
      <c r="D163" s="2">
        <v>-4.8368142282006801</v>
      </c>
      <c r="E163" s="2">
        <v>0.32058148590403601</v>
      </c>
      <c r="F163" s="2">
        <v>3.6949999999999998</v>
      </c>
      <c r="G163" s="2">
        <v>51.993489094868501</v>
      </c>
      <c r="H163" s="2" t="s">
        <v>16</v>
      </c>
    </row>
    <row r="164" spans="2:8" ht="14.25" customHeight="1" x14ac:dyDescent="0.3">
      <c r="B164" s="2">
        <v>8</v>
      </c>
      <c r="C164" s="2">
        <v>5.0000000000000001E-3</v>
      </c>
      <c r="D164" s="2">
        <v>-8.4003988745354103</v>
      </c>
      <c r="E164" s="2">
        <v>0.12743205271651201</v>
      </c>
      <c r="F164" s="2">
        <v>3.66</v>
      </c>
      <c r="G164" s="2">
        <v>42.034628222140597</v>
      </c>
      <c r="H164" s="2" t="s">
        <v>17</v>
      </c>
    </row>
    <row r="165" spans="2:8" ht="14.25" customHeight="1" x14ac:dyDescent="0.3">
      <c r="B165" s="2">
        <v>9</v>
      </c>
      <c r="C165" s="2">
        <v>5.0000000000000001E-3</v>
      </c>
      <c r="D165" s="2">
        <v>-2.4278130168250498</v>
      </c>
      <c r="E165" s="2">
        <v>0.73232559647997297</v>
      </c>
      <c r="F165" s="2">
        <v>1.8009999999999999</v>
      </c>
      <c r="G165" s="2">
        <v>51.038276969681803</v>
      </c>
      <c r="H165" s="2" t="s">
        <v>18</v>
      </c>
    </row>
    <row r="166" spans="2:8" ht="14.25" customHeight="1" x14ac:dyDescent="0.3">
      <c r="B166" s="2">
        <v>10</v>
      </c>
      <c r="C166" s="11">
        <v>5.0000000000000001E-3</v>
      </c>
      <c r="D166" s="2">
        <v>-8.4003988386883197</v>
      </c>
      <c r="E166" s="2">
        <v>0.12743611292937801</v>
      </c>
      <c r="F166" s="2">
        <v>3.66</v>
      </c>
      <c r="G166" s="2">
        <v>42.034621649162098</v>
      </c>
      <c r="H166" s="11" t="s">
        <v>27</v>
      </c>
    </row>
    <row r="167" spans="2:8" ht="14.25" customHeight="1" x14ac:dyDescent="0.3">
      <c r="B167" s="2">
        <v>11</v>
      </c>
      <c r="C167" s="5">
        <v>7.4999999999999997E-3</v>
      </c>
      <c r="D167" s="2">
        <v>30.826091239165599</v>
      </c>
      <c r="E167" s="2">
        <v>2.0832601621793798</v>
      </c>
      <c r="F167" s="2">
        <v>3.7</v>
      </c>
      <c r="G167" s="2">
        <v>93.4182793257215</v>
      </c>
      <c r="H167" s="5" t="s">
        <v>6</v>
      </c>
    </row>
    <row r="168" spans="2:8" ht="14.25" customHeight="1" x14ac:dyDescent="0.3">
      <c r="B168" s="2">
        <v>12</v>
      </c>
      <c r="C168" s="2">
        <v>7.4999999999999997E-3</v>
      </c>
      <c r="D168" s="2">
        <v>-4.7782374014059501</v>
      </c>
      <c r="E168" s="2">
        <v>0.16568893962946801</v>
      </c>
      <c r="F168" s="2">
        <v>4.7309999999999999</v>
      </c>
      <c r="G168" s="2">
        <v>44.189019197148298</v>
      </c>
      <c r="H168" s="2" t="s">
        <v>16</v>
      </c>
    </row>
    <row r="169" spans="2:8" ht="14.25" customHeight="1" x14ac:dyDescent="0.3">
      <c r="B169" s="2">
        <v>13</v>
      </c>
      <c r="C169" s="2">
        <v>7.4999999999999997E-3</v>
      </c>
      <c r="D169" s="2">
        <v>-7.9533778029722999</v>
      </c>
      <c r="E169" s="2">
        <v>0.158134264867024</v>
      </c>
      <c r="F169" s="2">
        <v>4.75</v>
      </c>
      <c r="G169" s="2">
        <v>24.461891641963302</v>
      </c>
      <c r="H169" s="2" t="s">
        <v>17</v>
      </c>
    </row>
    <row r="170" spans="2:8" ht="14.25" customHeight="1" x14ac:dyDescent="0.3">
      <c r="B170" s="2">
        <v>14</v>
      </c>
      <c r="C170" s="2">
        <v>7.4999999999999997E-3</v>
      </c>
      <c r="D170" s="2">
        <v>-2.44374204728339</v>
      </c>
      <c r="E170" s="2">
        <v>0.440256342870742</v>
      </c>
      <c r="F170" s="2">
        <v>2.7010000000000001</v>
      </c>
      <c r="G170" s="2">
        <v>43.793148255292998</v>
      </c>
      <c r="H170" s="2" t="s">
        <v>18</v>
      </c>
    </row>
    <row r="171" spans="2:8" ht="14.25" customHeight="1" x14ac:dyDescent="0.3">
      <c r="B171" s="2">
        <v>15</v>
      </c>
      <c r="C171" s="11">
        <v>7.4999999999999997E-3</v>
      </c>
      <c r="D171" s="2">
        <v>-7.9533778086028102</v>
      </c>
      <c r="E171" s="2">
        <v>0.158134266080556</v>
      </c>
      <c r="F171" s="2">
        <v>4.75</v>
      </c>
      <c r="G171" s="2">
        <v>24.461891666690001</v>
      </c>
      <c r="H171" s="11" t="s">
        <v>27</v>
      </c>
    </row>
    <row r="172" spans="2:8" ht="14.25" customHeight="1" x14ac:dyDescent="0.3">
      <c r="B172" s="2">
        <v>16</v>
      </c>
      <c r="C172" s="5">
        <v>0.01</v>
      </c>
      <c r="D172" s="2">
        <v>30.889403654617801</v>
      </c>
      <c r="E172" s="2">
        <v>1.9208379650001699</v>
      </c>
      <c r="F172" s="2">
        <v>4.6109999999999998</v>
      </c>
      <c r="G172" s="2">
        <v>93.071405037531306</v>
      </c>
      <c r="H172" s="5" t="s">
        <v>6</v>
      </c>
    </row>
    <row r="173" spans="2:8" ht="14.25" customHeight="1" x14ac:dyDescent="0.3">
      <c r="B173" s="2">
        <v>17</v>
      </c>
      <c r="C173" s="2">
        <v>0.01</v>
      </c>
      <c r="D173" s="2">
        <v>-4.8278101097178698</v>
      </c>
      <c r="E173" s="2">
        <v>0.12917939165044801</v>
      </c>
      <c r="F173" s="2">
        <v>4.9400000000000004</v>
      </c>
      <c r="G173" s="2">
        <v>50.946656152503202</v>
      </c>
      <c r="H173" s="2" t="s">
        <v>16</v>
      </c>
    </row>
    <row r="174" spans="2:8" ht="14.25" customHeight="1" x14ac:dyDescent="0.3">
      <c r="B174" s="2">
        <v>18</v>
      </c>
      <c r="C174" s="2">
        <v>0.01</v>
      </c>
      <c r="D174" s="2">
        <v>-7.9960243514983498</v>
      </c>
      <c r="E174" s="2">
        <v>0.119052796452198</v>
      </c>
      <c r="F174" s="2">
        <v>4.9470000000000001</v>
      </c>
      <c r="G174" s="2">
        <v>32.519733537702201</v>
      </c>
      <c r="H174" s="2" t="s">
        <v>17</v>
      </c>
    </row>
    <row r="175" spans="2:8" ht="14.25" customHeight="1" x14ac:dyDescent="0.3">
      <c r="B175" s="2">
        <v>19</v>
      </c>
      <c r="C175" s="2">
        <v>0.01</v>
      </c>
      <c r="D175" s="2">
        <v>-2.45085563812406</v>
      </c>
      <c r="E175" s="2">
        <v>0.70504677153022399</v>
      </c>
      <c r="F175" s="2">
        <v>2.6549999999999998</v>
      </c>
      <c r="G175" s="2">
        <v>48.453940316285802</v>
      </c>
      <c r="H175" s="2" t="s">
        <v>18</v>
      </c>
    </row>
    <row r="176" spans="2:8" ht="14.25" customHeight="1" x14ac:dyDescent="0.3">
      <c r="B176" s="2">
        <v>20</v>
      </c>
      <c r="C176" s="11">
        <v>0.01</v>
      </c>
      <c r="D176" s="2">
        <v>-7.99602438018655</v>
      </c>
      <c r="E176" s="2">
        <v>0.11905279890204799</v>
      </c>
      <c r="F176" s="2">
        <v>4.9470000000000001</v>
      </c>
      <c r="G176" s="2">
        <v>32.519733487417398</v>
      </c>
      <c r="H176" s="11" t="s">
        <v>27</v>
      </c>
    </row>
    <row r="177" spans="2:8" ht="14.25" customHeight="1" x14ac:dyDescent="0.3">
      <c r="B177" s="2">
        <v>21</v>
      </c>
      <c r="C177" s="5">
        <v>1.2500000000000001E-2</v>
      </c>
      <c r="D177" s="2">
        <v>30.963259338920501</v>
      </c>
      <c r="E177" s="2">
        <v>1.83403717903682</v>
      </c>
      <c r="F177" s="2">
        <v>6.5439999999999996</v>
      </c>
      <c r="G177" s="2">
        <v>92.426532533503604</v>
      </c>
      <c r="H177" s="5" t="s">
        <v>6</v>
      </c>
    </row>
    <row r="178" spans="2:8" ht="14.25" customHeight="1" x14ac:dyDescent="0.3">
      <c r="B178" s="2">
        <v>22</v>
      </c>
      <c r="C178" s="2">
        <v>1.2500000000000001E-2</v>
      </c>
      <c r="D178" s="2">
        <v>-4.8964173440673298</v>
      </c>
      <c r="E178" s="2">
        <v>0.62136056199565004</v>
      </c>
      <c r="F178" s="2">
        <v>5.6970000000000001</v>
      </c>
      <c r="G178" s="2">
        <v>52.468834277601601</v>
      </c>
      <c r="H178" s="2" t="s">
        <v>16</v>
      </c>
    </row>
    <row r="179" spans="2:8" ht="14.25" customHeight="1" x14ac:dyDescent="0.3">
      <c r="B179" s="2">
        <v>23</v>
      </c>
      <c r="C179" s="2">
        <v>1.2500000000000001E-2</v>
      </c>
      <c r="D179" s="2">
        <v>-8.0056011652727399</v>
      </c>
      <c r="E179" s="2">
        <v>0.13252902379754999</v>
      </c>
      <c r="F179" s="2">
        <v>6.8940000000000001</v>
      </c>
      <c r="G179" s="2">
        <v>33.410430420203198</v>
      </c>
      <c r="H179" s="2" t="s">
        <v>17</v>
      </c>
    </row>
    <row r="180" spans="2:8" ht="14.25" customHeight="1" x14ac:dyDescent="0.3">
      <c r="B180" s="2">
        <v>24</v>
      </c>
      <c r="C180" s="2">
        <v>1.2500000000000001E-2</v>
      </c>
      <c r="D180" s="2">
        <v>-2.4612519289878798</v>
      </c>
      <c r="E180" s="2">
        <v>0.56084804132566601</v>
      </c>
      <c r="F180" s="2">
        <v>4.6050000000000004</v>
      </c>
      <c r="G180" s="2">
        <v>49.2166993252211</v>
      </c>
      <c r="H180" s="2" t="s">
        <v>18</v>
      </c>
    </row>
    <row r="181" spans="2:8" ht="14.25" customHeight="1" x14ac:dyDescent="0.3">
      <c r="B181" s="2">
        <v>25</v>
      </c>
      <c r="C181" s="11">
        <v>1.2500000000000001E-2</v>
      </c>
      <c r="D181" s="2">
        <v>-8.0056011652727399</v>
      </c>
      <c r="E181" s="2">
        <v>0.13252902379754999</v>
      </c>
      <c r="F181" s="2">
        <v>6.8940000000000001</v>
      </c>
      <c r="G181" s="2">
        <v>33.410430420203198</v>
      </c>
      <c r="H181" s="11" t="s">
        <v>27</v>
      </c>
    </row>
    <row r="182" spans="2:8" ht="14.25" customHeight="1" x14ac:dyDescent="0.3">
      <c r="B182" s="2">
        <v>26</v>
      </c>
      <c r="C182" s="5">
        <v>1.4999999999999999E-2</v>
      </c>
      <c r="D182" s="2">
        <v>31.085213862026698</v>
      </c>
      <c r="E182" s="2">
        <v>2.1967143415406101</v>
      </c>
      <c r="F182" s="2">
        <v>6.6280000000000001</v>
      </c>
      <c r="G182" s="2">
        <v>92.602056186806806</v>
      </c>
      <c r="H182" s="5" t="s">
        <v>6</v>
      </c>
    </row>
    <row r="183" spans="2:8" ht="14.25" customHeight="1" x14ac:dyDescent="0.3">
      <c r="B183" s="2">
        <v>27</v>
      </c>
      <c r="C183" s="2">
        <v>1.4999999999999999E-2</v>
      </c>
      <c r="D183" s="2">
        <v>-4.8982645342391899</v>
      </c>
      <c r="E183" s="2">
        <v>0.77763608466910905</v>
      </c>
      <c r="F183" s="2">
        <v>5.7370000000000001</v>
      </c>
      <c r="G183" s="2">
        <v>53.677562975861399</v>
      </c>
      <c r="H183" s="2" t="s">
        <v>16</v>
      </c>
    </row>
    <row r="184" spans="2:8" ht="14.25" customHeight="1" x14ac:dyDescent="0.3">
      <c r="B184" s="2">
        <v>28</v>
      </c>
      <c r="C184" s="2">
        <v>1.4999999999999999E-2</v>
      </c>
      <c r="D184" s="2">
        <v>-8.7754828733585999</v>
      </c>
      <c r="E184" s="2">
        <v>3.2038500653850902E-2</v>
      </c>
      <c r="F184" s="2">
        <v>6.9530000000000003</v>
      </c>
      <c r="G184" s="2">
        <v>40.337709385409099</v>
      </c>
      <c r="H184" s="2" t="s">
        <v>17</v>
      </c>
    </row>
    <row r="185" spans="2:8" ht="14.25" customHeight="1" x14ac:dyDescent="0.3">
      <c r="B185" s="2">
        <v>29</v>
      </c>
      <c r="C185" s="2">
        <v>1.4999999999999999E-2</v>
      </c>
      <c r="D185" s="2">
        <v>-2.4620974263837101</v>
      </c>
      <c r="E185" s="2">
        <v>1.1281349604420201</v>
      </c>
      <c r="F185" s="2">
        <v>3.859</v>
      </c>
      <c r="G185" s="2">
        <v>48.708181680667899</v>
      </c>
      <c r="H185" s="2" t="s">
        <v>18</v>
      </c>
    </row>
    <row r="186" spans="2:8" ht="14.25" customHeight="1" x14ac:dyDescent="0.3">
      <c r="B186" s="2">
        <v>30</v>
      </c>
      <c r="C186" s="11">
        <v>1.4999999999999999E-2</v>
      </c>
      <c r="D186" s="2">
        <v>-8.7754828733585999</v>
      </c>
      <c r="E186" s="2">
        <v>3.2038500653850902E-2</v>
      </c>
      <c r="F186" s="2">
        <v>6.9530000000000003</v>
      </c>
      <c r="G186" s="2">
        <v>40.337709385409099</v>
      </c>
      <c r="H186" s="11" t="s">
        <v>27</v>
      </c>
    </row>
    <row r="187" spans="2:8" ht="14.25" customHeight="1" x14ac:dyDescent="0.3">
      <c r="B187" s="2">
        <v>31</v>
      </c>
      <c r="C187" s="5">
        <v>1.7500000000000002E-2</v>
      </c>
      <c r="D187" s="2">
        <v>31.137327254689399</v>
      </c>
      <c r="E187" s="2">
        <v>1.94911444871728</v>
      </c>
      <c r="F187" s="2">
        <v>7.4660000000000002</v>
      </c>
      <c r="G187" s="2">
        <v>91.871982195468107</v>
      </c>
      <c r="H187" s="5" t="s">
        <v>6</v>
      </c>
    </row>
    <row r="188" spans="2:8" ht="14.25" customHeight="1" x14ac:dyDescent="0.3">
      <c r="B188" s="2">
        <v>32</v>
      </c>
      <c r="C188" s="2">
        <v>1.7500000000000002E-2</v>
      </c>
      <c r="D188" s="2">
        <v>-4.9296303314917296</v>
      </c>
      <c r="E188" s="2">
        <v>0.57951642059851405</v>
      </c>
      <c r="F188" s="2">
        <v>6.6689999999999996</v>
      </c>
      <c r="G188" s="2">
        <v>53.499738098637899</v>
      </c>
      <c r="H188" s="2" t="s">
        <v>16</v>
      </c>
    </row>
    <row r="189" spans="2:8" ht="14.25" customHeight="1" x14ac:dyDescent="0.3">
      <c r="B189" s="2">
        <v>33</v>
      </c>
      <c r="C189" s="2">
        <v>1.7500000000000002E-2</v>
      </c>
      <c r="D189" s="2">
        <v>-8.8030933784097307</v>
      </c>
      <c r="E189" s="2">
        <v>3.8221721243016003E-2</v>
      </c>
      <c r="F189" s="2">
        <v>6.9589999999999996</v>
      </c>
      <c r="G189" s="2">
        <v>43.008969652908803</v>
      </c>
      <c r="H189" s="2" t="s">
        <v>17</v>
      </c>
    </row>
    <row r="190" spans="2:8" ht="14.25" customHeight="1" x14ac:dyDescent="0.3">
      <c r="B190" s="2">
        <v>34</v>
      </c>
      <c r="C190" s="2">
        <v>1.7500000000000002E-2</v>
      </c>
      <c r="D190" s="2">
        <v>-2.47786822267244</v>
      </c>
      <c r="E190" s="2">
        <v>0.888714710096979</v>
      </c>
      <c r="F190" s="2">
        <v>4.7759999999999998</v>
      </c>
      <c r="G190" s="2">
        <v>49.9675112560762</v>
      </c>
      <c r="H190" s="2" t="s">
        <v>18</v>
      </c>
    </row>
    <row r="191" spans="2:8" ht="14.25" customHeight="1" x14ac:dyDescent="0.3">
      <c r="B191" s="2">
        <v>35</v>
      </c>
      <c r="C191" s="11">
        <v>1.7500000000000002E-2</v>
      </c>
      <c r="D191" s="2">
        <v>-8.8030933784032399</v>
      </c>
      <c r="E191" s="2">
        <v>3.8221722334936203E-2</v>
      </c>
      <c r="F191" s="2">
        <v>6.9589999999999996</v>
      </c>
      <c r="G191" s="2">
        <v>43.008969652319301</v>
      </c>
      <c r="H191" s="11" t="s">
        <v>27</v>
      </c>
    </row>
    <row r="192" spans="2:8" ht="14.25" customHeight="1" x14ac:dyDescent="0.3">
      <c r="B192" s="2">
        <v>36</v>
      </c>
      <c r="C192" s="5">
        <v>0.02</v>
      </c>
      <c r="D192" s="2">
        <v>31.209039614159899</v>
      </c>
      <c r="E192" s="2">
        <v>1.63188133406004</v>
      </c>
      <c r="F192" s="2">
        <v>8.0960000000000001</v>
      </c>
      <c r="G192" s="2">
        <v>86.983537688026402</v>
      </c>
      <c r="H192" s="5" t="s">
        <v>6</v>
      </c>
    </row>
    <row r="193" spans="2:8" ht="14.25" customHeight="1" x14ac:dyDescent="0.3">
      <c r="B193" s="2">
        <v>37</v>
      </c>
      <c r="C193" s="2">
        <v>0.02</v>
      </c>
      <c r="D193" s="2">
        <v>-4.9288083901526498</v>
      </c>
      <c r="E193" s="2">
        <v>0.51253646394125696</v>
      </c>
      <c r="F193" s="2">
        <v>6.7809999999999997</v>
      </c>
      <c r="G193" s="2">
        <v>57.089622481581998</v>
      </c>
      <c r="H193" s="2" t="s">
        <v>16</v>
      </c>
    </row>
    <row r="194" spans="2:8" ht="14.25" customHeight="1" x14ac:dyDescent="0.3">
      <c r="B194" s="2">
        <v>38</v>
      </c>
      <c r="C194" s="2">
        <v>0.02</v>
      </c>
      <c r="D194" s="2">
        <v>-8.6482932039107698</v>
      </c>
      <c r="E194" s="2">
        <v>0.102457822776856</v>
      </c>
      <c r="F194" s="2">
        <v>6.9480000000000004</v>
      </c>
      <c r="G194" s="2">
        <v>43.331374771194902</v>
      </c>
      <c r="H194" s="2" t="s">
        <v>17</v>
      </c>
    </row>
    <row r="195" spans="2:8" ht="14.25" customHeight="1" x14ac:dyDescent="0.3">
      <c r="B195" s="2">
        <v>39</v>
      </c>
      <c r="C195" s="2">
        <v>0.02</v>
      </c>
      <c r="D195" s="2">
        <v>-2.48197035388612</v>
      </c>
      <c r="E195" s="2">
        <v>0.58627743061888005</v>
      </c>
      <c r="F195" s="2">
        <v>5.5670000000000002</v>
      </c>
      <c r="G195" s="2">
        <v>50.090862885986901</v>
      </c>
      <c r="H195" s="2" t="s">
        <v>18</v>
      </c>
    </row>
    <row r="196" spans="2:8" ht="14.25" customHeight="1" x14ac:dyDescent="0.3">
      <c r="B196" s="2">
        <v>40</v>
      </c>
      <c r="C196" s="11">
        <v>0.02</v>
      </c>
      <c r="D196" s="2">
        <v>-8.6482932039107698</v>
      </c>
      <c r="E196" s="2">
        <v>0.102457822776856</v>
      </c>
      <c r="F196" s="2">
        <v>6.9480000000000004</v>
      </c>
      <c r="G196" s="2">
        <v>43.331374771194902</v>
      </c>
      <c r="H196" s="11" t="s">
        <v>27</v>
      </c>
    </row>
    <row r="197" spans="2:8" ht="14.25" customHeight="1" x14ac:dyDescent="0.3">
      <c r="B197" s="2">
        <v>41</v>
      </c>
      <c r="C197" s="5">
        <v>2.2499999999999999E-2</v>
      </c>
      <c r="D197" s="2">
        <v>31.324219132165801</v>
      </c>
      <c r="E197" s="2">
        <v>1.9571024816207601</v>
      </c>
      <c r="F197" s="2">
        <v>8.1790000000000003</v>
      </c>
      <c r="G197" s="2">
        <v>90.184532530493499</v>
      </c>
      <c r="H197" s="5" t="s">
        <v>6</v>
      </c>
    </row>
    <row r="198" spans="2:8" ht="14.25" customHeight="1" x14ac:dyDescent="0.3">
      <c r="B198" s="2">
        <v>42</v>
      </c>
      <c r="C198" s="2">
        <v>2.2499999999999999E-2</v>
      </c>
      <c r="D198" s="2">
        <v>-4.9084808614827899</v>
      </c>
      <c r="E198" s="2">
        <v>0.121762607524613</v>
      </c>
      <c r="F198" s="2">
        <v>7.9340000000000002</v>
      </c>
      <c r="G198" s="2">
        <v>56.4653831300284</v>
      </c>
      <c r="H198" s="2" t="s">
        <v>16</v>
      </c>
    </row>
    <row r="199" spans="2:8" ht="14.25" customHeight="1" x14ac:dyDescent="0.3">
      <c r="B199" s="2">
        <v>43</v>
      </c>
      <c r="C199" s="2">
        <v>2.2499999999999999E-2</v>
      </c>
      <c r="D199" s="2">
        <v>-8.6345684329308607</v>
      </c>
      <c r="E199" s="2">
        <v>0.17429814839586399</v>
      </c>
      <c r="F199" s="2">
        <v>8.36</v>
      </c>
      <c r="G199" s="2">
        <v>36.622527532194802</v>
      </c>
      <c r="H199" s="2" t="s">
        <v>17</v>
      </c>
    </row>
    <row r="200" spans="2:8" ht="14.25" customHeight="1" x14ac:dyDescent="0.3">
      <c r="B200" s="2">
        <v>44</v>
      </c>
      <c r="C200" s="2">
        <v>2.2499999999999999E-2</v>
      </c>
      <c r="D200" s="2">
        <v>-2.48483023790619</v>
      </c>
      <c r="E200" s="2">
        <v>0.74307704236786298</v>
      </c>
      <c r="F200" s="2">
        <v>5.585</v>
      </c>
      <c r="G200" s="2">
        <v>51.223589108287101</v>
      </c>
      <c r="H200" s="2" t="s">
        <v>18</v>
      </c>
    </row>
    <row r="201" spans="2:8" ht="14.25" customHeight="1" x14ac:dyDescent="0.3">
      <c r="B201" s="2">
        <v>45</v>
      </c>
      <c r="C201" s="11">
        <v>2.2499999999999999E-2</v>
      </c>
      <c r="D201" s="2">
        <v>-8.6345684329308607</v>
      </c>
      <c r="E201" s="2">
        <v>0.17429814839586399</v>
      </c>
      <c r="F201" s="2">
        <v>8.36</v>
      </c>
      <c r="G201" s="2">
        <v>36.622527532194802</v>
      </c>
      <c r="H201" s="11" t="s">
        <v>27</v>
      </c>
    </row>
    <row r="202" spans="2:8" ht="14.25" customHeight="1" x14ac:dyDescent="0.3">
      <c r="B202" s="2">
        <v>46</v>
      </c>
      <c r="C202" s="5">
        <v>2.5000000000000001E-2</v>
      </c>
      <c r="D202" s="2">
        <v>31.345727276898401</v>
      </c>
      <c r="E202" s="2">
        <v>1.33505073249864</v>
      </c>
      <c r="F202" s="2">
        <v>9.1489999999999991</v>
      </c>
      <c r="G202" s="2">
        <v>84.726730349429204</v>
      </c>
      <c r="H202" s="5" t="s">
        <v>6</v>
      </c>
    </row>
    <row r="203" spans="2:8" ht="14.25" customHeight="1" x14ac:dyDescent="0.3">
      <c r="B203" s="2">
        <v>47</v>
      </c>
      <c r="C203" s="2">
        <v>2.5000000000000001E-2</v>
      </c>
      <c r="D203" s="2">
        <v>-4.9551518364528402</v>
      </c>
      <c r="E203" s="2">
        <v>1.3255041246645201</v>
      </c>
      <c r="F203" s="2">
        <v>5.8890000000000002</v>
      </c>
      <c r="G203" s="2">
        <v>54.557704809164697</v>
      </c>
      <c r="H203" s="2" t="s">
        <v>16</v>
      </c>
    </row>
    <row r="204" spans="2:8" ht="14.25" customHeight="1" x14ac:dyDescent="0.3">
      <c r="B204" s="2">
        <v>48</v>
      </c>
      <c r="C204" s="2">
        <v>2.5000000000000001E-2</v>
      </c>
      <c r="D204" s="2">
        <v>-8.8201861456833601</v>
      </c>
      <c r="E204" s="2">
        <v>0.138076207440055</v>
      </c>
      <c r="F204" s="2">
        <v>7.7990000000000004</v>
      </c>
      <c r="G204" s="2">
        <v>44.283412176056203</v>
      </c>
      <c r="H204" s="2" t="s">
        <v>17</v>
      </c>
    </row>
    <row r="205" spans="2:8" ht="14.25" customHeight="1" x14ac:dyDescent="0.3">
      <c r="B205" s="2">
        <v>49</v>
      </c>
      <c r="C205" s="2">
        <v>2.5000000000000001E-2</v>
      </c>
      <c r="D205" s="2">
        <v>-2.4982804902635101</v>
      </c>
      <c r="E205" s="2">
        <v>1.20796374132655</v>
      </c>
      <c r="F205" s="2">
        <v>4.7610000000000001</v>
      </c>
      <c r="G205" s="2">
        <v>50.424448810818099</v>
      </c>
      <c r="H205" s="2" t="s">
        <v>18</v>
      </c>
    </row>
    <row r="206" spans="2:8" ht="14.25" customHeight="1" x14ac:dyDescent="0.3">
      <c r="B206" s="2">
        <v>50</v>
      </c>
      <c r="C206" s="11">
        <v>2.5000000000000001E-2</v>
      </c>
      <c r="D206" s="2">
        <v>-8.8201861456833601</v>
      </c>
      <c r="E206" s="2">
        <v>0.138076207440055</v>
      </c>
      <c r="F206" s="2">
        <v>7.7990000000000004</v>
      </c>
      <c r="G206" s="2">
        <v>44.283412176056203</v>
      </c>
      <c r="H206" s="11" t="s">
        <v>27</v>
      </c>
    </row>
    <row r="207" spans="2:8" ht="14.25" customHeight="1" x14ac:dyDescent="0.3">
      <c r="B207" s="2">
        <v>51</v>
      </c>
      <c r="C207" s="5">
        <v>2.75E-2</v>
      </c>
      <c r="D207" s="2">
        <v>31.470679889895099</v>
      </c>
      <c r="E207" s="2">
        <v>1.76636265161628</v>
      </c>
      <c r="F207" s="2">
        <v>9.1</v>
      </c>
      <c r="G207" s="2">
        <v>87.370702067068393</v>
      </c>
      <c r="H207" s="5" t="s">
        <v>6</v>
      </c>
    </row>
    <row r="208" spans="2:8" ht="14.25" customHeight="1" x14ac:dyDescent="0.3">
      <c r="B208" s="2">
        <v>52</v>
      </c>
      <c r="C208" s="2">
        <v>2.75E-2</v>
      </c>
      <c r="D208" s="2">
        <v>-4.9486312689568104</v>
      </c>
      <c r="E208" s="2">
        <v>0.154825962565314</v>
      </c>
      <c r="F208" s="2">
        <v>8.8450000000000006</v>
      </c>
      <c r="G208" s="2">
        <v>55.205068565964197</v>
      </c>
      <c r="H208" s="2" t="s">
        <v>16</v>
      </c>
    </row>
    <row r="209" spans="2:8" ht="14.25" customHeight="1" x14ac:dyDescent="0.3">
      <c r="B209" s="2">
        <v>53</v>
      </c>
      <c r="C209" s="2">
        <v>2.75E-2</v>
      </c>
      <c r="D209" s="2">
        <v>-8.8741457724326498</v>
      </c>
      <c r="E209" s="2">
        <v>0.11067544665111199</v>
      </c>
      <c r="F209" s="2">
        <v>7.9349999999999996</v>
      </c>
      <c r="G209" s="2">
        <v>44.0290259348169</v>
      </c>
      <c r="H209" s="2" t="s">
        <v>17</v>
      </c>
    </row>
    <row r="210" spans="2:8" ht="14.25" customHeight="1" x14ac:dyDescent="0.3">
      <c r="B210" s="2">
        <v>54</v>
      </c>
      <c r="C210" s="2">
        <v>2.75E-2</v>
      </c>
      <c r="D210" s="2">
        <v>-2.5093103806850201</v>
      </c>
      <c r="E210" s="2">
        <v>0.960038568543922</v>
      </c>
      <c r="F210" s="2">
        <v>5.6289999999999996</v>
      </c>
      <c r="G210" s="2">
        <v>51.530687204176203</v>
      </c>
      <c r="H210" s="2" t="s">
        <v>18</v>
      </c>
    </row>
    <row r="211" spans="2:8" ht="14.25" customHeight="1" x14ac:dyDescent="0.3">
      <c r="B211" s="2">
        <v>55</v>
      </c>
      <c r="C211" s="11">
        <v>2.75E-2</v>
      </c>
      <c r="D211" s="2">
        <v>-8.8741457724326498</v>
      </c>
      <c r="E211" s="2">
        <v>0.11067544665111199</v>
      </c>
      <c r="F211" s="2">
        <v>7.9349999999999996</v>
      </c>
      <c r="G211" s="2">
        <v>44.0290259348169</v>
      </c>
      <c r="H211" s="11" t="s">
        <v>27</v>
      </c>
    </row>
    <row r="212" spans="2:8" ht="14.25" customHeight="1" x14ac:dyDescent="0.3">
      <c r="B212" s="2">
        <v>56</v>
      </c>
      <c r="C212" s="5">
        <v>0.03</v>
      </c>
      <c r="D212" s="2">
        <v>31.6093884658242</v>
      </c>
      <c r="E212" s="2">
        <v>2.6803615466855</v>
      </c>
      <c r="F212" s="2">
        <v>9.16</v>
      </c>
      <c r="G212" s="2">
        <v>89.404649580598999</v>
      </c>
      <c r="H212" s="5" t="s">
        <v>6</v>
      </c>
    </row>
    <row r="213" spans="2:8" ht="14.25" customHeight="1" x14ac:dyDescent="0.3">
      <c r="B213" s="2">
        <v>57</v>
      </c>
      <c r="C213" s="2">
        <v>0.03</v>
      </c>
      <c r="D213" s="2">
        <v>-5.0792215846750199</v>
      </c>
      <c r="E213" s="2">
        <v>0.45659876854234999</v>
      </c>
      <c r="F213" s="2">
        <v>8.6760000000000002</v>
      </c>
      <c r="G213" s="2">
        <v>49.060852324964202</v>
      </c>
      <c r="H213" s="2" t="s">
        <v>16</v>
      </c>
    </row>
    <row r="214" spans="2:8" ht="14.25" customHeight="1" x14ac:dyDescent="0.3">
      <c r="B214" s="2">
        <v>58</v>
      </c>
      <c r="C214" s="2">
        <v>0.03</v>
      </c>
      <c r="D214" s="2">
        <v>-9.0244449823845905</v>
      </c>
      <c r="E214" s="2">
        <v>0.124554869125885</v>
      </c>
      <c r="F214" s="2">
        <v>8.8000000000000007</v>
      </c>
      <c r="G214" s="2">
        <v>31.830144257008399</v>
      </c>
      <c r="H214" s="2" t="s">
        <v>17</v>
      </c>
    </row>
    <row r="215" spans="2:8" ht="14.25" customHeight="1" x14ac:dyDescent="0.3">
      <c r="B215" s="2">
        <v>59</v>
      </c>
      <c r="C215" s="2">
        <v>0.03</v>
      </c>
      <c r="D215" s="2">
        <v>-2.5631068396751302</v>
      </c>
      <c r="E215" s="2">
        <v>0.73687334661266801</v>
      </c>
      <c r="F215" s="2">
        <v>6.5049999999999999</v>
      </c>
      <c r="G215" s="2">
        <v>43.024054256729997</v>
      </c>
      <c r="H215" s="2" t="s">
        <v>18</v>
      </c>
    </row>
    <row r="216" spans="2:8" ht="14.25" customHeight="1" x14ac:dyDescent="0.3">
      <c r="B216" s="2">
        <v>60</v>
      </c>
      <c r="C216" s="11">
        <v>0.03</v>
      </c>
      <c r="D216" s="2">
        <v>-9.0244449897408607</v>
      </c>
      <c r="E216" s="2">
        <v>0.12455485244270199</v>
      </c>
      <c r="F216" s="2">
        <v>8.8000000000000007</v>
      </c>
      <c r="G216" s="2">
        <v>31.830144301171099</v>
      </c>
      <c r="H216" s="11" t="s">
        <v>27</v>
      </c>
    </row>
    <row r="217" spans="2:8" ht="14.25" customHeight="1" x14ac:dyDescent="0.3">
      <c r="B217" s="2">
        <v>61</v>
      </c>
      <c r="C217" s="5">
        <v>3.2500000000000001E-2</v>
      </c>
      <c r="D217" s="2">
        <v>31.7071369189477</v>
      </c>
      <c r="E217" s="2">
        <v>2.82909467293773</v>
      </c>
      <c r="F217" s="2">
        <v>9.2240000000000002</v>
      </c>
      <c r="G217" s="2">
        <v>89.806196763082497</v>
      </c>
      <c r="H217" s="5" t="s">
        <v>6</v>
      </c>
    </row>
    <row r="218" spans="2:8" ht="14.25" customHeight="1" x14ac:dyDescent="0.3">
      <c r="B218" s="2">
        <v>62</v>
      </c>
      <c r="C218" s="2">
        <v>3.2500000000000001E-2</v>
      </c>
      <c r="D218" s="2">
        <v>-4.9865275673709304</v>
      </c>
      <c r="E218" s="2">
        <v>0.133189343113231</v>
      </c>
      <c r="F218" s="2">
        <v>9.9030000000000005</v>
      </c>
      <c r="G218" s="2">
        <v>46.449555712128998</v>
      </c>
      <c r="H218" s="2" t="s">
        <v>16</v>
      </c>
    </row>
    <row r="219" spans="2:8" ht="14.25" customHeight="1" x14ac:dyDescent="0.3">
      <c r="B219" s="2">
        <v>63</v>
      </c>
      <c r="C219" s="2">
        <v>3.2500000000000001E-2</v>
      </c>
      <c r="D219" s="2">
        <v>-9.2887552659337604</v>
      </c>
      <c r="E219" s="2">
        <v>4.75645905757913E-2</v>
      </c>
      <c r="F219" s="2">
        <v>8.9350000000000005</v>
      </c>
      <c r="G219" s="2">
        <v>32.895874791226603</v>
      </c>
      <c r="H219" s="2" t="s">
        <v>17</v>
      </c>
    </row>
    <row r="220" spans="2:8" ht="14.25" customHeight="1" x14ac:dyDescent="0.3">
      <c r="B220" s="2">
        <v>64</v>
      </c>
      <c r="C220" s="2">
        <v>3.2500000000000001E-2</v>
      </c>
      <c r="D220" s="2">
        <v>-2.5707195644887002</v>
      </c>
      <c r="E220" s="2">
        <v>0.79739256779676604</v>
      </c>
      <c r="F220" s="2">
        <v>6.52</v>
      </c>
      <c r="G220" s="2">
        <v>43.531394005855901</v>
      </c>
      <c r="H220" s="2" t="s">
        <v>18</v>
      </c>
    </row>
    <row r="221" spans="2:8" ht="14.25" customHeight="1" x14ac:dyDescent="0.3">
      <c r="B221" s="2">
        <v>65</v>
      </c>
      <c r="C221" s="11">
        <v>3.2500000000000001E-2</v>
      </c>
      <c r="D221" s="2">
        <v>-9.2887552659337604</v>
      </c>
      <c r="E221" s="2">
        <v>4.75645905757913E-2</v>
      </c>
      <c r="F221" s="2">
        <v>8.9350000000000005</v>
      </c>
      <c r="G221" s="2">
        <v>32.895874791226603</v>
      </c>
      <c r="H221" s="11" t="s">
        <v>27</v>
      </c>
    </row>
    <row r="222" spans="2:8" ht="14.25" customHeight="1" x14ac:dyDescent="0.3">
      <c r="B222" s="2">
        <v>66</v>
      </c>
      <c r="C222" s="5">
        <v>3.5000000000000003E-2</v>
      </c>
      <c r="D222" s="2">
        <v>31.705025219350901</v>
      </c>
      <c r="E222" s="2">
        <v>1.62362278130052</v>
      </c>
      <c r="F222" s="2">
        <v>10.08</v>
      </c>
      <c r="G222" s="2">
        <v>86.017342673222402</v>
      </c>
      <c r="H222" s="5" t="s">
        <v>6</v>
      </c>
    </row>
    <row r="223" spans="2:8" ht="14.25" customHeight="1" x14ac:dyDescent="0.3">
      <c r="B223" s="2">
        <v>67</v>
      </c>
      <c r="C223" s="2">
        <v>3.5000000000000003E-2</v>
      </c>
      <c r="D223" s="2">
        <v>-5.0465711523873296</v>
      </c>
      <c r="E223" s="2">
        <v>0.44745443299677001</v>
      </c>
      <c r="F223" s="2">
        <v>8.6479999999999997</v>
      </c>
      <c r="G223" s="2">
        <v>55.449775236232199</v>
      </c>
      <c r="H223" s="2" t="s">
        <v>16</v>
      </c>
    </row>
    <row r="224" spans="2:8" ht="14.25" customHeight="1" x14ac:dyDescent="0.3">
      <c r="B224" s="2">
        <v>68</v>
      </c>
      <c r="C224" s="2">
        <v>3.5000000000000003E-2</v>
      </c>
      <c r="D224" s="2">
        <v>-8.7719773234671301</v>
      </c>
      <c r="E224" s="2">
        <v>0.137489965198623</v>
      </c>
      <c r="F224" s="2">
        <v>8.9169999999999998</v>
      </c>
      <c r="G224" s="2">
        <v>42.4435211369548</v>
      </c>
      <c r="H224" s="2" t="s">
        <v>17</v>
      </c>
    </row>
    <row r="225" spans="2:8" ht="14.25" customHeight="1" x14ac:dyDescent="0.3">
      <c r="B225" s="2">
        <v>69</v>
      </c>
      <c r="C225" s="2">
        <v>3.5000000000000003E-2</v>
      </c>
      <c r="D225" s="2">
        <v>-2.5412410245713999</v>
      </c>
      <c r="E225" s="2">
        <v>0.81252157495609501</v>
      </c>
      <c r="F225" s="2">
        <v>6.5620000000000003</v>
      </c>
      <c r="G225" s="2">
        <v>50.6271647257336</v>
      </c>
      <c r="H225" s="2" t="s">
        <v>18</v>
      </c>
    </row>
    <row r="226" spans="2:8" ht="14.25" customHeight="1" x14ac:dyDescent="0.3">
      <c r="B226" s="2">
        <v>70</v>
      </c>
      <c r="C226" s="11">
        <v>3.5000000000000003E-2</v>
      </c>
      <c r="D226" s="2">
        <v>-8.7719773234671301</v>
      </c>
      <c r="E226" s="2">
        <v>0.137489965198623</v>
      </c>
      <c r="F226" s="2">
        <v>8.9169999999999998</v>
      </c>
      <c r="G226" s="2">
        <v>42.4435211369548</v>
      </c>
      <c r="H226" s="11" t="s">
        <v>27</v>
      </c>
    </row>
    <row r="227" spans="2:8" ht="14.25" customHeight="1" x14ac:dyDescent="0.3">
      <c r="B227" s="2">
        <v>71</v>
      </c>
      <c r="C227" s="5">
        <v>3.7499999999999999E-2</v>
      </c>
      <c r="D227" s="2">
        <v>31.803487342537501</v>
      </c>
      <c r="E227" s="2">
        <v>1.8182695883824</v>
      </c>
      <c r="F227" s="2">
        <v>10.102</v>
      </c>
      <c r="G227" s="2">
        <v>87.314484666044706</v>
      </c>
      <c r="H227" s="5" t="s">
        <v>6</v>
      </c>
    </row>
    <row r="228" spans="2:8" ht="14.25" customHeight="1" x14ac:dyDescent="0.3">
      <c r="B228" s="2">
        <v>72</v>
      </c>
      <c r="C228" s="2">
        <v>3.7499999999999999E-2</v>
      </c>
      <c r="D228" s="2">
        <v>-5.0547527711134501</v>
      </c>
      <c r="E228" s="2">
        <v>1.0090590809758599</v>
      </c>
      <c r="F228" s="2">
        <v>7.7709999999999999</v>
      </c>
      <c r="G228" s="2">
        <v>55.095325031980103</v>
      </c>
      <c r="H228" s="2" t="s">
        <v>16</v>
      </c>
    </row>
    <row r="229" spans="2:8" ht="14.25" customHeight="1" x14ac:dyDescent="0.3">
      <c r="B229" s="2">
        <v>73</v>
      </c>
      <c r="C229" s="2">
        <v>3.7499999999999999E-2</v>
      </c>
      <c r="D229" s="2">
        <v>-8.7621323377030293</v>
      </c>
      <c r="E229" s="2">
        <v>0.13139343149347199</v>
      </c>
      <c r="F229" s="2">
        <v>8.9169999999999998</v>
      </c>
      <c r="G229" s="2">
        <v>42.934506759277497</v>
      </c>
      <c r="H229" s="2" t="s">
        <v>17</v>
      </c>
    </row>
    <row r="230" spans="2:8" ht="14.25" customHeight="1" x14ac:dyDescent="0.3">
      <c r="B230" s="2">
        <v>74</v>
      </c>
      <c r="C230" s="2">
        <v>3.7499999999999999E-2</v>
      </c>
      <c r="D230" s="2">
        <v>-2.5500114775814202</v>
      </c>
      <c r="E230" s="2">
        <v>0.89188419181160405</v>
      </c>
      <c r="F230" s="2">
        <v>6.5789999999999997</v>
      </c>
      <c r="G230" s="2">
        <v>50.440643597912597</v>
      </c>
      <c r="H230" s="2" t="s">
        <v>18</v>
      </c>
    </row>
    <row r="231" spans="2:8" ht="14.25" customHeight="1" x14ac:dyDescent="0.3">
      <c r="B231" s="2">
        <v>75</v>
      </c>
      <c r="C231" s="11">
        <v>3.7499999999999999E-2</v>
      </c>
      <c r="D231" s="2">
        <v>-8.7621323377030293</v>
      </c>
      <c r="E231" s="2">
        <v>0.13139343149347199</v>
      </c>
      <c r="F231" s="2">
        <v>8.9169999999999998</v>
      </c>
      <c r="G231" s="2">
        <v>42.934506759277497</v>
      </c>
      <c r="H231" s="11" t="s">
        <v>27</v>
      </c>
    </row>
    <row r="232" spans="2:8" ht="14.25" customHeight="1" x14ac:dyDescent="0.3">
      <c r="B232" s="2">
        <v>76</v>
      </c>
      <c r="C232" s="5">
        <v>0.04</v>
      </c>
      <c r="D232" s="2">
        <v>31.904573613697501</v>
      </c>
      <c r="E232" s="2">
        <v>1.98301239166884</v>
      </c>
      <c r="F232" s="2">
        <v>10.148999999999999</v>
      </c>
      <c r="G232" s="2">
        <v>88.382969841598694</v>
      </c>
      <c r="H232" s="5" t="s">
        <v>6</v>
      </c>
    </row>
    <row r="233" spans="2:8" ht="14.25" customHeight="1" x14ac:dyDescent="0.3">
      <c r="B233" s="2">
        <v>77</v>
      </c>
      <c r="C233" s="2">
        <v>0.04</v>
      </c>
      <c r="D233" s="2">
        <v>-5.0724128079658</v>
      </c>
      <c r="E233" s="2">
        <v>0.69359636752635601</v>
      </c>
      <c r="F233" s="2">
        <v>8.6210000000000004</v>
      </c>
      <c r="G233" s="2">
        <v>55.231651341965197</v>
      </c>
      <c r="H233" s="2" t="s">
        <v>16</v>
      </c>
    </row>
    <row r="234" spans="2:8" ht="14.25" customHeight="1" x14ac:dyDescent="0.3">
      <c r="B234" s="2">
        <v>78</v>
      </c>
      <c r="C234" s="2">
        <v>0.04</v>
      </c>
      <c r="D234" s="2">
        <v>-8.9777814934331808</v>
      </c>
      <c r="E234" s="2">
        <v>0.12275187056815599</v>
      </c>
      <c r="F234" s="2">
        <v>8.9529999999999994</v>
      </c>
      <c r="G234" s="2">
        <v>43.228334966674197</v>
      </c>
      <c r="H234" s="2" t="s">
        <v>17</v>
      </c>
    </row>
    <row r="235" spans="2:8" ht="14.25" customHeight="1" x14ac:dyDescent="0.3">
      <c r="B235" s="2">
        <v>79</v>
      </c>
      <c r="C235" s="2">
        <v>0.04</v>
      </c>
      <c r="D235" s="2">
        <v>-2.5598680488410199</v>
      </c>
      <c r="E235" s="2">
        <v>0.473913270525398</v>
      </c>
      <c r="F235" s="2">
        <v>7.6269999999999998</v>
      </c>
      <c r="G235" s="2">
        <v>49.498112331114399</v>
      </c>
      <c r="H235" s="2" t="s">
        <v>18</v>
      </c>
    </row>
    <row r="236" spans="2:8" ht="14.25" customHeight="1" x14ac:dyDescent="0.3">
      <c r="B236" s="2">
        <v>80</v>
      </c>
      <c r="C236" s="11">
        <v>0.04</v>
      </c>
      <c r="D236" s="2">
        <v>-8.9777814917328307</v>
      </c>
      <c r="E236" s="2">
        <v>0.122751868086418</v>
      </c>
      <c r="F236" s="2">
        <v>8.9529999999999994</v>
      </c>
      <c r="G236" s="2">
        <v>43.228334989522502</v>
      </c>
      <c r="H236" s="11" t="s">
        <v>27</v>
      </c>
    </row>
    <row r="237" spans="2:8" ht="14.25" customHeight="1" x14ac:dyDescent="0.3">
      <c r="B237" s="2">
        <v>81</v>
      </c>
      <c r="C237" s="5">
        <v>4.2500000000000003E-2</v>
      </c>
      <c r="D237" s="2">
        <v>32.058561102258501</v>
      </c>
      <c r="E237" s="2">
        <v>2.7886887940293601</v>
      </c>
      <c r="F237" s="2">
        <v>10.177</v>
      </c>
      <c r="G237" s="2">
        <v>88.687550505204101</v>
      </c>
      <c r="H237" s="5" t="s">
        <v>6</v>
      </c>
    </row>
    <row r="238" spans="2:8" ht="14.25" customHeight="1" x14ac:dyDescent="0.3">
      <c r="B238" s="2">
        <v>82</v>
      </c>
      <c r="C238" s="2">
        <v>4.2500000000000003E-2</v>
      </c>
      <c r="D238" s="2">
        <v>-5.1251583478677896</v>
      </c>
      <c r="E238" s="2">
        <v>0.51365915224838499</v>
      </c>
      <c r="F238" s="2">
        <v>9.5869999999999997</v>
      </c>
      <c r="G238" s="2">
        <v>50.655634329391702</v>
      </c>
      <c r="H238" s="2" t="s">
        <v>16</v>
      </c>
    </row>
    <row r="239" spans="2:8" ht="14.25" customHeight="1" x14ac:dyDescent="0.3">
      <c r="B239" s="2">
        <v>83</v>
      </c>
      <c r="C239" s="2">
        <v>4.2500000000000003E-2</v>
      </c>
      <c r="D239" s="2">
        <v>-9.3645051463624895</v>
      </c>
      <c r="E239" s="2">
        <v>0.168161353518894</v>
      </c>
      <c r="F239" s="2">
        <v>8.9030000000000005</v>
      </c>
      <c r="G239" s="2">
        <v>35.254962265421099</v>
      </c>
      <c r="H239" s="2" t="s">
        <v>17</v>
      </c>
    </row>
    <row r="240" spans="2:8" ht="14.25" customHeight="1" x14ac:dyDescent="0.3">
      <c r="B240" s="2">
        <v>84</v>
      </c>
      <c r="C240" s="2">
        <v>4.2500000000000003E-2</v>
      </c>
      <c r="D240" s="2">
        <v>-2.5911204152999199</v>
      </c>
      <c r="E240" s="2">
        <v>0.119609490139804</v>
      </c>
      <c r="F240" s="2">
        <v>8.8170000000000002</v>
      </c>
      <c r="G240" s="2">
        <v>41.977048789840097</v>
      </c>
      <c r="H240" s="2" t="s">
        <v>18</v>
      </c>
    </row>
    <row r="241" spans="2:8" ht="14.25" customHeight="1" x14ac:dyDescent="0.3">
      <c r="B241" s="2">
        <v>85</v>
      </c>
      <c r="C241" s="11">
        <v>4.2500000000000003E-2</v>
      </c>
      <c r="D241" s="2">
        <v>-9.3645051463624895</v>
      </c>
      <c r="E241" s="2">
        <v>0.168161353518894</v>
      </c>
      <c r="F241" s="2">
        <v>8.9030000000000005</v>
      </c>
      <c r="G241" s="2">
        <v>35.254962265421099</v>
      </c>
      <c r="H241" s="11" t="s">
        <v>27</v>
      </c>
    </row>
    <row r="242" spans="2:8" ht="14.25" customHeight="1" x14ac:dyDescent="0.3">
      <c r="B242" s="2">
        <v>86</v>
      </c>
      <c r="C242" s="5">
        <v>4.4999999999999998E-2</v>
      </c>
      <c r="D242" s="2">
        <v>32.1672651594874</v>
      </c>
      <c r="E242" s="2">
        <v>3.11186503084524</v>
      </c>
      <c r="F242" s="2">
        <v>10.257</v>
      </c>
      <c r="G242" s="2">
        <v>90.507052204814201</v>
      </c>
      <c r="H242" s="5" t="s">
        <v>6</v>
      </c>
    </row>
    <row r="243" spans="2:8" ht="14.25" customHeight="1" x14ac:dyDescent="0.3">
      <c r="B243" s="2">
        <v>87</v>
      </c>
      <c r="C243" s="2">
        <v>4.4999999999999998E-2</v>
      </c>
      <c r="D243" s="2">
        <v>-5.1123599945156899</v>
      </c>
      <c r="E243" s="2">
        <v>0.13237251055242499</v>
      </c>
      <c r="F243" s="2">
        <v>10.858000000000001</v>
      </c>
      <c r="G243" s="2">
        <v>50.798711890466699</v>
      </c>
      <c r="H243" s="2" t="s">
        <v>16</v>
      </c>
    </row>
    <row r="244" spans="2:8" ht="14.25" customHeight="1" x14ac:dyDescent="0.3">
      <c r="B244" s="2">
        <v>88</v>
      </c>
      <c r="C244" s="2">
        <v>4.4999999999999998E-2</v>
      </c>
      <c r="D244" s="2">
        <v>-9.0983294191350907</v>
      </c>
      <c r="E244" s="2">
        <v>0.11035782268274601</v>
      </c>
      <c r="F244" s="2">
        <v>9.9760000000000009</v>
      </c>
      <c r="G244" s="2">
        <v>34.4141342212586</v>
      </c>
      <c r="H244" s="2" t="s">
        <v>17</v>
      </c>
    </row>
    <row r="245" spans="2:8" ht="14.25" customHeight="1" x14ac:dyDescent="0.3">
      <c r="B245" s="2">
        <v>89</v>
      </c>
      <c r="C245" s="2">
        <v>4.4999999999999998E-2</v>
      </c>
      <c r="D245" s="2">
        <v>-2.61378640577365</v>
      </c>
      <c r="E245" s="2">
        <v>0.307893021476981</v>
      </c>
      <c r="F245" s="2">
        <v>8.6920000000000002</v>
      </c>
      <c r="G245" s="2">
        <v>45.294012668777</v>
      </c>
      <c r="H245" s="2" t="s">
        <v>18</v>
      </c>
    </row>
    <row r="246" spans="2:8" ht="14.25" customHeight="1" x14ac:dyDescent="0.3">
      <c r="B246" s="2">
        <v>90</v>
      </c>
      <c r="C246" s="11">
        <v>4.4999999999999998E-2</v>
      </c>
      <c r="D246" s="2">
        <v>-9.0983294252265807</v>
      </c>
      <c r="E246" s="2">
        <v>0.11035782353281599</v>
      </c>
      <c r="F246" s="2">
        <v>9.9760000000000009</v>
      </c>
      <c r="G246" s="2">
        <v>34.414134222913297</v>
      </c>
      <c r="H246" s="11" t="s">
        <v>27</v>
      </c>
    </row>
    <row r="247" spans="2:8" ht="14.25" customHeight="1" x14ac:dyDescent="0.3">
      <c r="B247" s="2">
        <v>91</v>
      </c>
      <c r="C247" s="5">
        <v>4.7500000000000001E-2</v>
      </c>
      <c r="D247" s="2">
        <v>32.268932557000802</v>
      </c>
      <c r="E247" s="2">
        <v>3.2296807510175798</v>
      </c>
      <c r="F247" s="2">
        <v>10.308</v>
      </c>
      <c r="G247" s="2">
        <v>90.602124064527302</v>
      </c>
      <c r="H247" s="5" t="s">
        <v>6</v>
      </c>
    </row>
    <row r="248" spans="2:8" ht="14.25" customHeight="1" x14ac:dyDescent="0.3">
      <c r="B248" s="2">
        <v>92</v>
      </c>
      <c r="C248" s="2">
        <v>4.7500000000000001E-2</v>
      </c>
      <c r="D248" s="2">
        <v>-5.1619763459352201</v>
      </c>
      <c r="E248" s="2">
        <v>1.1724528816917099</v>
      </c>
      <c r="F248" s="2">
        <v>8.7789999999999999</v>
      </c>
      <c r="G248" s="2">
        <v>52.525064887366902</v>
      </c>
      <c r="H248" s="2" t="s">
        <v>16</v>
      </c>
    </row>
    <row r="249" spans="2:8" ht="14.25" customHeight="1" x14ac:dyDescent="0.3">
      <c r="B249" s="2">
        <v>93</v>
      </c>
      <c r="C249" s="2">
        <v>4.7500000000000001E-2</v>
      </c>
      <c r="D249" s="2">
        <v>-9.2797354204405806</v>
      </c>
      <c r="E249" s="2">
        <v>0.14782475652847499</v>
      </c>
      <c r="F249" s="2">
        <v>10.864000000000001</v>
      </c>
      <c r="G249" s="2">
        <v>32.762861160024599</v>
      </c>
      <c r="H249" s="2" t="s">
        <v>17</v>
      </c>
    </row>
    <row r="250" spans="2:8" ht="14.25" customHeight="1" x14ac:dyDescent="0.3">
      <c r="B250" s="2">
        <v>94</v>
      </c>
      <c r="C250" s="2">
        <v>4.7500000000000001E-2</v>
      </c>
      <c r="D250" s="2">
        <v>-2.6159549994305098</v>
      </c>
      <c r="E250" s="2">
        <v>0.89647613787898695</v>
      </c>
      <c r="F250" s="2">
        <v>7.51</v>
      </c>
      <c r="G250" s="2">
        <v>47.337852110160703</v>
      </c>
      <c r="H250" s="2" t="s">
        <v>18</v>
      </c>
    </row>
    <row r="251" spans="2:8" ht="14.25" customHeight="1" x14ac:dyDescent="0.3">
      <c r="B251" s="2">
        <v>95</v>
      </c>
      <c r="C251" s="11">
        <v>4.7500000000000001E-2</v>
      </c>
      <c r="D251" s="2">
        <v>-9.2795657781773198</v>
      </c>
      <c r="E251" s="2">
        <v>0.15067034675421001</v>
      </c>
      <c r="F251" s="2">
        <v>10.861000000000001</v>
      </c>
      <c r="G251" s="2">
        <v>32.768094669443499</v>
      </c>
      <c r="H251" s="11" t="s">
        <v>27</v>
      </c>
    </row>
    <row r="252" spans="2:8" ht="14.25" customHeight="1" x14ac:dyDescent="0.3">
      <c r="B252" s="2">
        <v>96</v>
      </c>
      <c r="C252" s="5">
        <v>0.05</v>
      </c>
      <c r="D252" s="2">
        <v>32.329006620458799</v>
      </c>
      <c r="E252" s="2">
        <v>2.7608247753036501</v>
      </c>
      <c r="F252" s="2">
        <v>11.064</v>
      </c>
      <c r="G252" s="2">
        <v>88.544805091594299</v>
      </c>
      <c r="H252" s="5" t="s">
        <v>6</v>
      </c>
    </row>
    <row r="253" spans="2:8" ht="14.25" customHeight="1" x14ac:dyDescent="0.3">
      <c r="B253" s="2">
        <v>97</v>
      </c>
      <c r="C253" s="2">
        <v>0.05</v>
      </c>
      <c r="D253" s="2">
        <v>-5.1646854162794398</v>
      </c>
      <c r="E253" s="2">
        <v>0.35461129051020002</v>
      </c>
      <c r="F253" s="2">
        <v>10.651</v>
      </c>
      <c r="G253" s="2">
        <v>52.540123049086603</v>
      </c>
      <c r="H253" s="2" t="s">
        <v>16</v>
      </c>
    </row>
    <row r="254" spans="2:8" ht="14.25" customHeight="1" x14ac:dyDescent="0.3">
      <c r="B254" s="2">
        <v>98</v>
      </c>
      <c r="C254" s="2">
        <v>0.05</v>
      </c>
      <c r="D254" s="2">
        <v>-9.4865683866571295</v>
      </c>
      <c r="E254" s="2">
        <v>5.9474268404005597E-2</v>
      </c>
      <c r="F254" s="2">
        <v>9.9529999999999994</v>
      </c>
      <c r="G254" s="2">
        <v>36.670712677889</v>
      </c>
      <c r="H254" s="2" t="s">
        <v>17</v>
      </c>
    </row>
    <row r="255" spans="2:8" ht="14.25" customHeight="1" x14ac:dyDescent="0.3">
      <c r="B255" s="2">
        <v>99</v>
      </c>
      <c r="C255" s="2">
        <v>0.05</v>
      </c>
      <c r="D255" s="2">
        <v>-2.5057970422387101</v>
      </c>
      <c r="E255" s="2">
        <v>0.12919176800843499</v>
      </c>
      <c r="F255" s="2">
        <v>9.798</v>
      </c>
      <c r="G255" s="2">
        <v>42.385779381694498</v>
      </c>
      <c r="H255" s="2" t="s">
        <v>18</v>
      </c>
    </row>
    <row r="256" spans="2:8" ht="14.25" customHeight="1" x14ac:dyDescent="0.3">
      <c r="B256" s="2">
        <v>100</v>
      </c>
      <c r="C256" s="11">
        <v>0.05</v>
      </c>
      <c r="D256" s="2">
        <v>-9.4865683884127296</v>
      </c>
      <c r="E256" s="2">
        <v>5.9474070378466401E-2</v>
      </c>
      <c r="F256" s="2">
        <v>9.9529999999999994</v>
      </c>
      <c r="G256" s="2">
        <v>36.670712665628599</v>
      </c>
      <c r="H256" s="11" t="s">
        <v>27</v>
      </c>
    </row>
    <row r="257" spans="2:8" ht="14.25" customHeight="1" x14ac:dyDescent="0.3">
      <c r="B257" s="2">
        <v>101</v>
      </c>
      <c r="C257" s="5">
        <v>5.2499999999999998E-2</v>
      </c>
      <c r="D257" s="2">
        <v>32.392472622035001</v>
      </c>
      <c r="E257" s="2">
        <v>2.7013274867596002</v>
      </c>
      <c r="F257" s="2">
        <v>11.038</v>
      </c>
      <c r="G257" s="2">
        <v>87.893044156573296</v>
      </c>
      <c r="H257" s="5" t="s">
        <v>6</v>
      </c>
    </row>
    <row r="258" spans="2:8" ht="14.25" customHeight="1" x14ac:dyDescent="0.3">
      <c r="B258" s="2">
        <v>102</v>
      </c>
      <c r="C258" s="2">
        <v>5.2499999999999998E-2</v>
      </c>
      <c r="D258" s="2">
        <v>-5.2468208399032203</v>
      </c>
      <c r="E258" s="2">
        <v>0.81068953368804797</v>
      </c>
      <c r="F258" s="2">
        <v>9.5939999999999994</v>
      </c>
      <c r="G258" s="2">
        <v>46.277475496775899</v>
      </c>
      <c r="H258" s="2" t="s">
        <v>16</v>
      </c>
    </row>
    <row r="259" spans="2:8" ht="14.25" customHeight="1" x14ac:dyDescent="0.3">
      <c r="B259" s="2">
        <v>103</v>
      </c>
      <c r="C259" s="2">
        <v>5.2499999999999998E-2</v>
      </c>
      <c r="D259" s="2">
        <v>-9.4360463694498193</v>
      </c>
      <c r="E259" s="2">
        <v>0.16417432067197199</v>
      </c>
      <c r="F259" s="2">
        <v>10.734999999999999</v>
      </c>
      <c r="G259" s="2">
        <v>29.911791952707699</v>
      </c>
      <c r="H259" s="2" t="s">
        <v>17</v>
      </c>
    </row>
    <row r="260" spans="2:8" ht="14.25" customHeight="1" x14ac:dyDescent="0.3">
      <c r="B260" s="2">
        <v>104</v>
      </c>
      <c r="C260" s="2">
        <v>5.2499999999999998E-2</v>
      </c>
      <c r="D260" s="2">
        <v>-2.6488609419985698</v>
      </c>
      <c r="E260" s="2">
        <v>0.34774883479762903</v>
      </c>
      <c r="F260" s="2">
        <v>8.57</v>
      </c>
      <c r="G260" s="2">
        <v>41.329176115119999</v>
      </c>
      <c r="H260" s="2" t="s">
        <v>18</v>
      </c>
    </row>
    <row r="261" spans="2:8" ht="14.25" customHeight="1" x14ac:dyDescent="0.3">
      <c r="B261" s="2">
        <v>105</v>
      </c>
      <c r="C261" s="11">
        <v>5.2499999999999998E-2</v>
      </c>
      <c r="D261" s="2">
        <v>-9.4360463694498193</v>
      </c>
      <c r="E261" s="2">
        <v>0.16417432067197199</v>
      </c>
      <c r="F261" s="2">
        <v>10.734999999999999</v>
      </c>
      <c r="G261" s="2">
        <v>29.911791952707699</v>
      </c>
      <c r="H261" s="11" t="s">
        <v>27</v>
      </c>
    </row>
    <row r="262" spans="2:8" ht="14.25" customHeight="1" x14ac:dyDescent="0.3">
      <c r="B262" s="2">
        <v>106</v>
      </c>
      <c r="C262" s="5">
        <v>5.5E-2</v>
      </c>
      <c r="D262" s="2">
        <v>32.487806590617602</v>
      </c>
      <c r="E262" s="2">
        <v>2.7961906232134499</v>
      </c>
      <c r="F262" s="2">
        <v>11.074</v>
      </c>
      <c r="G262" s="2">
        <v>88.327543273587196</v>
      </c>
      <c r="H262" s="5" t="s">
        <v>6</v>
      </c>
    </row>
    <row r="263" spans="2:8" ht="14.25" customHeight="1" x14ac:dyDescent="0.3">
      <c r="B263" s="2">
        <v>107</v>
      </c>
      <c r="C263" s="2">
        <v>5.5E-2</v>
      </c>
      <c r="D263" s="2">
        <v>-5.26988242541145</v>
      </c>
      <c r="E263" s="2">
        <v>0.87551826879370198</v>
      </c>
      <c r="F263" s="2">
        <v>9.6050000000000004</v>
      </c>
      <c r="G263" s="2">
        <v>46.458585368222103</v>
      </c>
      <c r="H263" s="2" t="s">
        <v>16</v>
      </c>
    </row>
    <row r="264" spans="2:8" ht="14.25" customHeight="1" x14ac:dyDescent="0.3">
      <c r="B264" s="2">
        <v>108</v>
      </c>
      <c r="C264" s="2">
        <v>5.5E-2</v>
      </c>
      <c r="D264" s="2">
        <v>-9.4585250523532292</v>
      </c>
      <c r="E264" s="2">
        <v>0.129552344853891</v>
      </c>
      <c r="F264" s="2">
        <v>9.9190000000000005</v>
      </c>
      <c r="G264" s="2">
        <v>32.470896146000797</v>
      </c>
      <c r="H264" s="2" t="s">
        <v>17</v>
      </c>
    </row>
    <row r="265" spans="2:8" ht="14.25" customHeight="1" x14ac:dyDescent="0.3">
      <c r="B265" s="2">
        <v>109</v>
      </c>
      <c r="C265" s="2">
        <v>5.5E-2</v>
      </c>
      <c r="D265" s="2">
        <v>-2.6579162530307001</v>
      </c>
      <c r="E265" s="2">
        <v>0.85680817287797695</v>
      </c>
      <c r="F265" s="2">
        <v>7.5449999999999999</v>
      </c>
      <c r="G265" s="2">
        <v>43.215153696602101</v>
      </c>
      <c r="H265" s="2" t="s">
        <v>18</v>
      </c>
    </row>
    <row r="266" spans="2:8" ht="14.25" customHeight="1" x14ac:dyDescent="0.3">
      <c r="B266" s="2">
        <v>110</v>
      </c>
      <c r="C266" s="11">
        <v>5.5E-2</v>
      </c>
      <c r="D266" s="2">
        <v>-9.4585250523532292</v>
      </c>
      <c r="E266" s="2">
        <v>0.129552344853891</v>
      </c>
      <c r="F266" s="2">
        <v>9.9190000000000005</v>
      </c>
      <c r="G266" s="2">
        <v>32.470896146000797</v>
      </c>
      <c r="H266" s="11" t="s">
        <v>27</v>
      </c>
    </row>
    <row r="267" spans="2:8" ht="14.25" customHeight="1" x14ac:dyDescent="0.3">
      <c r="B267" s="2">
        <v>111</v>
      </c>
      <c r="C267" s="5">
        <v>5.7500000000000002E-2</v>
      </c>
      <c r="D267" s="2">
        <v>32.584908325587399</v>
      </c>
      <c r="E267" s="2">
        <v>2.8868625387926401</v>
      </c>
      <c r="F267" s="2">
        <v>11.108000000000001</v>
      </c>
      <c r="G267" s="2">
        <v>88.722403306209898</v>
      </c>
      <c r="H267" s="5" t="s">
        <v>6</v>
      </c>
    </row>
    <row r="268" spans="2:8" ht="14.25" customHeight="1" x14ac:dyDescent="0.3">
      <c r="B268" s="2">
        <v>112</v>
      </c>
      <c r="C268" s="2">
        <v>5.7500000000000002E-2</v>
      </c>
      <c r="D268" s="2">
        <v>-5.2750911877680604</v>
      </c>
      <c r="E268" s="2">
        <v>1.32418271849236</v>
      </c>
      <c r="F268" s="2">
        <v>8.7590000000000003</v>
      </c>
      <c r="G268" s="2">
        <v>46.3612543382715</v>
      </c>
      <c r="H268" s="2" t="s">
        <v>16</v>
      </c>
    </row>
    <row r="269" spans="2:8" ht="14.25" customHeight="1" x14ac:dyDescent="0.3">
      <c r="B269" s="2">
        <v>113</v>
      </c>
      <c r="C269" s="2">
        <v>5.7500000000000002E-2</v>
      </c>
      <c r="D269" s="2">
        <v>-9.5828039600095103</v>
      </c>
      <c r="E269" s="2">
        <v>0.126093703038515</v>
      </c>
      <c r="F269" s="2">
        <v>9.9220000000000006</v>
      </c>
      <c r="G269" s="2">
        <v>32.666343589084597</v>
      </c>
      <c r="H269" s="2" t="s">
        <v>17</v>
      </c>
    </row>
    <row r="270" spans="2:8" ht="14.25" customHeight="1" x14ac:dyDescent="0.3">
      <c r="B270" s="2">
        <v>114</v>
      </c>
      <c r="C270" s="2">
        <v>5.7500000000000002E-2</v>
      </c>
      <c r="D270" s="2">
        <v>-2.66653376216119</v>
      </c>
      <c r="E270" s="2">
        <v>0.90711265048357803</v>
      </c>
      <c r="F270" s="2">
        <v>7.5469999999999997</v>
      </c>
      <c r="G270" s="2">
        <v>43.446644708390899</v>
      </c>
      <c r="H270" s="2" t="s">
        <v>18</v>
      </c>
    </row>
    <row r="271" spans="2:8" ht="14.25" customHeight="1" x14ac:dyDescent="0.3">
      <c r="B271" s="2">
        <v>115</v>
      </c>
      <c r="C271" s="11">
        <v>5.7500000000000002E-2</v>
      </c>
      <c r="D271" s="2">
        <v>-9.5828039588208291</v>
      </c>
      <c r="E271" s="2">
        <v>0.12609365208871501</v>
      </c>
      <c r="F271" s="2">
        <v>9.9220000000000006</v>
      </c>
      <c r="G271" s="2">
        <v>32.666343706887297</v>
      </c>
      <c r="H271" s="11" t="s">
        <v>27</v>
      </c>
    </row>
    <row r="272" spans="2:8" ht="14.25" customHeight="1" x14ac:dyDescent="0.3">
      <c r="B272" s="2">
        <v>116</v>
      </c>
      <c r="C272" s="5">
        <v>0.06</v>
      </c>
      <c r="D272" s="2">
        <v>32.684070960296303</v>
      </c>
      <c r="E272" s="2">
        <v>2.9885501637384202</v>
      </c>
      <c r="F272" s="2">
        <v>11.14</v>
      </c>
      <c r="G272" s="2">
        <v>89.050659908291607</v>
      </c>
      <c r="H272" s="5" t="s">
        <v>6</v>
      </c>
    </row>
    <row r="273" spans="2:8" ht="14.25" customHeight="1" x14ac:dyDescent="0.3">
      <c r="B273" s="2">
        <v>117</v>
      </c>
      <c r="C273" s="2">
        <v>0.06</v>
      </c>
      <c r="D273" s="2">
        <v>-5.2898005776581103</v>
      </c>
      <c r="E273" s="2">
        <v>1.38218048108089</v>
      </c>
      <c r="F273" s="2">
        <v>8.7750000000000004</v>
      </c>
      <c r="G273" s="2">
        <v>46.476504332340603</v>
      </c>
      <c r="H273" s="2" t="s">
        <v>16</v>
      </c>
    </row>
    <row r="274" spans="2:8" ht="14.25" customHeight="1" x14ac:dyDescent="0.3">
      <c r="B274" s="2">
        <v>118</v>
      </c>
      <c r="C274" s="2">
        <v>0.06</v>
      </c>
      <c r="D274" s="2">
        <v>-9.6659785102281894</v>
      </c>
      <c r="E274" s="2">
        <v>0.27078526912141099</v>
      </c>
      <c r="F274" s="2">
        <v>9.8070000000000004</v>
      </c>
      <c r="G274" s="2">
        <v>32.707486074286997</v>
      </c>
      <c r="H274" s="2" t="s">
        <v>17</v>
      </c>
    </row>
    <row r="275" spans="2:8" ht="14.25" customHeight="1" x14ac:dyDescent="0.3">
      <c r="B275" s="2">
        <v>119</v>
      </c>
      <c r="C275" s="2">
        <v>0.06</v>
      </c>
      <c r="D275" s="2">
        <v>-2.6747641697098201</v>
      </c>
      <c r="E275" s="2">
        <v>0.95559983319307296</v>
      </c>
      <c r="F275" s="2">
        <v>7.5510000000000002</v>
      </c>
      <c r="G275" s="2">
        <v>43.649597407577197</v>
      </c>
      <c r="H275" s="2" t="s">
        <v>18</v>
      </c>
    </row>
    <row r="276" spans="2:8" ht="14.25" customHeight="1" x14ac:dyDescent="0.3">
      <c r="B276" s="2">
        <v>120</v>
      </c>
      <c r="C276" s="11">
        <v>0.06</v>
      </c>
      <c r="D276" s="2">
        <v>-9.6659785102281894</v>
      </c>
      <c r="E276" s="2">
        <v>0.27078526912141099</v>
      </c>
      <c r="F276" s="2">
        <v>9.8070000000000004</v>
      </c>
      <c r="G276" s="2">
        <v>32.707486074286997</v>
      </c>
      <c r="H276" s="11" t="s">
        <v>27</v>
      </c>
    </row>
    <row r="277" spans="2:8" ht="14.25" customHeight="1" x14ac:dyDescent="0.3">
      <c r="B277" s="2">
        <v>121</v>
      </c>
      <c r="C277" s="5">
        <v>6.25E-2</v>
      </c>
      <c r="D277" s="2">
        <v>32.805519328260203</v>
      </c>
      <c r="E277" s="2">
        <v>3.3032728538892999</v>
      </c>
      <c r="F277" s="2">
        <v>11.26</v>
      </c>
      <c r="G277" s="2">
        <v>90.004794377238298</v>
      </c>
      <c r="H277" s="5" t="s">
        <v>6</v>
      </c>
    </row>
    <row r="278" spans="2:8" ht="14.25" customHeight="1" x14ac:dyDescent="0.3">
      <c r="B278" s="2">
        <v>122</v>
      </c>
      <c r="C278" s="2">
        <v>6.25E-2</v>
      </c>
      <c r="D278" s="2">
        <v>-5.3332847849369198</v>
      </c>
      <c r="E278" s="2">
        <v>0.31380955853231302</v>
      </c>
      <c r="F278" s="2">
        <v>11.645</v>
      </c>
      <c r="G278" s="2">
        <v>45.8551587886611</v>
      </c>
      <c r="H278" s="2" t="s">
        <v>16</v>
      </c>
    </row>
    <row r="279" spans="2:8" ht="14.25" customHeight="1" x14ac:dyDescent="0.3">
      <c r="B279" s="2">
        <v>123</v>
      </c>
      <c r="C279" s="2">
        <v>6.25E-2</v>
      </c>
      <c r="D279" s="2">
        <v>-9.4384319044206997</v>
      </c>
      <c r="E279" s="2">
        <v>0.162843665967943</v>
      </c>
      <c r="F279" s="2">
        <v>11.782999999999999</v>
      </c>
      <c r="G279" s="2">
        <v>29.766098016608801</v>
      </c>
      <c r="H279" s="2" t="s">
        <v>17</v>
      </c>
    </row>
    <row r="280" spans="2:8" ht="14.25" customHeight="1" x14ac:dyDescent="0.3">
      <c r="B280" s="2">
        <v>124</v>
      </c>
      <c r="C280" s="2">
        <v>6.25E-2</v>
      </c>
      <c r="D280" s="2">
        <v>-2.6859166044926801</v>
      </c>
      <c r="E280" s="2">
        <v>0.74201689957835903</v>
      </c>
      <c r="F280" s="2">
        <v>8.5280000000000005</v>
      </c>
      <c r="G280" s="2">
        <v>43.634850527712203</v>
      </c>
      <c r="H280" s="2" t="s">
        <v>18</v>
      </c>
    </row>
    <row r="281" spans="2:8" ht="14.25" customHeight="1" x14ac:dyDescent="0.3">
      <c r="B281" s="2">
        <v>125</v>
      </c>
      <c r="C281" s="11">
        <v>6.25E-2</v>
      </c>
      <c r="D281" s="2">
        <v>-9.4384319044206997</v>
      </c>
      <c r="E281" s="2">
        <v>0.162843665967943</v>
      </c>
      <c r="F281" s="2">
        <v>11.782999999999999</v>
      </c>
      <c r="G281" s="2">
        <v>29.766098016608801</v>
      </c>
      <c r="H281" s="11" t="s">
        <v>27</v>
      </c>
    </row>
    <row r="282" spans="2:8" ht="14.25" customHeight="1" x14ac:dyDescent="0.3">
      <c r="B282" s="2">
        <v>126</v>
      </c>
      <c r="C282" s="5">
        <v>6.5000000000000002E-2</v>
      </c>
      <c r="D282" s="2">
        <v>32.906355423243497</v>
      </c>
      <c r="E282" s="2">
        <v>3.40014948276287</v>
      </c>
      <c r="F282" s="2">
        <v>11.3</v>
      </c>
      <c r="G282" s="2">
        <v>90.177348378025201</v>
      </c>
      <c r="H282" s="5" t="s">
        <v>6</v>
      </c>
    </row>
    <row r="283" spans="2:8" ht="14.25" customHeight="1" x14ac:dyDescent="0.3">
      <c r="B283" s="2">
        <v>127</v>
      </c>
      <c r="C283" s="2">
        <v>6.5000000000000002E-2</v>
      </c>
      <c r="D283" s="2">
        <v>-5.3408305590851901</v>
      </c>
      <c r="E283" s="2">
        <v>0.80801767661350499</v>
      </c>
      <c r="F283" s="2">
        <v>10.583</v>
      </c>
      <c r="G283" s="2">
        <v>47.461566453821902</v>
      </c>
      <c r="H283" s="2" t="s">
        <v>16</v>
      </c>
    </row>
    <row r="284" spans="2:8" ht="14.25" customHeight="1" x14ac:dyDescent="0.3">
      <c r="B284" s="2">
        <v>128</v>
      </c>
      <c r="C284" s="2">
        <v>6.5000000000000002E-2</v>
      </c>
      <c r="D284" s="2">
        <v>-9.4710675558439501</v>
      </c>
      <c r="E284" s="2">
        <v>0.15106669088562899</v>
      </c>
      <c r="F284" s="2">
        <v>11.859</v>
      </c>
      <c r="G284" s="2">
        <v>29.8377214465526</v>
      </c>
      <c r="H284" s="2" t="s">
        <v>17</v>
      </c>
    </row>
    <row r="285" spans="2:8" ht="14.25" customHeight="1" x14ac:dyDescent="0.3">
      <c r="B285" s="2">
        <v>129</v>
      </c>
      <c r="C285" s="2">
        <v>6.5000000000000002E-2</v>
      </c>
      <c r="D285" s="2">
        <v>-2.6941423048936799</v>
      </c>
      <c r="E285" s="2">
        <v>0.79152639297873895</v>
      </c>
      <c r="F285" s="2">
        <v>8.5239999999999991</v>
      </c>
      <c r="G285" s="2">
        <v>43.937490450866598</v>
      </c>
      <c r="H285" s="2" t="s">
        <v>18</v>
      </c>
    </row>
    <row r="286" spans="2:8" ht="14.25" customHeight="1" x14ac:dyDescent="0.3">
      <c r="B286" s="2">
        <v>130</v>
      </c>
      <c r="C286" s="11">
        <v>6.5000000000000002E-2</v>
      </c>
      <c r="D286" s="2">
        <v>-9.4710675624192007</v>
      </c>
      <c r="E286" s="2">
        <v>0.151066637575727</v>
      </c>
      <c r="F286" s="2">
        <v>11.859</v>
      </c>
      <c r="G286" s="2">
        <v>29.837722145240999</v>
      </c>
      <c r="H286" s="11" t="s">
        <v>27</v>
      </c>
    </row>
    <row r="287" spans="2:8" ht="14.25" customHeight="1" x14ac:dyDescent="0.3">
      <c r="B287" s="2">
        <v>131</v>
      </c>
      <c r="C287" s="5">
        <v>6.7500000000000004E-2</v>
      </c>
      <c r="D287" s="2">
        <v>32.988803841781802</v>
      </c>
      <c r="E287" s="2">
        <v>3.2905579197461701</v>
      </c>
      <c r="F287" s="2">
        <v>11.23</v>
      </c>
      <c r="G287" s="2">
        <v>89.702958801250702</v>
      </c>
      <c r="H287" s="5" t="s">
        <v>6</v>
      </c>
    </row>
    <row r="288" spans="2:8" ht="14.25" customHeight="1" x14ac:dyDescent="0.3">
      <c r="B288" s="2">
        <v>132</v>
      </c>
      <c r="C288" s="2">
        <v>6.7500000000000004E-2</v>
      </c>
      <c r="D288" s="2">
        <v>-5.3389435713059301</v>
      </c>
      <c r="E288" s="2">
        <v>1.1288289837574701</v>
      </c>
      <c r="F288" s="2">
        <v>9.6720000000000006</v>
      </c>
      <c r="G288" s="2">
        <v>47.536992668274401</v>
      </c>
      <c r="H288" s="2" t="s">
        <v>16</v>
      </c>
    </row>
    <row r="289" spans="2:8" ht="14.25" customHeight="1" x14ac:dyDescent="0.3">
      <c r="B289" s="2">
        <v>133</v>
      </c>
      <c r="C289" s="2">
        <v>6.7500000000000004E-2</v>
      </c>
      <c r="D289" s="2">
        <v>-9.7191977202730406</v>
      </c>
      <c r="E289" s="2">
        <v>8.7319582038362195E-2</v>
      </c>
      <c r="F289" s="2">
        <v>10.95</v>
      </c>
      <c r="G289" s="2">
        <v>31.515495050399402</v>
      </c>
      <c r="H289" s="2" t="s">
        <v>17</v>
      </c>
    </row>
    <row r="290" spans="2:8" ht="14.25" customHeight="1" x14ac:dyDescent="0.3">
      <c r="B290" s="2">
        <v>134</v>
      </c>
      <c r="C290" s="2">
        <v>6.7500000000000004E-2</v>
      </c>
      <c r="D290" s="2">
        <v>-2.6935303241322899</v>
      </c>
      <c r="E290" s="2">
        <v>0.108743303597687</v>
      </c>
      <c r="F290" s="2">
        <v>9.8610000000000007</v>
      </c>
      <c r="G290" s="2">
        <v>40.427181198784197</v>
      </c>
      <c r="H290" s="2" t="s">
        <v>18</v>
      </c>
    </row>
    <row r="291" spans="2:8" ht="14.25" customHeight="1" x14ac:dyDescent="0.3">
      <c r="B291" s="2">
        <v>135</v>
      </c>
      <c r="C291" s="11">
        <v>6.7500000000000004E-2</v>
      </c>
      <c r="D291" s="2">
        <v>-9.7191977312678208</v>
      </c>
      <c r="E291" s="2">
        <v>8.7319582024534506E-2</v>
      </c>
      <c r="F291" s="2">
        <v>10.95</v>
      </c>
      <c r="G291" s="2">
        <v>31.5154950565388</v>
      </c>
      <c r="H291" s="11" t="s">
        <v>27</v>
      </c>
    </row>
    <row r="292" spans="2:8" ht="14.25" customHeight="1" x14ac:dyDescent="0.3">
      <c r="B292" s="2">
        <v>136</v>
      </c>
      <c r="C292" s="5">
        <v>7.0000000000000007E-2</v>
      </c>
      <c r="D292" s="2">
        <v>33.089425168628601</v>
      </c>
      <c r="E292" s="2">
        <v>3.36948055264246</v>
      </c>
      <c r="F292" s="2">
        <v>11.246</v>
      </c>
      <c r="G292" s="2">
        <v>89.818937531775106</v>
      </c>
      <c r="H292" s="5" t="s">
        <v>6</v>
      </c>
    </row>
    <row r="293" spans="2:8" ht="14.25" customHeight="1" x14ac:dyDescent="0.3">
      <c r="B293" s="2">
        <v>137</v>
      </c>
      <c r="C293" s="2">
        <v>7.0000000000000007E-2</v>
      </c>
      <c r="D293" s="2">
        <v>-5.3641800182532</v>
      </c>
      <c r="E293" s="2">
        <v>0.75286199123271402</v>
      </c>
      <c r="F293" s="2">
        <v>10.592000000000001</v>
      </c>
      <c r="G293" s="2">
        <v>47.4482961308657</v>
      </c>
      <c r="H293" s="2" t="s">
        <v>16</v>
      </c>
    </row>
    <row r="294" spans="2:8" ht="14.25" customHeight="1" x14ac:dyDescent="0.3">
      <c r="B294" s="2">
        <v>138</v>
      </c>
      <c r="C294" s="2">
        <v>7.0000000000000007E-2</v>
      </c>
      <c r="D294" s="2">
        <v>-9.2949316602436003</v>
      </c>
      <c r="E294" s="2">
        <v>0.15355976328114099</v>
      </c>
      <c r="F294" s="2">
        <v>11.481</v>
      </c>
      <c r="G294" s="2">
        <v>28.859354030886202</v>
      </c>
      <c r="H294" s="2" t="s">
        <v>17</v>
      </c>
    </row>
    <row r="295" spans="2:8" ht="14.25" customHeight="1" x14ac:dyDescent="0.3">
      <c r="B295" s="2">
        <v>139</v>
      </c>
      <c r="C295" s="2">
        <v>7.0000000000000007E-2</v>
      </c>
      <c r="D295" s="2">
        <v>-2.7076172814508199</v>
      </c>
      <c r="E295" s="2">
        <v>0.73701685262435301</v>
      </c>
      <c r="F295" s="2">
        <v>8.3930000000000007</v>
      </c>
      <c r="G295" s="2">
        <v>43.282437701778399</v>
      </c>
      <c r="H295" s="2" t="s">
        <v>18</v>
      </c>
    </row>
    <row r="296" spans="2:8" ht="14.25" customHeight="1" x14ac:dyDescent="0.3">
      <c r="B296" s="2">
        <v>140</v>
      </c>
      <c r="C296" s="11">
        <v>7.0000000000000007E-2</v>
      </c>
      <c r="D296" s="2">
        <v>-9.2949316602436003</v>
      </c>
      <c r="E296" s="2">
        <v>0.15355976328114099</v>
      </c>
      <c r="F296" s="2">
        <v>11.481</v>
      </c>
      <c r="G296" s="2">
        <v>28.859354030886202</v>
      </c>
      <c r="H296" s="11" t="s">
        <v>27</v>
      </c>
    </row>
    <row r="297" spans="2:8" ht="14.25" customHeight="1" x14ac:dyDescent="0.3">
      <c r="B297" s="2">
        <v>141</v>
      </c>
      <c r="C297" s="5">
        <v>7.2499999999999995E-2</v>
      </c>
      <c r="D297" s="2">
        <v>33.190913219461997</v>
      </c>
      <c r="E297" s="2">
        <v>3.4433214743375302</v>
      </c>
      <c r="F297" s="2">
        <v>11.263</v>
      </c>
      <c r="G297" s="2">
        <v>89.910969397227802</v>
      </c>
      <c r="H297" s="5" t="s">
        <v>6</v>
      </c>
    </row>
    <row r="298" spans="2:8" ht="14.25" customHeight="1" x14ac:dyDescent="0.3">
      <c r="B298" s="2">
        <v>142</v>
      </c>
      <c r="C298" s="2">
        <v>7.2499999999999995E-2</v>
      </c>
      <c r="D298" s="2">
        <v>-5.3779744157133802</v>
      </c>
      <c r="E298" s="2">
        <v>0.78551115466964005</v>
      </c>
      <c r="F298" s="2">
        <v>10.593999999999999</v>
      </c>
      <c r="G298" s="2">
        <v>47.550511268829297</v>
      </c>
      <c r="H298" s="2" t="s">
        <v>16</v>
      </c>
    </row>
    <row r="299" spans="2:8" ht="14.25" customHeight="1" x14ac:dyDescent="0.3">
      <c r="B299" s="2">
        <v>143</v>
      </c>
      <c r="C299" s="2">
        <v>7.2499999999999995E-2</v>
      </c>
      <c r="D299" s="2">
        <v>-9.8387701010652595</v>
      </c>
      <c r="E299" s="2">
        <v>0.56193884218804302</v>
      </c>
      <c r="F299" s="2">
        <v>9.7620000000000005</v>
      </c>
      <c r="G299" s="2">
        <v>32.5486416401477</v>
      </c>
      <c r="H299" s="2" t="s">
        <v>17</v>
      </c>
    </row>
    <row r="300" spans="2:8" ht="14.25" customHeight="1" x14ac:dyDescent="0.3">
      <c r="B300" s="2">
        <v>144</v>
      </c>
      <c r="C300" s="2">
        <v>7.2499999999999995E-2</v>
      </c>
      <c r="D300" s="2">
        <v>-2.7153118354899601</v>
      </c>
      <c r="E300" s="2">
        <v>0.76514843008062705</v>
      </c>
      <c r="F300" s="2">
        <v>8.39</v>
      </c>
      <c r="G300" s="2">
        <v>43.318585559428399</v>
      </c>
      <c r="H300" s="2" t="s">
        <v>18</v>
      </c>
    </row>
    <row r="301" spans="2:8" ht="14.25" customHeight="1" x14ac:dyDescent="0.3">
      <c r="B301" s="2">
        <v>145</v>
      </c>
      <c r="C301" s="11">
        <v>7.2499999999999995E-2</v>
      </c>
      <c r="D301" s="2">
        <v>-9.8387701010652595</v>
      </c>
      <c r="E301" s="2">
        <v>0.56193884218804302</v>
      </c>
      <c r="F301" s="2">
        <v>9.7620000000000005</v>
      </c>
      <c r="G301" s="2">
        <v>32.5486416401477</v>
      </c>
      <c r="H301" s="11" t="s">
        <v>27</v>
      </c>
    </row>
    <row r="302" spans="2:8" ht="14.25" customHeight="1" x14ac:dyDescent="0.3">
      <c r="B302" s="2">
        <v>146</v>
      </c>
      <c r="C302" s="5">
        <v>7.4999999999999997E-2</v>
      </c>
      <c r="D302" s="2">
        <v>33.293232179010403</v>
      </c>
      <c r="E302" s="2">
        <v>3.51234197680018</v>
      </c>
      <c r="F302" s="2">
        <v>11.281000000000001</v>
      </c>
      <c r="G302" s="2">
        <v>89.979103717748799</v>
      </c>
      <c r="H302" s="5" t="s">
        <v>6</v>
      </c>
    </row>
    <row r="303" spans="2:8" ht="14.25" customHeight="1" x14ac:dyDescent="0.3">
      <c r="B303" s="2">
        <v>147</v>
      </c>
      <c r="C303" s="2">
        <v>7.4999999999999997E-2</v>
      </c>
      <c r="D303" s="2">
        <v>-5.3794022252707396</v>
      </c>
      <c r="E303" s="2">
        <v>1.2176230319240899</v>
      </c>
      <c r="F303" s="2">
        <v>9.6969999999999992</v>
      </c>
      <c r="G303" s="2">
        <v>47.661038828428801</v>
      </c>
      <c r="H303" s="2" t="s">
        <v>16</v>
      </c>
    </row>
    <row r="304" spans="2:8" ht="14.25" customHeight="1" x14ac:dyDescent="0.3">
      <c r="B304" s="2">
        <v>148</v>
      </c>
      <c r="C304" s="2">
        <v>7.4999999999999997E-2</v>
      </c>
      <c r="D304" s="2">
        <v>-9.73176273532866</v>
      </c>
      <c r="E304" s="2">
        <v>0.125378403632811</v>
      </c>
      <c r="F304" s="2">
        <v>10.868</v>
      </c>
      <c r="G304" s="2">
        <v>32.149132207943097</v>
      </c>
      <c r="H304" s="2" t="s">
        <v>17</v>
      </c>
    </row>
    <row r="305" spans="2:8" ht="14.25" customHeight="1" x14ac:dyDescent="0.3">
      <c r="B305" s="2">
        <v>149</v>
      </c>
      <c r="C305" s="2">
        <v>7.4999999999999997E-2</v>
      </c>
      <c r="D305" s="2">
        <v>-2.71602193839388</v>
      </c>
      <c r="E305" s="2">
        <v>1.5915665068451199</v>
      </c>
      <c r="F305" s="2">
        <v>6.7530000000000001</v>
      </c>
      <c r="G305" s="2">
        <v>43.951678019969997</v>
      </c>
      <c r="H305" s="2" t="s">
        <v>18</v>
      </c>
    </row>
    <row r="306" spans="2:8" ht="14.25" customHeight="1" x14ac:dyDescent="0.3">
      <c r="B306" s="2">
        <v>150</v>
      </c>
      <c r="C306" s="11">
        <v>7.4999999999999997E-2</v>
      </c>
      <c r="D306" s="2">
        <v>-9.73176273532866</v>
      </c>
      <c r="E306" s="2">
        <v>0.125378403632811</v>
      </c>
      <c r="F306" s="2">
        <v>10.868</v>
      </c>
      <c r="G306" s="2">
        <v>32.149132207943097</v>
      </c>
      <c r="H306" s="11" t="s">
        <v>27</v>
      </c>
    </row>
    <row r="307" spans="2:8" ht="14.25" customHeight="1" x14ac:dyDescent="0.3"/>
    <row r="308" spans="2:8" ht="14.25" customHeight="1" x14ac:dyDescent="0.3"/>
    <row r="309" spans="2:8" ht="14.25" customHeight="1" x14ac:dyDescent="0.3"/>
    <row r="310" spans="2:8" ht="14.25" customHeight="1" x14ac:dyDescent="0.3"/>
    <row r="311" spans="2:8" ht="14.25" customHeight="1" x14ac:dyDescent="0.3"/>
    <row r="312" spans="2:8" ht="14.25" customHeight="1" x14ac:dyDescent="0.3"/>
    <row r="313" spans="2:8" ht="14.25" customHeight="1" x14ac:dyDescent="0.3"/>
    <row r="314" spans="2:8" ht="14.25" customHeight="1" x14ac:dyDescent="0.3"/>
    <row r="315" spans="2:8" ht="14.25" customHeight="1" x14ac:dyDescent="0.3"/>
    <row r="316" spans="2:8" ht="14.25" customHeight="1" x14ac:dyDescent="0.3"/>
    <row r="317" spans="2:8" ht="14.25" customHeight="1" x14ac:dyDescent="0.3"/>
    <row r="318" spans="2:8" ht="14.25" customHeight="1" x14ac:dyDescent="0.3"/>
    <row r="319" spans="2:8" ht="14.25" customHeight="1" x14ac:dyDescent="0.3"/>
    <row r="320" spans="2:8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4">
    <mergeCell ref="B1:H1"/>
    <mergeCell ref="J1:O1"/>
    <mergeCell ref="Q1:V1"/>
    <mergeCell ref="B155:H155"/>
  </mergeCells>
  <conditionalFormatting sqref="G3:G15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57:G30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12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DD6EE"/>
  </sheetPr>
  <dimension ref="A1:AA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6.6640625" customWidth="1"/>
    <col min="3" max="8" width="8.6640625" customWidth="1"/>
    <col min="9" max="9" width="4.88671875" customWidth="1"/>
    <col min="10" max="10" width="6.33203125" customWidth="1"/>
    <col min="11" max="15" width="8.6640625" customWidth="1"/>
    <col min="16" max="16" width="5.109375" customWidth="1"/>
    <col min="17" max="27" width="8.6640625" customWidth="1"/>
  </cols>
  <sheetData>
    <row r="1" spans="1:27" ht="14.25" customHeight="1" x14ac:dyDescent="0.3">
      <c r="A1" s="2" t="s">
        <v>4</v>
      </c>
      <c r="B1" s="52" t="s">
        <v>20</v>
      </c>
      <c r="C1" s="53"/>
      <c r="D1" s="53"/>
      <c r="E1" s="53"/>
      <c r="F1" s="53"/>
      <c r="G1" s="53"/>
      <c r="H1" s="53"/>
      <c r="J1" s="52" t="s">
        <v>21</v>
      </c>
      <c r="K1" s="53"/>
      <c r="L1" s="53"/>
      <c r="M1" s="53"/>
      <c r="N1" s="53"/>
      <c r="O1" s="53"/>
      <c r="Q1" s="52" t="s">
        <v>22</v>
      </c>
      <c r="R1" s="53"/>
      <c r="S1" s="53"/>
      <c r="T1" s="53"/>
      <c r="U1" s="53"/>
      <c r="V1" s="53"/>
    </row>
    <row r="2" spans="1:27" ht="14.25" customHeight="1" x14ac:dyDescent="0.3">
      <c r="B2" s="2" t="s">
        <v>23</v>
      </c>
      <c r="C2" s="2" t="s">
        <v>24</v>
      </c>
      <c r="D2" s="2" t="s">
        <v>11</v>
      </c>
      <c r="E2" s="2" t="s">
        <v>12</v>
      </c>
      <c r="F2" s="2" t="s">
        <v>13</v>
      </c>
      <c r="G2" s="2" t="s">
        <v>25</v>
      </c>
      <c r="H2" s="2" t="s">
        <v>26</v>
      </c>
      <c r="J2" s="2" t="s">
        <v>23</v>
      </c>
      <c r="K2" s="2" t="s">
        <v>24</v>
      </c>
      <c r="L2" s="2" t="s">
        <v>11</v>
      </c>
      <c r="M2" s="2" t="s">
        <v>12</v>
      </c>
      <c r="N2" s="2" t="s">
        <v>25</v>
      </c>
      <c r="O2" s="2" t="s">
        <v>26</v>
      </c>
      <c r="Q2" s="2" t="s">
        <v>23</v>
      </c>
      <c r="R2" s="2" t="s">
        <v>24</v>
      </c>
      <c r="S2" s="2" t="s">
        <v>6</v>
      </c>
      <c r="T2" s="2" t="s">
        <v>16</v>
      </c>
      <c r="U2" s="2" t="s">
        <v>17</v>
      </c>
      <c r="V2" s="2" t="s">
        <v>18</v>
      </c>
    </row>
    <row r="3" spans="1:27" ht="14.25" customHeight="1" x14ac:dyDescent="0.3">
      <c r="B3" s="2">
        <v>1</v>
      </c>
      <c r="C3" s="2">
        <v>2.5000000000000001E-3</v>
      </c>
      <c r="D3" s="2">
        <v>2.0682491062410101E-4</v>
      </c>
      <c r="E3" s="2">
        <v>0.72707464059293403</v>
      </c>
      <c r="F3" s="2">
        <v>1.2</v>
      </c>
      <c r="G3" s="2">
        <v>99.228054864790096</v>
      </c>
      <c r="H3" s="5" t="s">
        <v>6</v>
      </c>
      <c r="J3" s="2">
        <v>1</v>
      </c>
      <c r="K3" s="2">
        <v>2.5000000000000001E-3</v>
      </c>
      <c r="L3" s="2">
        <v>2.0777616822977E-4</v>
      </c>
      <c r="M3" s="15">
        <v>2.0286619672545299</v>
      </c>
      <c r="N3" s="2">
        <v>77.373981238514602</v>
      </c>
      <c r="O3" s="5" t="s">
        <v>6</v>
      </c>
      <c r="Q3" s="2">
        <v>1</v>
      </c>
      <c r="R3" s="2">
        <v>2.5000000000000001E-3</v>
      </c>
      <c r="S3" s="19"/>
      <c r="U3" s="15"/>
      <c r="V3" s="15"/>
      <c r="X3" s="2">
        <f t="shared" ref="X3:AA3" si="0">S4-S3</f>
        <v>0</v>
      </c>
      <c r="Y3" s="2">
        <f t="shared" si="0"/>
        <v>0</v>
      </c>
      <c r="Z3" s="18">
        <f t="shared" si="0"/>
        <v>0</v>
      </c>
      <c r="AA3" s="18">
        <f t="shared" si="0"/>
        <v>0</v>
      </c>
    </row>
    <row r="4" spans="1:27" ht="14.25" customHeight="1" x14ac:dyDescent="0.3">
      <c r="B4" s="2">
        <v>2</v>
      </c>
      <c r="C4" s="2">
        <v>2.5000000000000001E-3</v>
      </c>
      <c r="D4" s="2">
        <v>18.290613762564</v>
      </c>
      <c r="E4" s="2">
        <v>1.64088730401224</v>
      </c>
      <c r="F4" s="2">
        <v>1.5169999999999999</v>
      </c>
      <c r="G4" s="2">
        <v>94.368802415775306</v>
      </c>
      <c r="H4" s="2" t="s">
        <v>16</v>
      </c>
      <c r="J4" s="2">
        <v>2</v>
      </c>
      <c r="K4" s="2">
        <v>2.5000000000000001E-3</v>
      </c>
      <c r="L4" s="2">
        <v>18.4187272173031</v>
      </c>
      <c r="M4" s="2">
        <v>3.3130874209333201</v>
      </c>
      <c r="N4" s="2">
        <v>81.0662762421087</v>
      </c>
      <c r="O4" s="2" t="s">
        <v>16</v>
      </c>
      <c r="Q4" s="2">
        <v>2</v>
      </c>
      <c r="R4" s="2">
        <v>5.0000000000000001E-3</v>
      </c>
      <c r="U4" s="15"/>
      <c r="V4" s="15"/>
      <c r="X4" s="2">
        <f t="shared" ref="X4:AA4" si="1">S5-S4</f>
        <v>0</v>
      </c>
      <c r="Y4" s="2">
        <f t="shared" si="1"/>
        <v>0</v>
      </c>
      <c r="Z4" s="18">
        <f t="shared" si="1"/>
        <v>0</v>
      </c>
      <c r="AA4" s="18">
        <f t="shared" si="1"/>
        <v>0</v>
      </c>
    </row>
    <row r="5" spans="1:27" ht="14.25" customHeight="1" x14ac:dyDescent="0.3">
      <c r="B5" s="2">
        <v>3</v>
      </c>
      <c r="C5" s="2">
        <v>2.5000000000000001E-3</v>
      </c>
      <c r="D5" s="2">
        <v>-30.865200976894801</v>
      </c>
      <c r="E5" s="2">
        <v>3.3225923745149898E-3</v>
      </c>
      <c r="F5" s="2">
        <v>0</v>
      </c>
      <c r="G5" s="2">
        <v>-10.2481039069582</v>
      </c>
      <c r="H5" s="2" t="s">
        <v>17</v>
      </c>
      <c r="J5" s="2">
        <v>3</v>
      </c>
      <c r="K5" s="2">
        <v>2.5000000000000001E-3</v>
      </c>
      <c r="L5" s="2">
        <v>-30.8652009769832</v>
      </c>
      <c r="M5" s="2">
        <v>2.1486935395692201E-8</v>
      </c>
      <c r="N5" s="2">
        <v>-10.248103906958301</v>
      </c>
      <c r="O5" s="2" t="s">
        <v>17</v>
      </c>
      <c r="Q5" s="2">
        <v>3</v>
      </c>
      <c r="R5" s="2">
        <v>7.4999999999999997E-3</v>
      </c>
      <c r="U5" s="15"/>
      <c r="V5" s="15"/>
      <c r="X5" s="2">
        <f t="shared" ref="X5:AA5" si="2">S6-S5</f>
        <v>0</v>
      </c>
      <c r="Y5" s="2">
        <f t="shared" si="2"/>
        <v>0</v>
      </c>
      <c r="Z5" s="18">
        <f t="shared" si="2"/>
        <v>0</v>
      </c>
      <c r="AA5" s="18">
        <f t="shared" si="2"/>
        <v>0</v>
      </c>
    </row>
    <row r="6" spans="1:27" ht="14.25" customHeight="1" x14ac:dyDescent="0.3">
      <c r="B6" s="2">
        <v>4</v>
      </c>
      <c r="C6" s="2">
        <v>2.5000000000000001E-3</v>
      </c>
      <c r="D6" s="2">
        <v>9.1657829940588993</v>
      </c>
      <c r="E6" s="2">
        <v>1.34744841963838</v>
      </c>
      <c r="F6" s="2">
        <v>1.504</v>
      </c>
      <c r="G6" s="2">
        <v>95.6299472600396</v>
      </c>
      <c r="H6" s="2" t="s">
        <v>18</v>
      </c>
      <c r="J6" s="2">
        <v>4</v>
      </c>
      <c r="K6" s="2">
        <v>2.5000000000000001E-3</v>
      </c>
      <c r="L6" s="2">
        <v>9.2261275152609894</v>
      </c>
      <c r="M6" s="2">
        <v>2.9871883192698601</v>
      </c>
      <c r="N6" s="2">
        <v>80.503602833765299</v>
      </c>
      <c r="O6" s="2" t="s">
        <v>18</v>
      </c>
      <c r="Q6" s="2">
        <v>4</v>
      </c>
      <c r="R6" s="2">
        <v>0.01</v>
      </c>
      <c r="U6" s="15"/>
      <c r="V6" s="15"/>
      <c r="X6" s="2">
        <f t="shared" ref="X6:AA6" si="3">S7-S6</f>
        <v>0</v>
      </c>
      <c r="Y6" s="2">
        <f t="shared" si="3"/>
        <v>0</v>
      </c>
      <c r="Z6" s="18">
        <f t="shared" si="3"/>
        <v>0</v>
      </c>
      <c r="AA6" s="18">
        <f t="shared" si="3"/>
        <v>0</v>
      </c>
    </row>
    <row r="7" spans="1:27" ht="14.25" customHeight="1" x14ac:dyDescent="0.3">
      <c r="B7" s="2">
        <v>5</v>
      </c>
      <c r="C7" s="2">
        <v>2.5000000000000001E-3</v>
      </c>
      <c r="D7" s="2">
        <v>2.06811768425797E-4</v>
      </c>
      <c r="E7" s="2">
        <v>0.72707464077431005</v>
      </c>
      <c r="F7" s="2">
        <v>1.2</v>
      </c>
      <c r="G7" s="2">
        <v>99.228060527947505</v>
      </c>
      <c r="H7" s="11" t="s">
        <v>27</v>
      </c>
      <c r="J7" s="2">
        <v>5</v>
      </c>
      <c r="K7" s="2">
        <v>5.0000000000000001E-3</v>
      </c>
      <c r="L7" s="2">
        <v>1.03585745886691E-3</v>
      </c>
      <c r="M7" s="15">
        <v>1.9346672176728199</v>
      </c>
      <c r="N7" s="2">
        <v>73.089869252819696</v>
      </c>
      <c r="O7" s="5" t="s">
        <v>6</v>
      </c>
      <c r="Q7" s="2">
        <v>5</v>
      </c>
      <c r="R7" s="2">
        <v>1.2500000000000001E-2</v>
      </c>
      <c r="U7" s="15"/>
      <c r="V7" s="15"/>
      <c r="X7" s="2">
        <f t="shared" ref="X7:AA7" si="4">S8-S7</f>
        <v>0</v>
      </c>
      <c r="Y7" s="2">
        <f t="shared" si="4"/>
        <v>0</v>
      </c>
      <c r="Z7" s="18">
        <f t="shared" si="4"/>
        <v>0</v>
      </c>
      <c r="AA7" s="18">
        <f t="shared" si="4"/>
        <v>0</v>
      </c>
    </row>
    <row r="8" spans="1:27" ht="14.25" customHeight="1" x14ac:dyDescent="0.3">
      <c r="B8" s="2">
        <v>6</v>
      </c>
      <c r="C8" s="2">
        <v>5.0000000000000001E-3</v>
      </c>
      <c r="D8" s="2">
        <v>1.0312578763694801E-3</v>
      </c>
      <c r="E8" s="2">
        <v>0.65513652050763105</v>
      </c>
      <c r="F8" s="2">
        <v>1.165</v>
      </c>
      <c r="G8" s="2">
        <v>99.441986812818797</v>
      </c>
      <c r="H8" s="5" t="s">
        <v>6</v>
      </c>
      <c r="J8" s="2">
        <v>6</v>
      </c>
      <c r="K8" s="2">
        <v>5.0000000000000001E-3</v>
      </c>
      <c r="L8" s="2">
        <v>18.424979405415201</v>
      </c>
      <c r="M8" s="2">
        <v>3.3126453594595202</v>
      </c>
      <c r="N8" s="2">
        <v>78.873261405712299</v>
      </c>
      <c r="O8" s="2" t="s">
        <v>16</v>
      </c>
      <c r="Q8" s="2">
        <v>6</v>
      </c>
      <c r="R8" s="2">
        <v>1.4999999999999999E-2</v>
      </c>
      <c r="U8" s="15"/>
      <c r="V8" s="15"/>
      <c r="X8" s="2">
        <f t="shared" ref="X8:AA8" si="5">S9-S8</f>
        <v>0</v>
      </c>
      <c r="Y8" s="2">
        <f t="shared" si="5"/>
        <v>0</v>
      </c>
      <c r="Z8" s="18">
        <f t="shared" si="5"/>
        <v>0</v>
      </c>
      <c r="AA8" s="18">
        <f t="shared" si="5"/>
        <v>0</v>
      </c>
    </row>
    <row r="9" spans="1:27" ht="14.25" customHeight="1" x14ac:dyDescent="0.3">
      <c r="B9" s="2">
        <v>7</v>
      </c>
      <c r="C9" s="2">
        <v>5.0000000000000001E-3</v>
      </c>
      <c r="D9" s="2">
        <v>18.296844179458802</v>
      </c>
      <c r="E9" s="2">
        <v>1.6407113296170499</v>
      </c>
      <c r="F9" s="2">
        <v>1.5169999999999999</v>
      </c>
      <c r="G9" s="2">
        <v>93.717390203246893</v>
      </c>
      <c r="H9" s="2" t="s">
        <v>16</v>
      </c>
      <c r="J9" s="2">
        <v>7</v>
      </c>
      <c r="K9" s="2">
        <v>5.0000000000000001E-3</v>
      </c>
      <c r="L9" s="2">
        <v>-30.860446790192999</v>
      </c>
      <c r="M9" s="2">
        <v>2.1478354337700901E-8</v>
      </c>
      <c r="N9" s="2">
        <v>-12.317391032289899</v>
      </c>
      <c r="O9" s="2" t="s">
        <v>17</v>
      </c>
      <c r="Q9" s="2">
        <v>7</v>
      </c>
      <c r="R9" s="2">
        <v>1.7500000000000002E-2</v>
      </c>
      <c r="U9" s="15"/>
      <c r="V9" s="15"/>
      <c r="X9" s="2">
        <f t="shared" ref="X9:AA9" si="6">S10-S9</f>
        <v>0</v>
      </c>
      <c r="Y9" s="2">
        <f t="shared" si="6"/>
        <v>0</v>
      </c>
      <c r="Z9" s="18">
        <f t="shared" si="6"/>
        <v>0</v>
      </c>
      <c r="AA9" s="18">
        <f t="shared" si="6"/>
        <v>0</v>
      </c>
    </row>
    <row r="10" spans="1:27" ht="14.25" customHeight="1" x14ac:dyDescent="0.3">
      <c r="B10" s="2">
        <v>8</v>
      </c>
      <c r="C10" s="2">
        <v>5.0000000000000001E-3</v>
      </c>
      <c r="D10" s="2">
        <v>-30.860446790223001</v>
      </c>
      <c r="E10" s="15">
        <v>2.0666477520776401E-5</v>
      </c>
      <c r="F10" s="2">
        <v>0</v>
      </c>
      <c r="G10" s="2">
        <v>-12.317391032289899</v>
      </c>
      <c r="H10" s="2" t="s">
        <v>17</v>
      </c>
      <c r="J10" s="2">
        <v>8</v>
      </c>
      <c r="K10" s="2">
        <v>5.0000000000000001E-3</v>
      </c>
      <c r="L10" s="2">
        <v>9.2287494018205791</v>
      </c>
      <c r="M10" s="2">
        <v>2.9868872738701899</v>
      </c>
      <c r="N10" s="2">
        <v>78.137954684331604</v>
      </c>
      <c r="O10" s="2" t="s">
        <v>18</v>
      </c>
      <c r="Q10" s="2">
        <v>8</v>
      </c>
      <c r="R10" s="2">
        <v>0.02</v>
      </c>
      <c r="U10" s="15"/>
      <c r="V10" s="15"/>
      <c r="X10" s="2">
        <f t="shared" ref="X10:AA10" si="7">S11-S10</f>
        <v>0</v>
      </c>
      <c r="Y10" s="2">
        <f t="shared" si="7"/>
        <v>0</v>
      </c>
      <c r="Z10" s="18">
        <f t="shared" si="7"/>
        <v>0</v>
      </c>
      <c r="AA10" s="18">
        <f t="shared" si="7"/>
        <v>0</v>
      </c>
    </row>
    <row r="11" spans="1:27" ht="14.25" customHeight="1" x14ac:dyDescent="0.3">
      <c r="B11" s="2">
        <v>9</v>
      </c>
      <c r="C11" s="2">
        <v>5.0000000000000001E-3</v>
      </c>
      <c r="D11" s="2">
        <v>9.1683954672803694</v>
      </c>
      <c r="E11" s="2">
        <v>1.3473327047760799</v>
      </c>
      <c r="F11" s="2">
        <v>1.504</v>
      </c>
      <c r="G11" s="2">
        <v>95.100537212882003</v>
      </c>
      <c r="H11" s="2" t="s">
        <v>18</v>
      </c>
      <c r="J11" s="2">
        <v>9</v>
      </c>
      <c r="K11" s="2">
        <v>7.4999999999999997E-3</v>
      </c>
      <c r="L11" s="2">
        <v>1.0358574854535301E-3</v>
      </c>
      <c r="M11" s="15">
        <v>1.9346672727424601</v>
      </c>
      <c r="N11" s="2">
        <v>73.089867466692397</v>
      </c>
      <c r="O11" s="5" t="s">
        <v>6</v>
      </c>
      <c r="Q11" s="2">
        <v>9</v>
      </c>
      <c r="R11" s="2">
        <v>2.2499999999999999E-2</v>
      </c>
      <c r="U11" s="15"/>
      <c r="V11" s="15"/>
      <c r="X11" s="2">
        <f t="shared" ref="X11:AA11" si="8">S12-S11</f>
        <v>0</v>
      </c>
      <c r="Y11" s="2">
        <f t="shared" si="8"/>
        <v>0</v>
      </c>
      <c r="Z11" s="18">
        <f t="shared" si="8"/>
        <v>0</v>
      </c>
      <c r="AA11" s="18">
        <f t="shared" si="8"/>
        <v>0</v>
      </c>
    </row>
    <row r="12" spans="1:27" ht="14.25" customHeight="1" x14ac:dyDescent="0.3">
      <c r="B12" s="2">
        <v>10</v>
      </c>
      <c r="C12" s="2">
        <v>5.0000000000000001E-3</v>
      </c>
      <c r="D12" s="2">
        <v>1.0312578763694801E-3</v>
      </c>
      <c r="E12" s="2">
        <v>0.65513652050763105</v>
      </c>
      <c r="F12" s="2">
        <v>1.165</v>
      </c>
      <c r="G12" s="2">
        <v>99.441986812818797</v>
      </c>
      <c r="H12" s="11" t="s">
        <v>27</v>
      </c>
      <c r="J12" s="2">
        <v>10</v>
      </c>
      <c r="K12" s="2">
        <v>7.4999999999999997E-3</v>
      </c>
      <c r="L12" s="2">
        <v>18.424979405276801</v>
      </c>
      <c r="M12" s="2">
        <v>3.3126453601322501</v>
      </c>
      <c r="N12" s="2">
        <v>78.873261411567697</v>
      </c>
      <c r="O12" s="2" t="s">
        <v>16</v>
      </c>
      <c r="Q12" s="2">
        <v>10</v>
      </c>
      <c r="R12" s="2">
        <v>2.5000000000000001E-2</v>
      </c>
      <c r="U12" s="15"/>
      <c r="V12" s="15"/>
      <c r="X12" s="2">
        <f t="shared" ref="X12:AA12" si="9">S13-S12</f>
        <v>0</v>
      </c>
      <c r="Y12" s="2">
        <f t="shared" si="9"/>
        <v>0</v>
      </c>
      <c r="Z12" s="18">
        <f t="shared" si="9"/>
        <v>0</v>
      </c>
      <c r="AA12" s="18">
        <f t="shared" si="9"/>
        <v>0</v>
      </c>
    </row>
    <row r="13" spans="1:27" ht="14.25" customHeight="1" x14ac:dyDescent="0.3">
      <c r="B13" s="2">
        <v>11</v>
      </c>
      <c r="C13" s="2">
        <v>7.4999999999999997E-3</v>
      </c>
      <c r="D13" s="2">
        <v>1.0312579024442201E-3</v>
      </c>
      <c r="E13" s="2">
        <v>0.65513654722148396</v>
      </c>
      <c r="F13" s="2">
        <v>1.165</v>
      </c>
      <c r="G13" s="2">
        <v>99.441986592321499</v>
      </c>
      <c r="H13" s="5" t="s">
        <v>6</v>
      </c>
      <c r="J13" s="2">
        <v>11</v>
      </c>
      <c r="K13" s="2">
        <v>7.4999999999999997E-3</v>
      </c>
      <c r="L13" s="2">
        <v>-30.860446790112199</v>
      </c>
      <c r="M13" s="2">
        <v>2.1478354098332001E-8</v>
      </c>
      <c r="N13" s="2">
        <v>-12.317391032340399</v>
      </c>
      <c r="O13" s="2" t="s">
        <v>17</v>
      </c>
      <c r="Q13" s="2">
        <v>11</v>
      </c>
      <c r="R13" s="2">
        <v>2.75E-2</v>
      </c>
      <c r="U13" s="15"/>
      <c r="V13" s="15"/>
      <c r="X13" s="2">
        <f t="shared" ref="X13:AA13" si="10">S14-S13</f>
        <v>0</v>
      </c>
      <c r="Y13" s="2">
        <f t="shared" si="10"/>
        <v>0</v>
      </c>
      <c r="Z13" s="18">
        <f t="shared" si="10"/>
        <v>0</v>
      </c>
      <c r="AA13" s="18">
        <f t="shared" si="10"/>
        <v>0</v>
      </c>
    </row>
    <row r="14" spans="1:27" ht="14.25" customHeight="1" x14ac:dyDescent="0.3">
      <c r="B14" s="2">
        <v>12</v>
      </c>
      <c r="C14" s="2">
        <v>7.4999999999999997E-3</v>
      </c>
      <c r="D14" s="2">
        <v>18.296844179314501</v>
      </c>
      <c r="E14" s="2">
        <v>1.64071133059565</v>
      </c>
      <c r="F14" s="2">
        <v>1.5169999999999999</v>
      </c>
      <c r="G14" s="2">
        <v>93.717390198870206</v>
      </c>
      <c r="H14" s="2" t="s">
        <v>16</v>
      </c>
      <c r="J14" s="2">
        <v>12</v>
      </c>
      <c r="K14" s="2">
        <v>7.4999999999999997E-3</v>
      </c>
      <c r="L14" s="2">
        <v>9.2287494017801208</v>
      </c>
      <c r="M14" s="2">
        <v>2.9868872743725299</v>
      </c>
      <c r="N14" s="2">
        <v>78.137954689892496</v>
      </c>
      <c r="O14" s="2" t="s">
        <v>18</v>
      </c>
      <c r="Q14" s="2">
        <v>12</v>
      </c>
      <c r="R14" s="2">
        <v>0.03</v>
      </c>
      <c r="U14" s="15"/>
      <c r="V14" s="15"/>
      <c r="X14" s="2">
        <f t="shared" ref="X14:AA14" si="11">S15-S14</f>
        <v>0</v>
      </c>
      <c r="Y14" s="2">
        <f t="shared" si="11"/>
        <v>0</v>
      </c>
      <c r="Z14" s="18">
        <f t="shared" si="11"/>
        <v>0</v>
      </c>
      <c r="AA14" s="18">
        <f t="shared" si="11"/>
        <v>0</v>
      </c>
    </row>
    <row r="15" spans="1:27" ht="14.25" customHeight="1" x14ac:dyDescent="0.3">
      <c r="B15" s="2">
        <v>13</v>
      </c>
      <c r="C15" s="2">
        <v>7.4999999999999997E-3</v>
      </c>
      <c r="D15" s="2">
        <v>-30.8604467901757</v>
      </c>
      <c r="E15" s="15">
        <v>3.0557105094299602E-5</v>
      </c>
      <c r="F15" s="2">
        <v>0</v>
      </c>
      <c r="G15" s="2">
        <v>-12.317391032340399</v>
      </c>
      <c r="H15" s="2" t="s">
        <v>17</v>
      </c>
      <c r="J15" s="2">
        <v>13</v>
      </c>
      <c r="K15" s="2">
        <v>0.01</v>
      </c>
      <c r="L15" s="2">
        <v>1.0358574562378E-3</v>
      </c>
      <c r="M15" s="15">
        <v>1.9346671908636599</v>
      </c>
      <c r="N15" s="2">
        <v>73.089868921180596</v>
      </c>
      <c r="O15" s="5" t="s">
        <v>6</v>
      </c>
      <c r="Q15" s="2">
        <v>13</v>
      </c>
      <c r="R15" s="2">
        <v>3.2500000000000001E-2</v>
      </c>
      <c r="U15" s="15"/>
      <c r="V15" s="15"/>
      <c r="X15" s="2">
        <f t="shared" ref="X15:AA15" si="12">S16-S15</f>
        <v>0</v>
      </c>
      <c r="Y15" s="2">
        <f t="shared" si="12"/>
        <v>0</v>
      </c>
      <c r="Z15" s="18">
        <f t="shared" si="12"/>
        <v>0</v>
      </c>
      <c r="AA15" s="18">
        <f t="shared" si="12"/>
        <v>0</v>
      </c>
    </row>
    <row r="16" spans="1:27" ht="14.25" customHeight="1" x14ac:dyDescent="0.3">
      <c r="B16" s="2">
        <v>14</v>
      </c>
      <c r="C16" s="2">
        <v>7.4999999999999997E-3</v>
      </c>
      <c r="D16" s="2">
        <v>9.1683954672332799</v>
      </c>
      <c r="E16" s="2">
        <v>1.3473327055145601</v>
      </c>
      <c r="F16" s="2">
        <v>1.504</v>
      </c>
      <c r="G16" s="2">
        <v>95.100537208602603</v>
      </c>
      <c r="H16" s="2" t="s">
        <v>18</v>
      </c>
      <c r="J16" s="2">
        <v>14</v>
      </c>
      <c r="K16" s="2">
        <v>0.01</v>
      </c>
      <c r="L16" s="2">
        <v>18.4249794060458</v>
      </c>
      <c r="M16" s="2">
        <v>3.31264535706481</v>
      </c>
      <c r="N16" s="2">
        <v>78.873261384428901</v>
      </c>
      <c r="O16" s="2" t="s">
        <v>16</v>
      </c>
      <c r="Q16" s="2">
        <v>14</v>
      </c>
      <c r="R16" s="2">
        <v>3.5000000000000003E-2</v>
      </c>
      <c r="U16" s="15"/>
      <c r="V16" s="15"/>
      <c r="X16" s="2">
        <f t="shared" ref="X16:AA16" si="13">S17-S16</f>
        <v>0</v>
      </c>
      <c r="Y16" s="2">
        <f t="shared" si="13"/>
        <v>0</v>
      </c>
      <c r="Z16" s="18">
        <f t="shared" si="13"/>
        <v>0</v>
      </c>
      <c r="AA16" s="18">
        <f t="shared" si="13"/>
        <v>0</v>
      </c>
    </row>
    <row r="17" spans="2:27" ht="14.25" customHeight="1" x14ac:dyDescent="0.3">
      <c r="B17" s="2">
        <v>15</v>
      </c>
      <c r="C17" s="2">
        <v>7.4999999999999997E-3</v>
      </c>
      <c r="D17" s="2">
        <v>1.03125794791867E-3</v>
      </c>
      <c r="E17" s="2">
        <v>0.655136547136009</v>
      </c>
      <c r="F17" s="2">
        <v>1.165</v>
      </c>
      <c r="G17" s="2">
        <v>99.441986617568901</v>
      </c>
      <c r="H17" s="11" t="s">
        <v>27</v>
      </c>
      <c r="J17" s="2">
        <v>15</v>
      </c>
      <c r="K17" s="2">
        <v>0.01</v>
      </c>
      <c r="L17" s="2">
        <v>-30.860446790228501</v>
      </c>
      <c r="M17" s="2">
        <v>2.1478354144288799E-8</v>
      </c>
      <c r="N17" s="2">
        <v>-12.3173910323383</v>
      </c>
      <c r="O17" s="2" t="s">
        <v>17</v>
      </c>
      <c r="Q17" s="2">
        <v>15</v>
      </c>
      <c r="R17" s="2">
        <v>3.7499999999999999E-2</v>
      </c>
      <c r="U17" s="15"/>
      <c r="V17" s="15"/>
      <c r="X17" s="2">
        <f t="shared" ref="X17:AA17" si="14">S18-S17</f>
        <v>0</v>
      </c>
      <c r="Y17" s="2">
        <f t="shared" si="14"/>
        <v>0</v>
      </c>
      <c r="Z17" s="18">
        <f t="shared" si="14"/>
        <v>0</v>
      </c>
      <c r="AA17" s="18">
        <f t="shared" si="14"/>
        <v>0</v>
      </c>
    </row>
    <row r="18" spans="2:27" ht="14.25" customHeight="1" x14ac:dyDescent="0.3">
      <c r="B18" s="2">
        <v>16</v>
      </c>
      <c r="C18" s="2">
        <v>0.01</v>
      </c>
      <c r="D18" s="2">
        <v>1.0312578737545299E-3</v>
      </c>
      <c r="E18" s="2">
        <v>0.65513653208396605</v>
      </c>
      <c r="F18" s="2">
        <v>1.165</v>
      </c>
      <c r="G18" s="2">
        <v>99.441986217628596</v>
      </c>
      <c r="H18" s="5" t="s">
        <v>6</v>
      </c>
      <c r="J18" s="2">
        <v>16</v>
      </c>
      <c r="K18" s="2">
        <v>0.01</v>
      </c>
      <c r="L18" s="2">
        <v>9.2287494018156195</v>
      </c>
      <c r="M18" s="2">
        <v>2.9868872745367101</v>
      </c>
      <c r="N18" s="2">
        <v>78.137954691114501</v>
      </c>
      <c r="O18" s="2" t="s">
        <v>18</v>
      </c>
      <c r="Q18" s="2">
        <v>16</v>
      </c>
      <c r="R18" s="2">
        <v>0.04</v>
      </c>
      <c r="U18" s="15"/>
      <c r="V18" s="15"/>
      <c r="X18" s="2">
        <f t="shared" ref="X18:AA18" si="15">S19-S18</f>
        <v>0</v>
      </c>
      <c r="Y18" s="2">
        <f t="shared" si="15"/>
        <v>0</v>
      </c>
      <c r="Z18" s="18">
        <f t="shared" si="15"/>
        <v>0</v>
      </c>
      <c r="AA18" s="18">
        <f t="shared" si="15"/>
        <v>0</v>
      </c>
    </row>
    <row r="19" spans="2:27" ht="14.25" customHeight="1" x14ac:dyDescent="0.3">
      <c r="B19" s="2">
        <v>17</v>
      </c>
      <c r="C19" s="2">
        <v>0.01</v>
      </c>
      <c r="D19" s="2">
        <v>18.2968441802585</v>
      </c>
      <c r="E19" s="2">
        <v>1.64071132687578</v>
      </c>
      <c r="F19" s="2">
        <v>1.5169999999999999</v>
      </c>
      <c r="G19" s="2">
        <v>93.717390228169293</v>
      </c>
      <c r="H19" s="2" t="s">
        <v>16</v>
      </c>
      <c r="J19" s="2">
        <v>17</v>
      </c>
      <c r="K19" s="2">
        <v>1.2500000000000001E-2</v>
      </c>
      <c r="L19" s="2">
        <v>1.0358574854535301E-3</v>
      </c>
      <c r="M19" s="15">
        <v>1.9346672727424601</v>
      </c>
      <c r="N19" s="2">
        <v>73.089867466692397</v>
      </c>
      <c r="O19" s="5" t="s">
        <v>6</v>
      </c>
      <c r="Q19" s="2">
        <v>17</v>
      </c>
      <c r="R19" s="2">
        <v>4.2500000000000003E-2</v>
      </c>
      <c r="U19" s="15"/>
      <c r="V19" s="15"/>
      <c r="X19" s="2">
        <f t="shared" ref="X19:AA19" si="16">S20-S19</f>
        <v>0</v>
      </c>
      <c r="Y19" s="2">
        <f t="shared" si="16"/>
        <v>0</v>
      </c>
      <c r="Z19" s="18">
        <f t="shared" si="16"/>
        <v>0</v>
      </c>
      <c r="AA19" s="18">
        <f t="shared" si="16"/>
        <v>0</v>
      </c>
    </row>
    <row r="20" spans="2:27" ht="14.25" customHeight="1" x14ac:dyDescent="0.3">
      <c r="B20" s="2">
        <v>18</v>
      </c>
      <c r="C20" s="2">
        <v>0.01</v>
      </c>
      <c r="D20" s="2">
        <v>-30.860446790363898</v>
      </c>
      <c r="E20" s="15">
        <v>2.5067944282618301E-5</v>
      </c>
      <c r="F20" s="2">
        <v>0</v>
      </c>
      <c r="G20" s="2">
        <v>-12.3173910323383</v>
      </c>
      <c r="H20" s="2" t="s">
        <v>17</v>
      </c>
      <c r="J20" s="2">
        <v>18</v>
      </c>
      <c r="K20" s="2">
        <v>1.2500000000000001E-2</v>
      </c>
      <c r="L20" s="2">
        <v>18.424979405358499</v>
      </c>
      <c r="M20" s="2">
        <v>3.3126453593916798</v>
      </c>
      <c r="N20" s="2">
        <v>78.873261405828103</v>
      </c>
      <c r="O20" s="2" t="s">
        <v>16</v>
      </c>
      <c r="Q20" s="2">
        <v>18</v>
      </c>
      <c r="R20" s="2">
        <v>4.4999999999999998E-2</v>
      </c>
      <c r="U20" s="15"/>
      <c r="V20" s="15"/>
      <c r="X20" s="2">
        <f t="shared" ref="X20:AA20" si="17">S21-S20</f>
        <v>0</v>
      </c>
      <c r="Y20" s="2">
        <f t="shared" si="17"/>
        <v>0</v>
      </c>
      <c r="Z20" s="18">
        <f t="shared" si="17"/>
        <v>0</v>
      </c>
      <c r="AA20" s="18">
        <f t="shared" si="17"/>
        <v>0</v>
      </c>
    </row>
    <row r="21" spans="2:27" ht="14.25" customHeight="1" x14ac:dyDescent="0.3">
      <c r="B21" s="2">
        <v>19</v>
      </c>
      <c r="C21" s="2">
        <v>0.01</v>
      </c>
      <c r="D21" s="2">
        <v>9.1683954672763903</v>
      </c>
      <c r="E21" s="2">
        <v>1.3473327058353699</v>
      </c>
      <c r="F21" s="2">
        <v>1.504</v>
      </c>
      <c r="G21" s="2">
        <v>95.100537208395494</v>
      </c>
      <c r="H21" s="2" t="s">
        <v>18</v>
      </c>
      <c r="J21" s="2">
        <v>19</v>
      </c>
      <c r="K21" s="2">
        <v>1.2500000000000001E-2</v>
      </c>
      <c r="L21" s="2">
        <v>-30.860446790165799</v>
      </c>
      <c r="M21" s="2">
        <v>2.14783541864608E-8</v>
      </c>
      <c r="N21" s="2">
        <v>-12.3173910322999</v>
      </c>
      <c r="O21" s="2" t="s">
        <v>17</v>
      </c>
      <c r="Q21" s="2">
        <v>19</v>
      </c>
      <c r="R21" s="2">
        <v>4.7500000000000001E-2</v>
      </c>
      <c r="U21" s="15"/>
      <c r="V21" s="15"/>
      <c r="X21" s="2">
        <f t="shared" ref="X21:AA21" si="18">S22-S21</f>
        <v>0</v>
      </c>
      <c r="Y21" s="2">
        <f t="shared" si="18"/>
        <v>0</v>
      </c>
      <c r="Z21" s="18">
        <f t="shared" si="18"/>
        <v>0</v>
      </c>
      <c r="AA21" s="18">
        <f t="shared" si="18"/>
        <v>0</v>
      </c>
    </row>
    <row r="22" spans="2:27" ht="14.25" customHeight="1" x14ac:dyDescent="0.3">
      <c r="B22" s="2">
        <v>20</v>
      </c>
      <c r="C22" s="2">
        <v>0.01</v>
      </c>
      <c r="D22" s="2">
        <v>1.0312578737545299E-3</v>
      </c>
      <c r="E22" s="2">
        <v>0.65513653208396605</v>
      </c>
      <c r="F22" s="2">
        <v>1.165</v>
      </c>
      <c r="G22" s="2">
        <v>99.441986217628596</v>
      </c>
      <c r="H22" s="11" t="s">
        <v>27</v>
      </c>
      <c r="J22" s="2">
        <v>20</v>
      </c>
      <c r="K22" s="2">
        <v>1.2500000000000001E-2</v>
      </c>
      <c r="L22" s="2">
        <v>9.22874940179425</v>
      </c>
      <c r="M22" s="2">
        <v>2.98688727410065</v>
      </c>
      <c r="N22" s="2">
        <v>78.137954686802502</v>
      </c>
      <c r="O22" s="2" t="s">
        <v>18</v>
      </c>
      <c r="Q22" s="2">
        <v>20</v>
      </c>
      <c r="R22" s="2">
        <v>0.05</v>
      </c>
      <c r="U22" s="15"/>
      <c r="V22" s="15"/>
      <c r="X22" s="2">
        <f t="shared" ref="X22:AA22" si="19">S23-S22</f>
        <v>0</v>
      </c>
      <c r="Y22" s="2">
        <f t="shared" si="19"/>
        <v>0</v>
      </c>
      <c r="Z22" s="18">
        <f t="shared" si="19"/>
        <v>0</v>
      </c>
      <c r="AA22" s="18">
        <f t="shared" si="19"/>
        <v>0</v>
      </c>
    </row>
    <row r="23" spans="2:27" ht="14.25" customHeight="1" x14ac:dyDescent="0.3">
      <c r="B23" s="2">
        <v>21</v>
      </c>
      <c r="C23" s="2">
        <v>1.2500000000000001E-2</v>
      </c>
      <c r="D23" s="2">
        <v>1.0312579024442201E-3</v>
      </c>
      <c r="E23" s="2">
        <v>0.65513654722148396</v>
      </c>
      <c r="F23" s="2">
        <v>1.165</v>
      </c>
      <c r="G23" s="2">
        <v>99.441986592321499</v>
      </c>
      <c r="H23" s="5" t="s">
        <v>6</v>
      </c>
      <c r="J23" s="2">
        <v>21</v>
      </c>
      <c r="K23" s="2">
        <v>1.4999999999999999E-2</v>
      </c>
      <c r="L23" s="2">
        <v>1.0358574562378E-3</v>
      </c>
      <c r="M23" s="2">
        <v>1.9346671908636599</v>
      </c>
      <c r="N23" s="2">
        <v>73.089868921180596</v>
      </c>
      <c r="O23" s="5" t="s">
        <v>6</v>
      </c>
      <c r="Q23" s="2">
        <v>21</v>
      </c>
      <c r="R23" s="2">
        <v>5.2499999999999998E-2</v>
      </c>
      <c r="U23" s="15"/>
      <c r="V23" s="15"/>
      <c r="X23" s="2">
        <f t="shared" ref="X23:AA23" si="20">S24-S23</f>
        <v>0</v>
      </c>
      <c r="Y23" s="2">
        <f t="shared" si="20"/>
        <v>0</v>
      </c>
      <c r="Z23" s="18">
        <f t="shared" si="20"/>
        <v>0</v>
      </c>
      <c r="AA23" s="18">
        <f t="shared" si="20"/>
        <v>0</v>
      </c>
    </row>
    <row r="24" spans="2:27" ht="14.25" customHeight="1" x14ac:dyDescent="0.3">
      <c r="B24" s="2">
        <v>22</v>
      </c>
      <c r="C24" s="2">
        <v>1.2500000000000001E-2</v>
      </c>
      <c r="D24" s="2">
        <v>18.296844179394899</v>
      </c>
      <c r="E24" s="2">
        <v>1.6407113295134299</v>
      </c>
      <c r="F24" s="2">
        <v>1.5169999999999999</v>
      </c>
      <c r="G24" s="2">
        <v>93.717390203655199</v>
      </c>
      <c r="H24" s="2" t="s">
        <v>16</v>
      </c>
      <c r="J24" s="2">
        <v>22</v>
      </c>
      <c r="K24" s="2">
        <v>1.4999999999999999E-2</v>
      </c>
      <c r="L24" s="2">
        <v>18.4249794060458</v>
      </c>
      <c r="M24" s="2">
        <v>3.31264535706481</v>
      </c>
      <c r="N24" s="2">
        <v>78.873261384428901</v>
      </c>
      <c r="O24" s="2" t="s">
        <v>16</v>
      </c>
      <c r="Q24" s="2">
        <v>22</v>
      </c>
      <c r="R24" s="2">
        <v>5.5E-2</v>
      </c>
      <c r="U24" s="15"/>
      <c r="V24" s="15"/>
      <c r="X24" s="2">
        <f t="shared" ref="X24:AA24" si="21">S25-S24</f>
        <v>0</v>
      </c>
      <c r="Y24" s="2">
        <f t="shared" si="21"/>
        <v>0</v>
      </c>
      <c r="Z24" s="18">
        <f t="shared" si="21"/>
        <v>0</v>
      </c>
      <c r="AA24" s="18">
        <f t="shared" si="21"/>
        <v>0</v>
      </c>
    </row>
    <row r="25" spans="2:27" ht="14.25" customHeight="1" x14ac:dyDescent="0.3">
      <c r="B25" s="2">
        <v>23</v>
      </c>
      <c r="C25" s="2">
        <v>1.2500000000000001E-2</v>
      </c>
      <c r="D25" s="2">
        <v>-30.8604467902835</v>
      </c>
      <c r="E25" s="15">
        <v>2.68228351465879E-5</v>
      </c>
      <c r="F25" s="2">
        <v>0</v>
      </c>
      <c r="G25" s="2">
        <v>-12.3173910322999</v>
      </c>
      <c r="H25" s="2" t="s">
        <v>17</v>
      </c>
      <c r="J25" s="2">
        <v>23</v>
      </c>
      <c r="K25" s="2">
        <v>1.4999999999999999E-2</v>
      </c>
      <c r="L25" s="2">
        <v>-30.860446790228501</v>
      </c>
      <c r="M25" s="2">
        <v>2.1478354144288799E-8</v>
      </c>
      <c r="N25" s="2">
        <v>-12.3173910323383</v>
      </c>
      <c r="O25" s="2" t="s">
        <v>17</v>
      </c>
      <c r="Q25" s="2">
        <v>23</v>
      </c>
      <c r="R25" s="2">
        <v>5.7500000000000002E-2</v>
      </c>
      <c r="U25" s="15"/>
      <c r="V25" s="15"/>
      <c r="X25" s="2">
        <f t="shared" ref="X25:AA25" si="22">S26-S25</f>
        <v>0</v>
      </c>
      <c r="Y25" s="2">
        <f t="shared" si="22"/>
        <v>0</v>
      </c>
      <c r="Z25" s="18">
        <f t="shared" si="22"/>
        <v>0</v>
      </c>
      <c r="AA25" s="18">
        <f t="shared" si="22"/>
        <v>0</v>
      </c>
    </row>
    <row r="26" spans="2:27" ht="14.25" customHeight="1" x14ac:dyDescent="0.3">
      <c r="B26" s="2">
        <v>24</v>
      </c>
      <c r="C26" s="2">
        <v>1.2500000000000001E-2</v>
      </c>
      <c r="D26" s="2">
        <v>9.1683954672533705</v>
      </c>
      <c r="E26" s="2">
        <v>1.34733270513403</v>
      </c>
      <c r="F26" s="2">
        <v>1.504</v>
      </c>
      <c r="G26" s="2">
        <v>95.100537211475299</v>
      </c>
      <c r="H26" s="2" t="s">
        <v>18</v>
      </c>
      <c r="J26" s="2">
        <v>24</v>
      </c>
      <c r="K26" s="2">
        <v>1.4999999999999999E-2</v>
      </c>
      <c r="L26" s="2">
        <v>9.2287494018156195</v>
      </c>
      <c r="M26" s="2">
        <v>2.9868872745367101</v>
      </c>
      <c r="N26" s="2">
        <v>78.137954691114501</v>
      </c>
      <c r="O26" s="2" t="s">
        <v>18</v>
      </c>
      <c r="Q26" s="2">
        <v>24</v>
      </c>
      <c r="R26" s="2">
        <v>0.06</v>
      </c>
      <c r="U26" s="15"/>
      <c r="V26" s="15"/>
      <c r="X26" s="2">
        <f t="shared" ref="X26:AA26" si="23">S27-S26</f>
        <v>0</v>
      </c>
      <c r="Y26" s="2">
        <f t="shared" si="23"/>
        <v>0</v>
      </c>
      <c r="Z26" s="18">
        <f t="shared" si="23"/>
        <v>0</v>
      </c>
      <c r="AA26" s="18">
        <f t="shared" si="23"/>
        <v>0</v>
      </c>
    </row>
    <row r="27" spans="2:27" ht="14.25" customHeight="1" x14ac:dyDescent="0.3">
      <c r="B27" s="2">
        <v>25</v>
      </c>
      <c r="C27" s="2">
        <v>1.2500000000000001E-2</v>
      </c>
      <c r="D27" s="2">
        <v>1.03125794791867E-3</v>
      </c>
      <c r="E27" s="2">
        <v>0.655136547136009</v>
      </c>
      <c r="F27" s="2">
        <v>1.165</v>
      </c>
      <c r="G27" s="2">
        <v>99.441986617568901</v>
      </c>
      <c r="H27" s="11" t="s">
        <v>27</v>
      </c>
      <c r="J27" s="2">
        <v>25</v>
      </c>
      <c r="K27" s="2">
        <v>1.7500000000000002E-2</v>
      </c>
      <c r="L27" s="2">
        <v>1.0358574854535301E-3</v>
      </c>
      <c r="M27" s="15">
        <v>1.9346672727424601</v>
      </c>
      <c r="N27" s="2">
        <v>73.089867466692397</v>
      </c>
      <c r="O27" s="5" t="s">
        <v>6</v>
      </c>
      <c r="Q27" s="2">
        <v>25</v>
      </c>
      <c r="R27" s="2">
        <v>6.25E-2</v>
      </c>
      <c r="U27" s="15"/>
      <c r="V27" s="15"/>
      <c r="X27" s="2">
        <f t="shared" ref="X27:AA27" si="24">S28-S27</f>
        <v>0</v>
      </c>
      <c r="Y27" s="2">
        <f t="shared" si="24"/>
        <v>0</v>
      </c>
      <c r="Z27" s="18">
        <f t="shared" si="24"/>
        <v>0</v>
      </c>
      <c r="AA27" s="18">
        <f t="shared" si="24"/>
        <v>0</v>
      </c>
    </row>
    <row r="28" spans="2:27" ht="14.25" customHeight="1" x14ac:dyDescent="0.3">
      <c r="B28" s="2">
        <v>26</v>
      </c>
      <c r="C28" s="2">
        <v>1.4999999999999999E-2</v>
      </c>
      <c r="D28" s="2">
        <v>1.0312578737545299E-3</v>
      </c>
      <c r="E28" s="2">
        <v>0.65513653208396605</v>
      </c>
      <c r="F28" s="2">
        <v>1.165</v>
      </c>
      <c r="G28" s="2">
        <v>99.441986217628596</v>
      </c>
      <c r="H28" s="5" t="s">
        <v>6</v>
      </c>
      <c r="J28" s="2">
        <v>26</v>
      </c>
      <c r="K28" s="2">
        <v>1.7500000000000002E-2</v>
      </c>
      <c r="L28" s="2">
        <v>18.424979405358499</v>
      </c>
      <c r="M28" s="2">
        <v>3.3126453593916798</v>
      </c>
      <c r="N28" s="2">
        <v>78.873261405828103</v>
      </c>
      <c r="O28" s="2" t="s">
        <v>16</v>
      </c>
      <c r="Q28" s="2">
        <v>26</v>
      </c>
      <c r="R28" s="2">
        <v>6.5000000000000002E-2</v>
      </c>
      <c r="U28" s="15"/>
      <c r="V28" s="15"/>
      <c r="X28" s="2">
        <f t="shared" ref="X28:AA28" si="25">S29-S28</f>
        <v>0</v>
      </c>
      <c r="Y28" s="2">
        <f t="shared" si="25"/>
        <v>0</v>
      </c>
      <c r="Z28" s="18">
        <f t="shared" si="25"/>
        <v>0</v>
      </c>
      <c r="AA28" s="18">
        <f t="shared" si="25"/>
        <v>0</v>
      </c>
    </row>
    <row r="29" spans="2:27" ht="14.25" customHeight="1" x14ac:dyDescent="0.3">
      <c r="B29" s="2">
        <v>27</v>
      </c>
      <c r="C29" s="2">
        <v>1.4999999999999999E-2</v>
      </c>
      <c r="D29" s="2">
        <v>18.2968441802585</v>
      </c>
      <c r="E29" s="2">
        <v>1.64071132687578</v>
      </c>
      <c r="F29" s="2">
        <v>1.5169999999999999</v>
      </c>
      <c r="G29" s="2">
        <v>93.717390228169293</v>
      </c>
      <c r="H29" s="2" t="s">
        <v>16</v>
      </c>
      <c r="J29" s="2">
        <v>27</v>
      </c>
      <c r="K29" s="2">
        <v>1.7500000000000002E-2</v>
      </c>
      <c r="L29" s="2">
        <v>-30.860446790165799</v>
      </c>
      <c r="M29" s="2">
        <v>2.14783541864608E-8</v>
      </c>
      <c r="N29" s="2">
        <v>-12.3173910322999</v>
      </c>
      <c r="O29" s="2" t="s">
        <v>17</v>
      </c>
      <c r="Q29" s="2">
        <v>27</v>
      </c>
      <c r="R29" s="2">
        <v>6.7500000000000004E-2</v>
      </c>
      <c r="U29" s="15"/>
      <c r="V29" s="15"/>
      <c r="X29" s="2">
        <f t="shared" ref="X29:AA29" si="26">S30-S29</f>
        <v>0</v>
      </c>
      <c r="Y29" s="2">
        <f t="shared" si="26"/>
        <v>0</v>
      </c>
      <c r="Z29" s="18">
        <f t="shared" si="26"/>
        <v>0</v>
      </c>
      <c r="AA29" s="18">
        <f t="shared" si="26"/>
        <v>0</v>
      </c>
    </row>
    <row r="30" spans="2:27" ht="14.25" customHeight="1" x14ac:dyDescent="0.3">
      <c r="B30" s="2">
        <v>28</v>
      </c>
      <c r="C30" s="2">
        <v>1.4999999999999999E-2</v>
      </c>
      <c r="D30" s="2">
        <v>-30.860446790363898</v>
      </c>
      <c r="E30" s="15">
        <v>2.5067944282618301E-5</v>
      </c>
      <c r="F30" s="2">
        <v>0</v>
      </c>
      <c r="G30" s="2">
        <v>-12.3173910323383</v>
      </c>
      <c r="H30" s="2" t="s">
        <v>17</v>
      </c>
      <c r="J30" s="2">
        <v>28</v>
      </c>
      <c r="K30" s="2">
        <v>1.7500000000000002E-2</v>
      </c>
      <c r="L30" s="2">
        <v>9.22874940179425</v>
      </c>
      <c r="M30" s="2">
        <v>2.98688727410065</v>
      </c>
      <c r="N30" s="2">
        <v>78.137954686802502</v>
      </c>
      <c r="O30" s="2" t="s">
        <v>18</v>
      </c>
      <c r="Q30" s="2">
        <v>28</v>
      </c>
      <c r="R30" s="2">
        <v>7.0000000000000007E-2</v>
      </c>
      <c r="U30" s="15"/>
      <c r="V30" s="15"/>
      <c r="X30" s="2">
        <f t="shared" ref="X30:AA30" si="27">S31-S30</f>
        <v>0</v>
      </c>
      <c r="Y30" s="2">
        <f t="shared" si="27"/>
        <v>0</v>
      </c>
      <c r="Z30" s="18">
        <f t="shared" si="27"/>
        <v>0</v>
      </c>
      <c r="AA30" s="18">
        <f t="shared" si="27"/>
        <v>0</v>
      </c>
    </row>
    <row r="31" spans="2:27" ht="14.25" customHeight="1" x14ac:dyDescent="0.3">
      <c r="B31" s="2">
        <v>29</v>
      </c>
      <c r="C31" s="2">
        <v>1.4999999999999999E-2</v>
      </c>
      <c r="D31" s="2">
        <v>9.1683954672763903</v>
      </c>
      <c r="E31" s="2">
        <v>1.3473327058353699</v>
      </c>
      <c r="F31" s="2">
        <v>1.504</v>
      </c>
      <c r="G31" s="2">
        <v>95.100537208395494</v>
      </c>
      <c r="H31" s="2" t="s">
        <v>18</v>
      </c>
      <c r="J31" s="2">
        <v>29</v>
      </c>
      <c r="K31" s="2">
        <v>0.02</v>
      </c>
      <c r="L31" s="2">
        <v>1.0358574562378E-3</v>
      </c>
      <c r="M31" s="15">
        <v>1.9346671908636599</v>
      </c>
      <c r="N31" s="2">
        <v>73.089868921180596</v>
      </c>
      <c r="O31" s="5" t="s">
        <v>6</v>
      </c>
      <c r="Q31" s="2">
        <v>29</v>
      </c>
      <c r="R31" s="2">
        <v>7.2499999999999995E-2</v>
      </c>
      <c r="U31" s="15"/>
      <c r="V31" s="15"/>
      <c r="X31" s="2">
        <f t="shared" ref="X31:AA31" si="28">S32-S31</f>
        <v>0</v>
      </c>
      <c r="Y31" s="2">
        <f t="shared" si="28"/>
        <v>0</v>
      </c>
      <c r="Z31" s="18">
        <f t="shared" si="28"/>
        <v>0</v>
      </c>
      <c r="AA31" s="18">
        <f t="shared" si="28"/>
        <v>0</v>
      </c>
    </row>
    <row r="32" spans="2:27" ht="14.25" customHeight="1" x14ac:dyDescent="0.3">
      <c r="B32" s="2">
        <v>30</v>
      </c>
      <c r="C32" s="2">
        <v>1.4999999999999999E-2</v>
      </c>
      <c r="D32" s="2">
        <v>1.0312578737545299E-3</v>
      </c>
      <c r="E32" s="2">
        <v>0.65513653208396605</v>
      </c>
      <c r="F32" s="2">
        <v>1.165</v>
      </c>
      <c r="G32" s="2">
        <v>99.441986217628596</v>
      </c>
      <c r="H32" s="11" t="s">
        <v>27</v>
      </c>
      <c r="J32" s="2">
        <v>30</v>
      </c>
      <c r="K32" s="2">
        <v>0.02</v>
      </c>
      <c r="L32" s="2">
        <v>18.4249794060458</v>
      </c>
      <c r="M32" s="2">
        <v>3.31264535706481</v>
      </c>
      <c r="N32" s="2">
        <v>78.873261384428901</v>
      </c>
      <c r="O32" s="2" t="s">
        <v>16</v>
      </c>
      <c r="Q32" s="2">
        <v>30</v>
      </c>
      <c r="R32" s="2">
        <v>7.4999999999999997E-2</v>
      </c>
      <c r="U32" s="15"/>
      <c r="V32" s="15"/>
    </row>
    <row r="33" spans="2:19" ht="14.25" customHeight="1" x14ac:dyDescent="0.3">
      <c r="B33" s="2">
        <v>31</v>
      </c>
      <c r="C33" s="2">
        <v>1.7500000000000002E-2</v>
      </c>
      <c r="D33" s="2">
        <v>1.0312579024442201E-3</v>
      </c>
      <c r="E33" s="2">
        <v>0.65513654722148396</v>
      </c>
      <c r="F33" s="2">
        <v>1.165</v>
      </c>
      <c r="G33" s="2">
        <v>99.441986592321499</v>
      </c>
      <c r="H33" s="5" t="s">
        <v>6</v>
      </c>
      <c r="J33" s="2">
        <v>31</v>
      </c>
      <c r="K33" s="2">
        <v>0.02</v>
      </c>
      <c r="L33" s="2">
        <v>-30.860446790228501</v>
      </c>
      <c r="M33" s="2">
        <v>2.1478354144288799E-8</v>
      </c>
      <c r="N33" s="2">
        <v>-12.3173910323383</v>
      </c>
      <c r="O33" s="2" t="s">
        <v>17</v>
      </c>
    </row>
    <row r="34" spans="2:19" ht="14.25" customHeight="1" x14ac:dyDescent="0.3">
      <c r="B34" s="2">
        <v>32</v>
      </c>
      <c r="C34" s="2">
        <v>1.7500000000000002E-2</v>
      </c>
      <c r="D34" s="2">
        <v>18.296844179394899</v>
      </c>
      <c r="E34" s="2">
        <v>1.6407113295134299</v>
      </c>
      <c r="F34" s="2">
        <v>1.5169999999999999</v>
      </c>
      <c r="G34" s="2">
        <v>93.717390203655199</v>
      </c>
      <c r="H34" s="2" t="s">
        <v>16</v>
      </c>
      <c r="J34" s="2">
        <v>32</v>
      </c>
      <c r="K34" s="2">
        <v>0.02</v>
      </c>
      <c r="L34" s="2">
        <v>9.2287494018156195</v>
      </c>
      <c r="M34" s="2">
        <v>2.9868872745367101</v>
      </c>
      <c r="N34" s="2">
        <v>78.137954691114501</v>
      </c>
      <c r="O34" s="2" t="s">
        <v>18</v>
      </c>
    </row>
    <row r="35" spans="2:19" ht="14.25" customHeight="1" x14ac:dyDescent="0.3">
      <c r="B35" s="2">
        <v>33</v>
      </c>
      <c r="C35" s="2">
        <v>1.7500000000000002E-2</v>
      </c>
      <c r="D35" s="2">
        <v>-30.8604467902835</v>
      </c>
      <c r="E35" s="15">
        <v>2.68228351465879E-5</v>
      </c>
      <c r="F35" s="2">
        <v>0</v>
      </c>
      <c r="G35" s="2">
        <v>-12.3173910322999</v>
      </c>
      <c r="H35" s="2" t="s">
        <v>17</v>
      </c>
      <c r="J35" s="2">
        <v>33</v>
      </c>
      <c r="K35" s="2">
        <v>2.2499999999999999E-2</v>
      </c>
      <c r="L35" s="2">
        <v>1.0358574854535301E-3</v>
      </c>
      <c r="M35" s="15">
        <v>1.9346672727424601</v>
      </c>
      <c r="N35" s="2">
        <v>73.089867466692397</v>
      </c>
      <c r="O35" s="5" t="s">
        <v>6</v>
      </c>
    </row>
    <row r="36" spans="2:19" ht="14.25" customHeight="1" x14ac:dyDescent="0.3">
      <c r="B36" s="2">
        <v>34</v>
      </c>
      <c r="C36" s="2">
        <v>1.7500000000000002E-2</v>
      </c>
      <c r="D36" s="2">
        <v>9.1683954672533705</v>
      </c>
      <c r="E36" s="2">
        <v>1.34733270513403</v>
      </c>
      <c r="F36" s="2">
        <v>1.504</v>
      </c>
      <c r="G36" s="2">
        <v>95.100537211475299</v>
      </c>
      <c r="H36" s="2" t="s">
        <v>18</v>
      </c>
      <c r="J36" s="2">
        <v>34</v>
      </c>
      <c r="K36" s="2">
        <v>2.2499999999999999E-2</v>
      </c>
      <c r="L36" s="2">
        <v>18.424979405358499</v>
      </c>
      <c r="M36" s="2">
        <v>3.3126453593916798</v>
      </c>
      <c r="N36" s="2">
        <v>78.873261405828103</v>
      </c>
      <c r="O36" s="2" t="s">
        <v>16</v>
      </c>
    </row>
    <row r="37" spans="2:19" ht="14.25" customHeight="1" x14ac:dyDescent="0.3">
      <c r="B37" s="2">
        <v>35</v>
      </c>
      <c r="C37" s="2">
        <v>1.7500000000000002E-2</v>
      </c>
      <c r="D37" s="2">
        <v>1.03125794791867E-3</v>
      </c>
      <c r="E37" s="2">
        <v>0.655136547136009</v>
      </c>
      <c r="F37" s="2">
        <v>1.165</v>
      </c>
      <c r="G37" s="2">
        <v>99.441986617568901</v>
      </c>
      <c r="H37" s="11" t="s">
        <v>27</v>
      </c>
      <c r="J37" s="2">
        <v>35</v>
      </c>
      <c r="K37" s="2">
        <v>2.2499999999999999E-2</v>
      </c>
      <c r="L37" s="2">
        <v>-30.860446790165799</v>
      </c>
      <c r="M37" s="2">
        <v>2.14783541864608E-8</v>
      </c>
      <c r="N37" s="2">
        <v>-12.3173910322999</v>
      </c>
      <c r="O37" s="2" t="s">
        <v>17</v>
      </c>
      <c r="S37" s="15"/>
    </row>
    <row r="38" spans="2:19" ht="14.25" customHeight="1" x14ac:dyDescent="0.3">
      <c r="B38" s="2">
        <v>36</v>
      </c>
      <c r="C38" s="2">
        <v>0.02</v>
      </c>
      <c r="D38" s="2">
        <v>1.0312578737545299E-3</v>
      </c>
      <c r="E38" s="2">
        <v>0.65513653208396605</v>
      </c>
      <c r="F38" s="2">
        <v>1.165</v>
      </c>
      <c r="G38" s="2">
        <v>99.441986217628596</v>
      </c>
      <c r="H38" s="5" t="s">
        <v>6</v>
      </c>
      <c r="J38" s="2">
        <v>36</v>
      </c>
      <c r="K38" s="2">
        <v>2.2499999999999999E-2</v>
      </c>
      <c r="L38" s="2">
        <v>9.22874940179425</v>
      </c>
      <c r="M38" s="2">
        <v>2.98688727410065</v>
      </c>
      <c r="N38" s="2">
        <v>78.137954686802502</v>
      </c>
      <c r="O38" s="2" t="s">
        <v>18</v>
      </c>
    </row>
    <row r="39" spans="2:19" ht="14.25" customHeight="1" x14ac:dyDescent="0.3">
      <c r="B39" s="2">
        <v>37</v>
      </c>
      <c r="C39" s="2">
        <v>0.02</v>
      </c>
      <c r="D39" s="2">
        <v>18.2968441802585</v>
      </c>
      <c r="E39" s="2">
        <v>1.64071132687578</v>
      </c>
      <c r="F39" s="2">
        <v>1.5169999999999999</v>
      </c>
      <c r="G39" s="2">
        <v>93.717390228169293</v>
      </c>
      <c r="H39" s="2" t="s">
        <v>16</v>
      </c>
      <c r="J39" s="2">
        <v>37</v>
      </c>
      <c r="K39" s="2">
        <v>2.5000000000000001E-2</v>
      </c>
      <c r="L39" s="2">
        <v>1.0358574562378E-3</v>
      </c>
      <c r="M39" s="15">
        <v>1.9346671908636599</v>
      </c>
      <c r="N39" s="2">
        <v>73.089868921180596</v>
      </c>
      <c r="O39" s="5" t="s">
        <v>6</v>
      </c>
    </row>
    <row r="40" spans="2:19" ht="14.25" customHeight="1" x14ac:dyDescent="0.3">
      <c r="B40" s="2">
        <v>38</v>
      </c>
      <c r="C40" s="2">
        <v>0.02</v>
      </c>
      <c r="D40" s="2">
        <v>-30.860446790363898</v>
      </c>
      <c r="E40" s="15">
        <v>2.5067944282618301E-5</v>
      </c>
      <c r="F40" s="2">
        <v>0</v>
      </c>
      <c r="G40" s="2">
        <v>-12.3173910323383</v>
      </c>
      <c r="H40" s="2" t="s">
        <v>17</v>
      </c>
      <c r="J40" s="2">
        <v>38</v>
      </c>
      <c r="K40" s="2">
        <v>2.5000000000000001E-2</v>
      </c>
      <c r="L40" s="2">
        <v>18.4249794060458</v>
      </c>
      <c r="M40" s="2">
        <v>3.31264535706481</v>
      </c>
      <c r="N40" s="2">
        <v>78.873261384428901</v>
      </c>
      <c r="O40" s="2" t="s">
        <v>16</v>
      </c>
    </row>
    <row r="41" spans="2:19" ht="14.25" customHeight="1" x14ac:dyDescent="0.3">
      <c r="B41" s="2">
        <v>39</v>
      </c>
      <c r="C41" s="2">
        <v>0.02</v>
      </c>
      <c r="D41" s="2">
        <v>9.1683954672763903</v>
      </c>
      <c r="E41" s="2">
        <v>1.3473327058353699</v>
      </c>
      <c r="F41" s="2">
        <v>1.504</v>
      </c>
      <c r="G41" s="2">
        <v>95.100537208395494</v>
      </c>
      <c r="H41" s="2" t="s">
        <v>18</v>
      </c>
      <c r="J41" s="2">
        <v>39</v>
      </c>
      <c r="K41" s="2">
        <v>2.5000000000000001E-2</v>
      </c>
      <c r="L41" s="2">
        <v>-30.860446790228501</v>
      </c>
      <c r="M41" s="2">
        <v>2.1478354144288799E-8</v>
      </c>
      <c r="N41" s="2">
        <v>-12.3173910323383</v>
      </c>
      <c r="O41" s="2" t="s">
        <v>17</v>
      </c>
      <c r="S41" s="15"/>
    </row>
    <row r="42" spans="2:19" ht="14.25" customHeight="1" x14ac:dyDescent="0.3">
      <c r="B42" s="2">
        <v>40</v>
      </c>
      <c r="C42" s="2">
        <v>0.02</v>
      </c>
      <c r="D42" s="2">
        <v>1.0312578737545299E-3</v>
      </c>
      <c r="E42" s="2">
        <v>0.65513653208396605</v>
      </c>
      <c r="F42" s="2">
        <v>1.165</v>
      </c>
      <c r="G42" s="2">
        <v>99.441986217628596</v>
      </c>
      <c r="H42" s="11" t="s">
        <v>27</v>
      </c>
      <c r="J42" s="2">
        <v>40</v>
      </c>
      <c r="K42" s="2">
        <v>2.5000000000000001E-2</v>
      </c>
      <c r="L42" s="2">
        <v>9.2287494018156195</v>
      </c>
      <c r="M42" s="2">
        <v>2.9868872745367101</v>
      </c>
      <c r="N42" s="2">
        <v>78.137954691114501</v>
      </c>
      <c r="O42" s="2" t="s">
        <v>18</v>
      </c>
    </row>
    <row r="43" spans="2:19" ht="14.25" customHeight="1" x14ac:dyDescent="0.3">
      <c r="B43" s="2">
        <v>41</v>
      </c>
      <c r="C43" s="2">
        <v>2.2499999999999999E-2</v>
      </c>
      <c r="D43" s="2">
        <v>1.0312579024442201E-3</v>
      </c>
      <c r="E43" s="2">
        <v>0.65513654722148396</v>
      </c>
      <c r="F43" s="2">
        <v>1.165</v>
      </c>
      <c r="G43" s="2">
        <v>99.441986592321499</v>
      </c>
      <c r="H43" s="5" t="s">
        <v>6</v>
      </c>
      <c r="J43" s="2">
        <v>41</v>
      </c>
      <c r="K43" s="2">
        <v>2.75E-2</v>
      </c>
      <c r="L43" s="2">
        <v>1.0358574854535301E-3</v>
      </c>
      <c r="M43" s="15">
        <v>1.9346672727424601</v>
      </c>
      <c r="N43" s="2">
        <v>73.089867466692397</v>
      </c>
      <c r="O43" s="5" t="s">
        <v>6</v>
      </c>
    </row>
    <row r="44" spans="2:19" ht="14.25" customHeight="1" x14ac:dyDescent="0.3">
      <c r="B44" s="2">
        <v>42</v>
      </c>
      <c r="C44" s="2">
        <v>2.2499999999999999E-2</v>
      </c>
      <c r="D44" s="2">
        <v>18.296844179394899</v>
      </c>
      <c r="E44" s="2">
        <v>1.6407113295134299</v>
      </c>
      <c r="F44" s="2">
        <v>1.5169999999999999</v>
      </c>
      <c r="G44" s="2">
        <v>93.717390203655199</v>
      </c>
      <c r="H44" s="2" t="s">
        <v>16</v>
      </c>
      <c r="J44" s="2">
        <v>42</v>
      </c>
      <c r="K44" s="2">
        <v>2.75E-2</v>
      </c>
      <c r="L44" s="2">
        <v>18.424979405358499</v>
      </c>
      <c r="M44" s="2">
        <v>3.3126453593916798</v>
      </c>
      <c r="N44" s="2">
        <v>78.873261405828103</v>
      </c>
      <c r="O44" s="2" t="s">
        <v>16</v>
      </c>
    </row>
    <row r="45" spans="2:19" ht="14.25" customHeight="1" x14ac:dyDescent="0.3">
      <c r="B45" s="2">
        <v>43</v>
      </c>
      <c r="C45" s="2">
        <v>2.2499999999999999E-2</v>
      </c>
      <c r="D45" s="2">
        <v>-30.8604467902835</v>
      </c>
      <c r="E45" s="15">
        <v>2.68228351465879E-5</v>
      </c>
      <c r="F45" s="2">
        <v>0</v>
      </c>
      <c r="G45" s="2">
        <v>-12.3173910322999</v>
      </c>
      <c r="H45" s="2" t="s">
        <v>17</v>
      </c>
      <c r="J45" s="2">
        <v>43</v>
      </c>
      <c r="K45" s="2">
        <v>2.75E-2</v>
      </c>
      <c r="L45" s="2">
        <v>-30.860446790165799</v>
      </c>
      <c r="M45" s="2">
        <v>2.14783541864608E-8</v>
      </c>
      <c r="N45" s="2">
        <v>-12.3173910322999</v>
      </c>
      <c r="O45" s="2" t="s">
        <v>17</v>
      </c>
      <c r="S45" s="15"/>
    </row>
    <row r="46" spans="2:19" ht="14.25" customHeight="1" x14ac:dyDescent="0.3">
      <c r="B46" s="2">
        <v>44</v>
      </c>
      <c r="C46" s="2">
        <v>2.2499999999999999E-2</v>
      </c>
      <c r="D46" s="2">
        <v>9.1683954672533705</v>
      </c>
      <c r="E46" s="2">
        <v>1.34733270513403</v>
      </c>
      <c r="F46" s="2">
        <v>1.504</v>
      </c>
      <c r="G46" s="2">
        <v>95.100537211475299</v>
      </c>
      <c r="H46" s="2" t="s">
        <v>18</v>
      </c>
      <c r="J46" s="2">
        <v>44</v>
      </c>
      <c r="K46" s="2">
        <v>2.75E-2</v>
      </c>
      <c r="L46" s="2">
        <v>9.22874940179425</v>
      </c>
      <c r="M46" s="2">
        <v>2.98688727410065</v>
      </c>
      <c r="N46" s="2">
        <v>78.137954686802502</v>
      </c>
      <c r="O46" s="2" t="s">
        <v>18</v>
      </c>
    </row>
    <row r="47" spans="2:19" ht="14.25" customHeight="1" x14ac:dyDescent="0.3">
      <c r="B47" s="2">
        <v>45</v>
      </c>
      <c r="C47" s="2">
        <v>2.2499999999999999E-2</v>
      </c>
      <c r="D47" s="2">
        <v>1.03125794791867E-3</v>
      </c>
      <c r="E47" s="2">
        <v>0.655136547136009</v>
      </c>
      <c r="F47" s="2">
        <v>1.165</v>
      </c>
      <c r="G47" s="2">
        <v>99.441986617568901</v>
      </c>
      <c r="H47" s="11" t="s">
        <v>27</v>
      </c>
      <c r="J47" s="2">
        <v>45</v>
      </c>
      <c r="K47" s="2">
        <v>0.03</v>
      </c>
      <c r="L47" s="2">
        <v>1.0358574562378E-3</v>
      </c>
      <c r="M47" s="15">
        <v>1.9346671908636599</v>
      </c>
      <c r="N47" s="2">
        <v>73.089868921180596</v>
      </c>
      <c r="O47" s="5" t="s">
        <v>6</v>
      </c>
    </row>
    <row r="48" spans="2:19" ht="14.25" customHeight="1" x14ac:dyDescent="0.3">
      <c r="B48" s="2">
        <v>46</v>
      </c>
      <c r="C48" s="2">
        <v>2.5000000000000001E-2</v>
      </c>
      <c r="D48" s="2">
        <v>1.0312578737545299E-3</v>
      </c>
      <c r="E48" s="2">
        <v>0.65513653208396605</v>
      </c>
      <c r="F48" s="2">
        <v>1.165</v>
      </c>
      <c r="G48" s="2">
        <v>99.441986217628596</v>
      </c>
      <c r="H48" s="5" t="s">
        <v>6</v>
      </c>
      <c r="J48" s="2">
        <v>46</v>
      </c>
      <c r="K48" s="2">
        <v>0.03</v>
      </c>
      <c r="L48" s="2">
        <v>18.4249794060458</v>
      </c>
      <c r="M48" s="2">
        <v>3.31264535706481</v>
      </c>
      <c r="N48" s="2">
        <v>78.873261384428901</v>
      </c>
      <c r="O48" s="2" t="s">
        <v>16</v>
      </c>
    </row>
    <row r="49" spans="2:19" ht="14.25" customHeight="1" x14ac:dyDescent="0.3">
      <c r="B49" s="2">
        <v>47</v>
      </c>
      <c r="C49" s="2">
        <v>2.5000000000000001E-2</v>
      </c>
      <c r="D49" s="2">
        <v>18.2968441802585</v>
      </c>
      <c r="E49" s="2">
        <v>1.64071132687578</v>
      </c>
      <c r="F49" s="2">
        <v>1.5169999999999999</v>
      </c>
      <c r="G49" s="2">
        <v>93.717390228169293</v>
      </c>
      <c r="H49" s="2" t="s">
        <v>16</v>
      </c>
      <c r="J49" s="2">
        <v>47</v>
      </c>
      <c r="K49" s="2">
        <v>0.03</v>
      </c>
      <c r="L49" s="2">
        <v>-30.860446790228501</v>
      </c>
      <c r="M49" s="2">
        <v>2.1478354144288799E-8</v>
      </c>
      <c r="N49" s="2">
        <v>-12.3173910323383</v>
      </c>
      <c r="O49" s="2" t="s">
        <v>17</v>
      </c>
      <c r="S49" s="15"/>
    </row>
    <row r="50" spans="2:19" ht="14.25" customHeight="1" x14ac:dyDescent="0.3">
      <c r="B50" s="2">
        <v>48</v>
      </c>
      <c r="C50" s="2">
        <v>2.5000000000000001E-2</v>
      </c>
      <c r="D50" s="2">
        <v>-30.860446790363898</v>
      </c>
      <c r="E50" s="15">
        <v>2.5067944282618301E-5</v>
      </c>
      <c r="F50" s="2">
        <v>0</v>
      </c>
      <c r="G50" s="2">
        <v>-12.3173910323383</v>
      </c>
      <c r="H50" s="2" t="s">
        <v>17</v>
      </c>
      <c r="J50" s="2">
        <v>48</v>
      </c>
      <c r="K50" s="2">
        <v>0.03</v>
      </c>
      <c r="L50" s="2">
        <v>9.2287494018156195</v>
      </c>
      <c r="M50" s="2">
        <v>2.9868872745367101</v>
      </c>
      <c r="N50" s="2">
        <v>78.137954691114501</v>
      </c>
      <c r="O50" s="2" t="s">
        <v>18</v>
      </c>
    </row>
    <row r="51" spans="2:19" ht="14.25" customHeight="1" x14ac:dyDescent="0.3">
      <c r="B51" s="2">
        <v>49</v>
      </c>
      <c r="C51" s="2">
        <v>2.5000000000000001E-2</v>
      </c>
      <c r="D51" s="2">
        <v>9.1683954672763903</v>
      </c>
      <c r="E51" s="2">
        <v>1.3473327058353699</v>
      </c>
      <c r="F51" s="2">
        <v>1.504</v>
      </c>
      <c r="G51" s="2">
        <v>95.100537208395494</v>
      </c>
      <c r="H51" s="2" t="s">
        <v>18</v>
      </c>
      <c r="J51" s="2">
        <v>49</v>
      </c>
      <c r="K51" s="2">
        <v>3.2500000000000001E-2</v>
      </c>
      <c r="L51" s="2">
        <v>1.0358574854535301E-3</v>
      </c>
      <c r="M51" s="15">
        <v>1.9346672727424601</v>
      </c>
      <c r="N51" s="2">
        <v>73.089867466692397</v>
      </c>
      <c r="O51" s="5" t="s">
        <v>6</v>
      </c>
    </row>
    <row r="52" spans="2:19" ht="14.25" customHeight="1" x14ac:dyDescent="0.3">
      <c r="B52" s="2">
        <v>50</v>
      </c>
      <c r="C52" s="2">
        <v>2.5000000000000001E-2</v>
      </c>
      <c r="D52" s="2">
        <v>1.0312578737545299E-3</v>
      </c>
      <c r="E52" s="2">
        <v>0.65513653208396605</v>
      </c>
      <c r="F52" s="2">
        <v>1.165</v>
      </c>
      <c r="G52" s="2">
        <v>99.441986217628596</v>
      </c>
      <c r="H52" s="11" t="s">
        <v>27</v>
      </c>
      <c r="J52" s="2">
        <v>50</v>
      </c>
      <c r="K52" s="2">
        <v>3.2500000000000001E-2</v>
      </c>
      <c r="L52" s="2">
        <v>18.424979405358499</v>
      </c>
      <c r="M52" s="2">
        <v>3.3126453593916798</v>
      </c>
      <c r="N52" s="2">
        <v>78.873261405828103</v>
      </c>
      <c r="O52" s="2" t="s">
        <v>16</v>
      </c>
    </row>
    <row r="53" spans="2:19" ht="14.25" customHeight="1" x14ac:dyDescent="0.3">
      <c r="B53" s="2">
        <v>51</v>
      </c>
      <c r="C53" s="2">
        <v>2.75E-2</v>
      </c>
      <c r="D53" s="2">
        <v>1.0312579024442201E-3</v>
      </c>
      <c r="E53" s="2">
        <v>0.65513654722148396</v>
      </c>
      <c r="F53" s="2">
        <v>1.165</v>
      </c>
      <c r="G53" s="2">
        <v>99.441986592321499</v>
      </c>
      <c r="H53" s="5" t="s">
        <v>6</v>
      </c>
      <c r="J53" s="2">
        <v>51</v>
      </c>
      <c r="K53" s="2">
        <v>3.2500000000000001E-2</v>
      </c>
      <c r="L53" s="2">
        <v>-30.860446790165799</v>
      </c>
      <c r="M53" s="2">
        <v>2.14783541864608E-8</v>
      </c>
      <c r="N53" s="2">
        <v>-12.3173910322999</v>
      </c>
      <c r="O53" s="2" t="s">
        <v>17</v>
      </c>
      <c r="S53" s="15"/>
    </row>
    <row r="54" spans="2:19" ht="14.25" customHeight="1" x14ac:dyDescent="0.3">
      <c r="B54" s="2">
        <v>52</v>
      </c>
      <c r="C54" s="2">
        <v>2.75E-2</v>
      </c>
      <c r="D54" s="2">
        <v>18.296844179394899</v>
      </c>
      <c r="E54" s="2">
        <v>1.6407113295134299</v>
      </c>
      <c r="F54" s="2">
        <v>1.5169999999999999</v>
      </c>
      <c r="G54" s="2">
        <v>93.717390203655199</v>
      </c>
      <c r="H54" s="2" t="s">
        <v>16</v>
      </c>
      <c r="J54" s="2">
        <v>52</v>
      </c>
      <c r="K54" s="2">
        <v>3.2500000000000001E-2</v>
      </c>
      <c r="L54" s="2">
        <v>9.22874940179425</v>
      </c>
      <c r="M54" s="2">
        <v>2.98688727410065</v>
      </c>
      <c r="N54" s="2">
        <v>78.137954686802502</v>
      </c>
      <c r="O54" s="2" t="s">
        <v>18</v>
      </c>
    </row>
    <row r="55" spans="2:19" ht="14.25" customHeight="1" x14ac:dyDescent="0.3">
      <c r="B55" s="2">
        <v>53</v>
      </c>
      <c r="C55" s="2">
        <v>2.75E-2</v>
      </c>
      <c r="D55" s="2">
        <v>-30.8604467902835</v>
      </c>
      <c r="E55" s="15">
        <v>2.68228351465879E-5</v>
      </c>
      <c r="F55" s="2">
        <v>0</v>
      </c>
      <c r="G55" s="2">
        <v>-12.3173910322999</v>
      </c>
      <c r="H55" s="2" t="s">
        <v>17</v>
      </c>
      <c r="J55" s="2">
        <v>53</v>
      </c>
      <c r="K55" s="2">
        <v>3.5000000000000003E-2</v>
      </c>
      <c r="L55" s="2">
        <v>1.0358574562378E-3</v>
      </c>
      <c r="M55" s="15">
        <v>1.9346671908636599</v>
      </c>
      <c r="N55" s="2">
        <v>73.089868921180596</v>
      </c>
      <c r="O55" s="5" t="s">
        <v>6</v>
      </c>
    </row>
    <row r="56" spans="2:19" ht="14.25" customHeight="1" x14ac:dyDescent="0.3">
      <c r="B56" s="2">
        <v>54</v>
      </c>
      <c r="C56" s="2">
        <v>2.75E-2</v>
      </c>
      <c r="D56" s="2">
        <v>9.1683954672533705</v>
      </c>
      <c r="E56" s="2">
        <v>1.34733270513403</v>
      </c>
      <c r="F56" s="2">
        <v>1.504</v>
      </c>
      <c r="G56" s="2">
        <v>95.100537211475299</v>
      </c>
      <c r="H56" s="2" t="s">
        <v>18</v>
      </c>
      <c r="J56" s="2">
        <v>54</v>
      </c>
      <c r="K56" s="2">
        <v>3.5000000000000003E-2</v>
      </c>
      <c r="L56" s="2">
        <v>18.4249794060458</v>
      </c>
      <c r="M56" s="2">
        <v>3.31264535706481</v>
      </c>
      <c r="N56" s="2">
        <v>78.873261384428901</v>
      </c>
      <c r="O56" s="2" t="s">
        <v>16</v>
      </c>
    </row>
    <row r="57" spans="2:19" ht="14.25" customHeight="1" x14ac:dyDescent="0.3">
      <c r="B57" s="2">
        <v>55</v>
      </c>
      <c r="C57" s="2">
        <v>2.75E-2</v>
      </c>
      <c r="D57" s="2">
        <v>1.03125794791867E-3</v>
      </c>
      <c r="E57" s="2">
        <v>0.655136547136009</v>
      </c>
      <c r="F57" s="2">
        <v>1.165</v>
      </c>
      <c r="G57" s="2">
        <v>99.441986617568901</v>
      </c>
      <c r="H57" s="11" t="s">
        <v>27</v>
      </c>
      <c r="J57" s="2">
        <v>55</v>
      </c>
      <c r="K57" s="2">
        <v>3.5000000000000003E-2</v>
      </c>
      <c r="L57" s="2">
        <v>-30.860446790228501</v>
      </c>
      <c r="M57" s="2">
        <v>2.1478354144288799E-8</v>
      </c>
      <c r="N57" s="2">
        <v>-12.3173910323383</v>
      </c>
      <c r="O57" s="2" t="s">
        <v>17</v>
      </c>
      <c r="S57" s="15"/>
    </row>
    <row r="58" spans="2:19" ht="14.25" customHeight="1" x14ac:dyDescent="0.3">
      <c r="B58" s="2">
        <v>56</v>
      </c>
      <c r="C58" s="2">
        <v>0.03</v>
      </c>
      <c r="D58" s="2">
        <v>1.0312578737545299E-3</v>
      </c>
      <c r="E58" s="2">
        <v>0.65513653208396605</v>
      </c>
      <c r="F58" s="2">
        <v>1.165</v>
      </c>
      <c r="G58" s="2">
        <v>99.441986217628596</v>
      </c>
      <c r="H58" s="5" t="s">
        <v>6</v>
      </c>
      <c r="J58" s="2">
        <v>56</v>
      </c>
      <c r="K58" s="2">
        <v>3.5000000000000003E-2</v>
      </c>
      <c r="L58" s="2">
        <v>9.2287494018156195</v>
      </c>
      <c r="M58" s="2">
        <v>2.9868872745367101</v>
      </c>
      <c r="N58" s="2">
        <v>78.137954691114501</v>
      </c>
      <c r="O58" s="2" t="s">
        <v>18</v>
      </c>
    </row>
    <row r="59" spans="2:19" ht="14.25" customHeight="1" x14ac:dyDescent="0.3">
      <c r="B59" s="2">
        <v>57</v>
      </c>
      <c r="C59" s="2">
        <v>0.03</v>
      </c>
      <c r="D59" s="2">
        <v>18.2968441802585</v>
      </c>
      <c r="E59" s="2">
        <v>1.64071132687578</v>
      </c>
      <c r="F59" s="2">
        <v>1.5169999999999999</v>
      </c>
      <c r="G59" s="2">
        <v>93.717390228169293</v>
      </c>
      <c r="H59" s="2" t="s">
        <v>16</v>
      </c>
      <c r="J59" s="2">
        <v>57</v>
      </c>
      <c r="K59" s="2">
        <v>3.7499999999999999E-2</v>
      </c>
      <c r="L59" s="2">
        <v>1.0358574854535301E-3</v>
      </c>
      <c r="M59" s="15">
        <v>1.9346672727424601</v>
      </c>
      <c r="N59" s="2">
        <v>73.089867466692397</v>
      </c>
      <c r="O59" s="5" t="s">
        <v>6</v>
      </c>
    </row>
    <row r="60" spans="2:19" ht="14.25" customHeight="1" x14ac:dyDescent="0.3">
      <c r="B60" s="2">
        <v>58</v>
      </c>
      <c r="C60" s="2">
        <v>0.03</v>
      </c>
      <c r="D60" s="2">
        <v>-30.860446790363898</v>
      </c>
      <c r="E60" s="15">
        <v>2.5067944282618301E-5</v>
      </c>
      <c r="F60" s="2">
        <v>0</v>
      </c>
      <c r="G60" s="2">
        <v>-12.3173910323383</v>
      </c>
      <c r="H60" s="2" t="s">
        <v>17</v>
      </c>
      <c r="J60" s="2">
        <v>58</v>
      </c>
      <c r="K60" s="2">
        <v>3.7499999999999999E-2</v>
      </c>
      <c r="L60" s="2">
        <v>18.424979405358499</v>
      </c>
      <c r="M60" s="2">
        <v>3.3126453593916798</v>
      </c>
      <c r="N60" s="2">
        <v>78.873261405828103</v>
      </c>
      <c r="O60" s="2" t="s">
        <v>16</v>
      </c>
    </row>
    <row r="61" spans="2:19" ht="14.25" customHeight="1" x14ac:dyDescent="0.3">
      <c r="B61" s="2">
        <v>59</v>
      </c>
      <c r="C61" s="2">
        <v>0.03</v>
      </c>
      <c r="D61" s="2">
        <v>9.1683954672763903</v>
      </c>
      <c r="E61" s="2">
        <v>1.3473327058353699</v>
      </c>
      <c r="F61" s="2">
        <v>1.504</v>
      </c>
      <c r="G61" s="2">
        <v>95.100537208395494</v>
      </c>
      <c r="H61" s="2" t="s">
        <v>18</v>
      </c>
      <c r="J61" s="2">
        <v>59</v>
      </c>
      <c r="K61" s="2">
        <v>3.7499999999999999E-2</v>
      </c>
      <c r="L61" s="2">
        <v>-30.860446790165799</v>
      </c>
      <c r="M61" s="2">
        <v>2.14783541864608E-8</v>
      </c>
      <c r="N61" s="2">
        <v>-12.3173910322999</v>
      </c>
      <c r="O61" s="2" t="s">
        <v>17</v>
      </c>
      <c r="S61" s="15"/>
    </row>
    <row r="62" spans="2:19" ht="14.25" customHeight="1" x14ac:dyDescent="0.3">
      <c r="B62" s="2">
        <v>60</v>
      </c>
      <c r="C62" s="2">
        <v>0.03</v>
      </c>
      <c r="D62" s="2">
        <v>1.0312578737545299E-3</v>
      </c>
      <c r="E62" s="2">
        <v>0.65513653208396605</v>
      </c>
      <c r="F62" s="2">
        <v>1.165</v>
      </c>
      <c r="G62" s="2">
        <v>99.441986217628596</v>
      </c>
      <c r="H62" s="11" t="s">
        <v>27</v>
      </c>
      <c r="J62" s="2">
        <v>60</v>
      </c>
      <c r="K62" s="2">
        <v>3.7499999999999999E-2</v>
      </c>
      <c r="L62" s="2">
        <v>9.22874940179425</v>
      </c>
      <c r="M62" s="2">
        <v>2.98688727410065</v>
      </c>
      <c r="N62" s="2">
        <v>78.137954686802502</v>
      </c>
      <c r="O62" s="2" t="s">
        <v>18</v>
      </c>
    </row>
    <row r="63" spans="2:19" ht="14.25" customHeight="1" x14ac:dyDescent="0.3">
      <c r="B63" s="2">
        <v>61</v>
      </c>
      <c r="C63" s="2">
        <v>3.2500000000000001E-2</v>
      </c>
      <c r="D63" s="2">
        <v>1.0312579024442201E-3</v>
      </c>
      <c r="E63" s="2">
        <v>0.65513654722148396</v>
      </c>
      <c r="F63" s="2">
        <v>1.165</v>
      </c>
      <c r="G63" s="2">
        <v>99.441986592321499</v>
      </c>
      <c r="H63" s="5" t="s">
        <v>6</v>
      </c>
      <c r="J63" s="2">
        <v>61</v>
      </c>
      <c r="K63" s="2">
        <v>0.04</v>
      </c>
      <c r="L63" s="2">
        <v>1.0358574562378E-3</v>
      </c>
      <c r="M63" s="2">
        <v>1.9346671908636599</v>
      </c>
      <c r="N63" s="2">
        <v>73.089868921180596</v>
      </c>
      <c r="O63" s="5" t="s">
        <v>6</v>
      </c>
    </row>
    <row r="64" spans="2:19" ht="14.25" customHeight="1" x14ac:dyDescent="0.3">
      <c r="B64" s="2">
        <v>62</v>
      </c>
      <c r="C64" s="2">
        <v>3.2500000000000001E-2</v>
      </c>
      <c r="D64" s="2">
        <v>18.296844179394899</v>
      </c>
      <c r="E64" s="2">
        <v>1.6407113295134299</v>
      </c>
      <c r="F64" s="2">
        <v>1.5169999999999999</v>
      </c>
      <c r="G64" s="2">
        <v>93.717390203655199</v>
      </c>
      <c r="H64" s="2" t="s">
        <v>16</v>
      </c>
      <c r="J64" s="2">
        <v>62</v>
      </c>
      <c r="K64" s="2">
        <v>0.04</v>
      </c>
      <c r="L64" s="2">
        <v>18.4249794060458</v>
      </c>
      <c r="M64" s="2">
        <v>3.31264535706481</v>
      </c>
      <c r="N64" s="2">
        <v>78.873261384428901</v>
      </c>
      <c r="O64" s="2" t="s">
        <v>16</v>
      </c>
    </row>
    <row r="65" spans="2:19" ht="14.25" customHeight="1" x14ac:dyDescent="0.3">
      <c r="B65" s="2">
        <v>63</v>
      </c>
      <c r="C65" s="2">
        <v>3.2500000000000001E-2</v>
      </c>
      <c r="D65" s="2">
        <v>-30.8604467902835</v>
      </c>
      <c r="E65" s="15">
        <v>2.68228351465879E-5</v>
      </c>
      <c r="F65" s="2">
        <v>0</v>
      </c>
      <c r="G65" s="2">
        <v>-12.3173910322999</v>
      </c>
      <c r="H65" s="2" t="s">
        <v>17</v>
      </c>
      <c r="J65" s="2">
        <v>63</v>
      </c>
      <c r="K65" s="2">
        <v>0.04</v>
      </c>
      <c r="L65" s="2">
        <v>-30.860446790228501</v>
      </c>
      <c r="M65" s="2">
        <v>2.1478354144288799E-8</v>
      </c>
      <c r="N65" s="2">
        <v>-12.3173910323383</v>
      </c>
      <c r="O65" s="2" t="s">
        <v>17</v>
      </c>
      <c r="S65" s="15"/>
    </row>
    <row r="66" spans="2:19" ht="14.25" customHeight="1" x14ac:dyDescent="0.3">
      <c r="B66" s="2">
        <v>64</v>
      </c>
      <c r="C66" s="2">
        <v>3.2500000000000001E-2</v>
      </c>
      <c r="D66" s="2">
        <v>9.1683954672533705</v>
      </c>
      <c r="E66" s="2">
        <v>1.34733270513403</v>
      </c>
      <c r="F66" s="2">
        <v>1.504</v>
      </c>
      <c r="G66" s="2">
        <v>95.100537211475299</v>
      </c>
      <c r="H66" s="2" t="s">
        <v>18</v>
      </c>
      <c r="J66" s="2">
        <v>64</v>
      </c>
      <c r="K66" s="2">
        <v>0.04</v>
      </c>
      <c r="L66" s="2">
        <v>9.2287494018156195</v>
      </c>
      <c r="M66" s="2">
        <v>2.9868872745367101</v>
      </c>
      <c r="N66" s="2">
        <v>78.137954691114501</v>
      </c>
      <c r="O66" s="2" t="s">
        <v>18</v>
      </c>
    </row>
    <row r="67" spans="2:19" ht="14.25" customHeight="1" x14ac:dyDescent="0.3">
      <c r="B67" s="2">
        <v>65</v>
      </c>
      <c r="C67" s="2">
        <v>3.2500000000000001E-2</v>
      </c>
      <c r="D67" s="2">
        <v>1.03125794791867E-3</v>
      </c>
      <c r="E67" s="2">
        <v>0.655136547136009</v>
      </c>
      <c r="F67" s="2">
        <v>1.165</v>
      </c>
      <c r="G67" s="2">
        <v>99.441986617568901</v>
      </c>
      <c r="H67" s="11" t="s">
        <v>27</v>
      </c>
      <c r="J67" s="2">
        <v>65</v>
      </c>
      <c r="K67" s="2">
        <v>4.2500000000000003E-2</v>
      </c>
      <c r="L67" s="2">
        <v>1.0358574854535301E-3</v>
      </c>
      <c r="M67" s="15">
        <v>1.9346672727424601</v>
      </c>
      <c r="N67" s="2">
        <v>73.089867466692397</v>
      </c>
      <c r="O67" s="5" t="s">
        <v>6</v>
      </c>
    </row>
    <row r="68" spans="2:19" ht="14.25" customHeight="1" x14ac:dyDescent="0.3">
      <c r="B68" s="2">
        <v>66</v>
      </c>
      <c r="C68" s="2">
        <v>3.5000000000000003E-2</v>
      </c>
      <c r="D68" s="2">
        <v>1.0312578737545299E-3</v>
      </c>
      <c r="E68" s="2">
        <v>0.65513653208396605</v>
      </c>
      <c r="F68" s="2">
        <v>1.165</v>
      </c>
      <c r="G68" s="2">
        <v>99.441986217628596</v>
      </c>
      <c r="H68" s="5" t="s">
        <v>6</v>
      </c>
      <c r="J68" s="2">
        <v>66</v>
      </c>
      <c r="K68" s="2">
        <v>4.2500000000000003E-2</v>
      </c>
      <c r="L68" s="2">
        <v>18.424979405358499</v>
      </c>
      <c r="M68" s="2">
        <v>3.3126453593916798</v>
      </c>
      <c r="N68" s="2">
        <v>78.873261405828103</v>
      </c>
      <c r="O68" s="2" t="s">
        <v>16</v>
      </c>
    </row>
    <row r="69" spans="2:19" ht="14.25" customHeight="1" x14ac:dyDescent="0.3">
      <c r="B69" s="2">
        <v>67</v>
      </c>
      <c r="C69" s="2">
        <v>3.5000000000000003E-2</v>
      </c>
      <c r="D69" s="2">
        <v>18.2968441802585</v>
      </c>
      <c r="E69" s="2">
        <v>1.64071132687578</v>
      </c>
      <c r="F69" s="2">
        <v>1.5169999999999999</v>
      </c>
      <c r="G69" s="2">
        <v>93.717390228169293</v>
      </c>
      <c r="H69" s="2" t="s">
        <v>16</v>
      </c>
      <c r="J69" s="2">
        <v>67</v>
      </c>
      <c r="K69" s="2">
        <v>4.2500000000000003E-2</v>
      </c>
      <c r="L69" s="2">
        <v>-30.860446790165799</v>
      </c>
      <c r="M69" s="2">
        <v>2.14783541864608E-8</v>
      </c>
      <c r="N69" s="2">
        <v>-12.3173910322999</v>
      </c>
      <c r="O69" s="2" t="s">
        <v>17</v>
      </c>
      <c r="S69" s="15"/>
    </row>
    <row r="70" spans="2:19" ht="14.25" customHeight="1" x14ac:dyDescent="0.3">
      <c r="B70" s="2">
        <v>68</v>
      </c>
      <c r="C70" s="2">
        <v>3.5000000000000003E-2</v>
      </c>
      <c r="D70" s="2">
        <v>-30.860446790363898</v>
      </c>
      <c r="E70" s="15">
        <v>2.5067944282618301E-5</v>
      </c>
      <c r="F70" s="2">
        <v>0</v>
      </c>
      <c r="G70" s="2">
        <v>-12.3173910323383</v>
      </c>
      <c r="H70" s="2" t="s">
        <v>17</v>
      </c>
      <c r="J70" s="2">
        <v>68</v>
      </c>
      <c r="K70" s="2">
        <v>4.2500000000000003E-2</v>
      </c>
      <c r="L70" s="2">
        <v>9.22874940179425</v>
      </c>
      <c r="M70" s="2">
        <v>2.98688727410065</v>
      </c>
      <c r="N70" s="2">
        <v>78.137954686802502</v>
      </c>
      <c r="O70" s="2" t="s">
        <v>18</v>
      </c>
    </row>
    <row r="71" spans="2:19" ht="14.25" customHeight="1" x14ac:dyDescent="0.3">
      <c r="B71" s="2">
        <v>69</v>
      </c>
      <c r="C71" s="2">
        <v>3.5000000000000003E-2</v>
      </c>
      <c r="D71" s="2">
        <v>9.1683954672763903</v>
      </c>
      <c r="E71" s="2">
        <v>1.3473327058353699</v>
      </c>
      <c r="F71" s="2">
        <v>1.504</v>
      </c>
      <c r="G71" s="2">
        <v>95.100537208395494</v>
      </c>
      <c r="H71" s="2" t="s">
        <v>18</v>
      </c>
      <c r="J71" s="2">
        <v>69</v>
      </c>
      <c r="K71" s="2">
        <v>4.4999999999999998E-2</v>
      </c>
      <c r="L71" s="2">
        <v>1.0358574562378E-3</v>
      </c>
      <c r="M71" s="15">
        <v>1.9346671908636599</v>
      </c>
      <c r="N71" s="2">
        <v>73.089868921180596</v>
      </c>
      <c r="O71" s="5" t="s">
        <v>6</v>
      </c>
    </row>
    <row r="72" spans="2:19" ht="14.25" customHeight="1" x14ac:dyDescent="0.3">
      <c r="B72" s="2">
        <v>70</v>
      </c>
      <c r="C72" s="2">
        <v>3.5000000000000003E-2</v>
      </c>
      <c r="D72" s="2">
        <v>1.0312578737545299E-3</v>
      </c>
      <c r="E72" s="2">
        <v>0.65513653208396605</v>
      </c>
      <c r="F72" s="2">
        <v>1.165</v>
      </c>
      <c r="G72" s="2">
        <v>99.441986217628596</v>
      </c>
      <c r="H72" s="11" t="s">
        <v>27</v>
      </c>
      <c r="J72" s="2">
        <v>70</v>
      </c>
      <c r="K72" s="2">
        <v>4.4999999999999998E-2</v>
      </c>
      <c r="L72" s="2">
        <v>18.4249794060458</v>
      </c>
      <c r="M72" s="2">
        <v>3.31264535706481</v>
      </c>
      <c r="N72" s="2">
        <v>78.873261384428901</v>
      </c>
      <c r="O72" s="2" t="s">
        <v>16</v>
      </c>
    </row>
    <row r="73" spans="2:19" ht="14.25" customHeight="1" x14ac:dyDescent="0.3">
      <c r="B73" s="2">
        <v>71</v>
      </c>
      <c r="C73" s="2">
        <v>3.7499999999999999E-2</v>
      </c>
      <c r="D73" s="2">
        <v>1.0312579024442201E-3</v>
      </c>
      <c r="E73" s="2">
        <v>0.65513654722148396</v>
      </c>
      <c r="F73" s="2">
        <v>1.165</v>
      </c>
      <c r="G73" s="2">
        <v>99.441986592321499</v>
      </c>
      <c r="H73" s="5" t="s">
        <v>6</v>
      </c>
      <c r="J73" s="2">
        <v>71</v>
      </c>
      <c r="K73" s="2">
        <v>4.4999999999999998E-2</v>
      </c>
      <c r="L73" s="2">
        <v>-30.860446790228501</v>
      </c>
      <c r="M73" s="2">
        <v>2.1478354144288799E-8</v>
      </c>
      <c r="N73" s="2">
        <v>-12.3173910323383</v>
      </c>
      <c r="O73" s="2" t="s">
        <v>17</v>
      </c>
      <c r="S73" s="15"/>
    </row>
    <row r="74" spans="2:19" ht="14.25" customHeight="1" x14ac:dyDescent="0.3">
      <c r="B74" s="2">
        <v>72</v>
      </c>
      <c r="C74" s="2">
        <v>3.7499999999999999E-2</v>
      </c>
      <c r="D74" s="2">
        <v>18.296844179394899</v>
      </c>
      <c r="E74" s="2">
        <v>1.6407113295134299</v>
      </c>
      <c r="F74" s="2">
        <v>1.5169999999999999</v>
      </c>
      <c r="G74" s="2">
        <v>93.717390203655199</v>
      </c>
      <c r="H74" s="2" t="s">
        <v>16</v>
      </c>
      <c r="J74" s="2">
        <v>72</v>
      </c>
      <c r="K74" s="2">
        <v>4.4999999999999998E-2</v>
      </c>
      <c r="L74" s="2">
        <v>9.2287494018156195</v>
      </c>
      <c r="M74" s="2">
        <v>2.9868872745367101</v>
      </c>
      <c r="N74" s="2">
        <v>78.137954691114501</v>
      </c>
      <c r="O74" s="2" t="s">
        <v>18</v>
      </c>
    </row>
    <row r="75" spans="2:19" ht="14.25" customHeight="1" x14ac:dyDescent="0.3">
      <c r="B75" s="2">
        <v>73</v>
      </c>
      <c r="C75" s="2">
        <v>3.7499999999999999E-2</v>
      </c>
      <c r="D75" s="2">
        <v>-30.8604467902835</v>
      </c>
      <c r="E75" s="15">
        <v>2.68228351465879E-5</v>
      </c>
      <c r="F75" s="2">
        <v>0</v>
      </c>
      <c r="G75" s="2">
        <v>-12.3173910322999</v>
      </c>
      <c r="H75" s="2" t="s">
        <v>17</v>
      </c>
      <c r="J75" s="2">
        <v>73</v>
      </c>
      <c r="K75" s="2">
        <v>4.7500000000000001E-2</v>
      </c>
      <c r="L75" s="2">
        <v>1.0358574854535301E-3</v>
      </c>
      <c r="M75" s="15">
        <v>1.9346672727424601</v>
      </c>
      <c r="N75" s="2">
        <v>73.089867466692397</v>
      </c>
      <c r="O75" s="5" t="s">
        <v>6</v>
      </c>
    </row>
    <row r="76" spans="2:19" ht="14.25" customHeight="1" x14ac:dyDescent="0.3">
      <c r="B76" s="2">
        <v>74</v>
      </c>
      <c r="C76" s="2">
        <v>3.7499999999999999E-2</v>
      </c>
      <c r="D76" s="2">
        <v>9.1683954672533705</v>
      </c>
      <c r="E76" s="2">
        <v>1.34733270513403</v>
      </c>
      <c r="F76" s="2">
        <v>1.504</v>
      </c>
      <c r="G76" s="2">
        <v>95.100537211475299</v>
      </c>
      <c r="H76" s="2" t="s">
        <v>18</v>
      </c>
      <c r="J76" s="2">
        <v>74</v>
      </c>
      <c r="K76" s="2">
        <v>4.7500000000000001E-2</v>
      </c>
      <c r="L76" s="2">
        <v>18.424979405358499</v>
      </c>
      <c r="M76" s="2">
        <v>3.3126453593916798</v>
      </c>
      <c r="N76" s="2">
        <v>78.873261405828103</v>
      </c>
      <c r="O76" s="2" t="s">
        <v>16</v>
      </c>
    </row>
    <row r="77" spans="2:19" ht="14.25" customHeight="1" x14ac:dyDescent="0.3">
      <c r="B77" s="2">
        <v>75</v>
      </c>
      <c r="C77" s="2">
        <v>3.7499999999999999E-2</v>
      </c>
      <c r="D77" s="2">
        <v>1.03125794791867E-3</v>
      </c>
      <c r="E77" s="2">
        <v>0.655136547136009</v>
      </c>
      <c r="F77" s="2">
        <v>1.165</v>
      </c>
      <c r="G77" s="2">
        <v>99.441986617568901</v>
      </c>
      <c r="H77" s="11" t="s">
        <v>27</v>
      </c>
      <c r="J77" s="2">
        <v>75</v>
      </c>
      <c r="K77" s="2">
        <v>4.7500000000000001E-2</v>
      </c>
      <c r="L77" s="2">
        <v>-30.860446790165799</v>
      </c>
      <c r="M77" s="2">
        <v>2.14783541864608E-8</v>
      </c>
      <c r="N77" s="2">
        <v>-12.3173910322999</v>
      </c>
      <c r="O77" s="2" t="s">
        <v>17</v>
      </c>
      <c r="S77" s="15"/>
    </row>
    <row r="78" spans="2:19" ht="14.25" customHeight="1" x14ac:dyDescent="0.3">
      <c r="B78" s="2">
        <v>76</v>
      </c>
      <c r="C78" s="2">
        <v>0.04</v>
      </c>
      <c r="D78" s="2">
        <v>1.0312578737545299E-3</v>
      </c>
      <c r="E78" s="2">
        <v>0.65513653208396605</v>
      </c>
      <c r="F78" s="2">
        <v>1.165</v>
      </c>
      <c r="G78" s="2">
        <v>99.441986217628596</v>
      </c>
      <c r="H78" s="5" t="s">
        <v>6</v>
      </c>
      <c r="J78" s="2">
        <v>76</v>
      </c>
      <c r="K78" s="2">
        <v>4.7500000000000001E-2</v>
      </c>
      <c r="L78" s="2">
        <v>9.22874940179425</v>
      </c>
      <c r="M78" s="2">
        <v>2.98688727410065</v>
      </c>
      <c r="N78" s="2">
        <v>78.137954686802502</v>
      </c>
      <c r="O78" s="2" t="s">
        <v>18</v>
      </c>
    </row>
    <row r="79" spans="2:19" ht="14.25" customHeight="1" x14ac:dyDescent="0.3">
      <c r="B79" s="2">
        <v>77</v>
      </c>
      <c r="C79" s="2">
        <v>0.04</v>
      </c>
      <c r="D79" s="2">
        <v>18.2968441802585</v>
      </c>
      <c r="E79" s="2">
        <v>1.64071132687578</v>
      </c>
      <c r="F79" s="2">
        <v>1.5169999999999999</v>
      </c>
      <c r="G79" s="2">
        <v>93.717390228169293</v>
      </c>
      <c r="H79" s="2" t="s">
        <v>16</v>
      </c>
      <c r="J79" s="2">
        <v>77</v>
      </c>
      <c r="K79" s="2">
        <v>0.05</v>
      </c>
      <c r="L79" s="2">
        <v>1.0358574562378E-3</v>
      </c>
      <c r="M79" s="15">
        <v>1.9346671908636599</v>
      </c>
      <c r="N79" s="2">
        <v>73.089868921180596</v>
      </c>
      <c r="O79" s="5" t="s">
        <v>6</v>
      </c>
    </row>
    <row r="80" spans="2:19" ht="14.25" customHeight="1" x14ac:dyDescent="0.3">
      <c r="B80" s="2">
        <v>78</v>
      </c>
      <c r="C80" s="2">
        <v>0.04</v>
      </c>
      <c r="D80" s="2">
        <v>-30.860446790363898</v>
      </c>
      <c r="E80" s="15">
        <v>2.5067944282618301E-5</v>
      </c>
      <c r="F80" s="2">
        <v>0</v>
      </c>
      <c r="G80" s="2">
        <v>-12.3173910323383</v>
      </c>
      <c r="H80" s="2" t="s">
        <v>17</v>
      </c>
      <c r="J80" s="2">
        <v>78</v>
      </c>
      <c r="K80" s="2">
        <v>0.05</v>
      </c>
      <c r="L80" s="2">
        <v>18.4249794060458</v>
      </c>
      <c r="M80" s="2">
        <v>3.31264535706481</v>
      </c>
      <c r="N80" s="2">
        <v>78.873261384428901</v>
      </c>
      <c r="O80" s="2" t="s">
        <v>16</v>
      </c>
    </row>
    <row r="81" spans="2:19" ht="14.25" customHeight="1" x14ac:dyDescent="0.3">
      <c r="B81" s="2">
        <v>79</v>
      </c>
      <c r="C81" s="2">
        <v>0.04</v>
      </c>
      <c r="D81" s="2">
        <v>9.1683954672763903</v>
      </c>
      <c r="E81" s="2">
        <v>1.3473327058353699</v>
      </c>
      <c r="F81" s="2">
        <v>1.504</v>
      </c>
      <c r="G81" s="2">
        <v>95.100537208395494</v>
      </c>
      <c r="H81" s="2" t="s">
        <v>18</v>
      </c>
      <c r="J81" s="2">
        <v>79</v>
      </c>
      <c r="K81" s="2">
        <v>0.05</v>
      </c>
      <c r="L81" s="2">
        <v>-30.860446790228501</v>
      </c>
      <c r="M81" s="2">
        <v>2.1478354144288799E-8</v>
      </c>
      <c r="N81" s="2">
        <v>-12.3173910323383</v>
      </c>
      <c r="O81" s="2" t="s">
        <v>17</v>
      </c>
      <c r="S81" s="15"/>
    </row>
    <row r="82" spans="2:19" ht="14.25" customHeight="1" x14ac:dyDescent="0.3">
      <c r="B82" s="2">
        <v>80</v>
      </c>
      <c r="C82" s="2">
        <v>0.04</v>
      </c>
      <c r="D82" s="2">
        <v>1.0312578737545299E-3</v>
      </c>
      <c r="E82" s="2">
        <v>0.65513653208396605</v>
      </c>
      <c r="F82" s="2">
        <v>1.165</v>
      </c>
      <c r="G82" s="2">
        <v>99.441986217628596</v>
      </c>
      <c r="H82" s="11" t="s">
        <v>27</v>
      </c>
      <c r="J82" s="2">
        <v>80</v>
      </c>
      <c r="K82" s="2">
        <v>0.05</v>
      </c>
      <c r="L82" s="2">
        <v>9.2287494018156195</v>
      </c>
      <c r="M82" s="2">
        <v>2.9868872745367101</v>
      </c>
      <c r="N82" s="2">
        <v>78.137954691114501</v>
      </c>
      <c r="O82" s="2" t="s">
        <v>18</v>
      </c>
    </row>
    <row r="83" spans="2:19" ht="14.25" customHeight="1" x14ac:dyDescent="0.3">
      <c r="B83" s="2">
        <v>81</v>
      </c>
      <c r="C83" s="2">
        <v>4.2500000000000003E-2</v>
      </c>
      <c r="D83" s="2">
        <v>1.0312579024442201E-3</v>
      </c>
      <c r="E83" s="2">
        <v>0.65513654722148396</v>
      </c>
      <c r="F83" s="2">
        <v>1.165</v>
      </c>
      <c r="G83" s="2">
        <v>99.441986592321499</v>
      </c>
      <c r="H83" s="5" t="s">
        <v>6</v>
      </c>
      <c r="J83" s="2">
        <v>81</v>
      </c>
      <c r="K83" s="2">
        <v>5.2499999999999998E-2</v>
      </c>
      <c r="L83" s="2">
        <v>1.0358574854535301E-3</v>
      </c>
      <c r="M83" s="15">
        <v>1.9346672727424601</v>
      </c>
      <c r="N83" s="2">
        <v>73.089867466692397</v>
      </c>
      <c r="O83" s="5" t="s">
        <v>6</v>
      </c>
    </row>
    <row r="84" spans="2:19" ht="14.25" customHeight="1" x14ac:dyDescent="0.3">
      <c r="B84" s="2">
        <v>82</v>
      </c>
      <c r="C84" s="2">
        <v>4.2500000000000003E-2</v>
      </c>
      <c r="D84" s="2">
        <v>18.296844179394899</v>
      </c>
      <c r="E84" s="2">
        <v>1.6407113295134299</v>
      </c>
      <c r="F84" s="2">
        <v>1.5169999999999999</v>
      </c>
      <c r="G84" s="2">
        <v>93.717390203655199</v>
      </c>
      <c r="H84" s="2" t="s">
        <v>16</v>
      </c>
      <c r="J84" s="2">
        <v>82</v>
      </c>
      <c r="K84" s="2">
        <v>5.2499999999999998E-2</v>
      </c>
      <c r="L84" s="2">
        <v>18.424979405358499</v>
      </c>
      <c r="M84" s="2">
        <v>3.3126453593916798</v>
      </c>
      <c r="N84" s="2">
        <v>78.873261405828103</v>
      </c>
      <c r="O84" s="2" t="s">
        <v>16</v>
      </c>
    </row>
    <row r="85" spans="2:19" ht="14.25" customHeight="1" x14ac:dyDescent="0.3">
      <c r="B85" s="2">
        <v>83</v>
      </c>
      <c r="C85" s="2">
        <v>4.2500000000000003E-2</v>
      </c>
      <c r="D85" s="2">
        <v>-30.8604467902835</v>
      </c>
      <c r="E85" s="15">
        <v>2.68228351465879E-5</v>
      </c>
      <c r="F85" s="2">
        <v>0</v>
      </c>
      <c r="G85" s="2">
        <v>-12.3173910322999</v>
      </c>
      <c r="H85" s="2" t="s">
        <v>17</v>
      </c>
      <c r="J85" s="2">
        <v>83</v>
      </c>
      <c r="K85" s="2">
        <v>5.2499999999999998E-2</v>
      </c>
      <c r="L85" s="2">
        <v>-30.860446790165799</v>
      </c>
      <c r="M85" s="2">
        <v>2.14783541864608E-8</v>
      </c>
      <c r="N85" s="2">
        <v>-12.3173910322999</v>
      </c>
      <c r="O85" s="2" t="s">
        <v>17</v>
      </c>
      <c r="S85" s="15"/>
    </row>
    <row r="86" spans="2:19" ht="14.25" customHeight="1" x14ac:dyDescent="0.3">
      <c r="B86" s="2">
        <v>84</v>
      </c>
      <c r="C86" s="2">
        <v>4.2500000000000003E-2</v>
      </c>
      <c r="D86" s="2">
        <v>9.1683954672533705</v>
      </c>
      <c r="E86" s="2">
        <v>1.34733270513403</v>
      </c>
      <c r="F86" s="2">
        <v>1.504</v>
      </c>
      <c r="G86" s="2">
        <v>95.100537211475299</v>
      </c>
      <c r="H86" s="2" t="s">
        <v>18</v>
      </c>
      <c r="J86" s="2">
        <v>84</v>
      </c>
      <c r="K86" s="2">
        <v>5.2499999999999998E-2</v>
      </c>
      <c r="L86" s="2">
        <v>9.22874940179425</v>
      </c>
      <c r="M86" s="2">
        <v>2.98688727410065</v>
      </c>
      <c r="N86" s="2">
        <v>78.137954686802502</v>
      </c>
      <c r="O86" s="2" t="s">
        <v>18</v>
      </c>
    </row>
    <row r="87" spans="2:19" ht="14.25" customHeight="1" x14ac:dyDescent="0.3">
      <c r="B87" s="2">
        <v>85</v>
      </c>
      <c r="C87" s="2">
        <v>4.2500000000000003E-2</v>
      </c>
      <c r="D87" s="2">
        <v>1.03125794791867E-3</v>
      </c>
      <c r="E87" s="2">
        <v>0.655136547136009</v>
      </c>
      <c r="F87" s="2">
        <v>1.165</v>
      </c>
      <c r="G87" s="2">
        <v>99.441986617568901</v>
      </c>
      <c r="H87" s="11" t="s">
        <v>27</v>
      </c>
      <c r="J87" s="2">
        <v>85</v>
      </c>
      <c r="K87" s="2">
        <v>5.5E-2</v>
      </c>
      <c r="L87" s="2">
        <v>1.0358574562378E-3</v>
      </c>
      <c r="M87" s="2">
        <v>1.9346671908636599</v>
      </c>
      <c r="N87" s="2">
        <v>73.089868921180596</v>
      </c>
      <c r="O87" s="5" t="s">
        <v>6</v>
      </c>
    </row>
    <row r="88" spans="2:19" ht="14.25" customHeight="1" x14ac:dyDescent="0.3">
      <c r="B88" s="2">
        <v>86</v>
      </c>
      <c r="C88" s="2">
        <v>4.4999999999999998E-2</v>
      </c>
      <c r="D88" s="2">
        <v>1.0312578737545299E-3</v>
      </c>
      <c r="E88" s="2">
        <v>0.65513653208396605</v>
      </c>
      <c r="F88" s="2">
        <v>1.165</v>
      </c>
      <c r="G88" s="2">
        <v>99.441986217628596</v>
      </c>
      <c r="H88" s="5" t="s">
        <v>6</v>
      </c>
      <c r="J88" s="2">
        <v>86</v>
      </c>
      <c r="K88" s="2">
        <v>5.5E-2</v>
      </c>
      <c r="L88" s="2">
        <v>18.4249794060458</v>
      </c>
      <c r="M88" s="2">
        <v>3.31264535706481</v>
      </c>
      <c r="N88" s="2">
        <v>78.873261384428901</v>
      </c>
      <c r="O88" s="2" t="s">
        <v>16</v>
      </c>
    </row>
    <row r="89" spans="2:19" ht="14.25" customHeight="1" x14ac:dyDescent="0.3">
      <c r="B89" s="2">
        <v>87</v>
      </c>
      <c r="C89" s="2">
        <v>4.4999999999999998E-2</v>
      </c>
      <c r="D89" s="2">
        <v>18.2968441802585</v>
      </c>
      <c r="E89" s="2">
        <v>1.64071132687578</v>
      </c>
      <c r="F89" s="2">
        <v>1.5169999999999999</v>
      </c>
      <c r="G89" s="2">
        <v>93.717390228169293</v>
      </c>
      <c r="H89" s="2" t="s">
        <v>16</v>
      </c>
      <c r="J89" s="2">
        <v>87</v>
      </c>
      <c r="K89" s="2">
        <v>5.5E-2</v>
      </c>
      <c r="L89" s="2">
        <v>-30.860446790228501</v>
      </c>
      <c r="M89" s="2">
        <v>2.1478354144288799E-8</v>
      </c>
      <c r="N89" s="2">
        <v>-12.3173910323383</v>
      </c>
      <c r="O89" s="2" t="s">
        <v>17</v>
      </c>
      <c r="S89" s="15"/>
    </row>
    <row r="90" spans="2:19" ht="14.25" customHeight="1" x14ac:dyDescent="0.3">
      <c r="B90" s="2">
        <v>88</v>
      </c>
      <c r="C90" s="2">
        <v>4.4999999999999998E-2</v>
      </c>
      <c r="D90" s="2">
        <v>-30.860446790363898</v>
      </c>
      <c r="E90" s="15">
        <v>2.5067944282618301E-5</v>
      </c>
      <c r="F90" s="2">
        <v>0</v>
      </c>
      <c r="G90" s="2">
        <v>-12.3173910323383</v>
      </c>
      <c r="H90" s="2" t="s">
        <v>17</v>
      </c>
      <c r="J90" s="2">
        <v>88</v>
      </c>
      <c r="K90" s="2">
        <v>5.5E-2</v>
      </c>
      <c r="L90" s="2">
        <v>9.2287494018156195</v>
      </c>
      <c r="M90" s="2">
        <v>2.9868872745367101</v>
      </c>
      <c r="N90" s="2">
        <v>78.137954691114501</v>
      </c>
      <c r="O90" s="2" t="s">
        <v>18</v>
      </c>
    </row>
    <row r="91" spans="2:19" ht="14.25" customHeight="1" x14ac:dyDescent="0.3">
      <c r="B91" s="2">
        <v>89</v>
      </c>
      <c r="C91" s="2">
        <v>4.4999999999999998E-2</v>
      </c>
      <c r="D91" s="2">
        <v>9.1683954672763903</v>
      </c>
      <c r="E91" s="2">
        <v>1.3473327058353699</v>
      </c>
      <c r="F91" s="2">
        <v>1.504</v>
      </c>
      <c r="G91" s="2">
        <v>95.100537208395494</v>
      </c>
      <c r="H91" s="2" t="s">
        <v>18</v>
      </c>
      <c r="J91" s="2">
        <v>89</v>
      </c>
      <c r="K91" s="2">
        <v>5.7500000000000002E-2</v>
      </c>
      <c r="L91" s="2">
        <v>1.0358574854535301E-3</v>
      </c>
      <c r="M91" s="2">
        <v>1.9346672727424601</v>
      </c>
      <c r="N91" s="2">
        <v>73.089867466692397</v>
      </c>
      <c r="O91" s="5" t="s">
        <v>6</v>
      </c>
    </row>
    <row r="92" spans="2:19" ht="14.25" customHeight="1" x14ac:dyDescent="0.3">
      <c r="B92" s="2">
        <v>90</v>
      </c>
      <c r="C92" s="2">
        <v>4.4999999999999998E-2</v>
      </c>
      <c r="D92" s="2">
        <v>1.0312578737545299E-3</v>
      </c>
      <c r="E92" s="2">
        <v>0.65513653208396605</v>
      </c>
      <c r="F92" s="2">
        <v>1.165</v>
      </c>
      <c r="G92" s="2">
        <v>99.441986217628596</v>
      </c>
      <c r="H92" s="11" t="s">
        <v>27</v>
      </c>
      <c r="J92" s="2">
        <v>90</v>
      </c>
      <c r="K92" s="2">
        <v>5.7500000000000002E-2</v>
      </c>
      <c r="L92" s="2">
        <v>18.424979405358499</v>
      </c>
      <c r="M92" s="2">
        <v>3.3126453593916798</v>
      </c>
      <c r="N92" s="2">
        <v>78.873261405828103</v>
      </c>
      <c r="O92" s="2" t="s">
        <v>16</v>
      </c>
    </row>
    <row r="93" spans="2:19" ht="14.25" customHeight="1" x14ac:dyDescent="0.3">
      <c r="B93" s="2">
        <v>91</v>
      </c>
      <c r="C93" s="2">
        <v>4.7500000000000001E-2</v>
      </c>
      <c r="D93" s="2">
        <v>1.0312579024442201E-3</v>
      </c>
      <c r="E93" s="2">
        <v>0.65513654722148396</v>
      </c>
      <c r="F93" s="2">
        <v>1.165</v>
      </c>
      <c r="G93" s="2">
        <v>99.441986592321499</v>
      </c>
      <c r="H93" s="5" t="s">
        <v>6</v>
      </c>
      <c r="J93" s="2">
        <v>91</v>
      </c>
      <c r="K93" s="2">
        <v>5.7500000000000002E-2</v>
      </c>
      <c r="L93" s="2">
        <v>-30.860446790165799</v>
      </c>
      <c r="M93" s="2">
        <v>2.14783541864608E-8</v>
      </c>
      <c r="N93" s="2">
        <v>-12.3173910322999</v>
      </c>
      <c r="O93" s="2" t="s">
        <v>17</v>
      </c>
      <c r="S93" s="15"/>
    </row>
    <row r="94" spans="2:19" ht="14.25" customHeight="1" x14ac:dyDescent="0.3">
      <c r="B94" s="2">
        <v>92</v>
      </c>
      <c r="C94" s="2">
        <v>4.7500000000000001E-2</v>
      </c>
      <c r="D94" s="2">
        <v>18.296844179394899</v>
      </c>
      <c r="E94" s="2">
        <v>1.6407113295134299</v>
      </c>
      <c r="F94" s="2">
        <v>1.5169999999999999</v>
      </c>
      <c r="G94" s="2">
        <v>93.717390203655199</v>
      </c>
      <c r="H94" s="2" t="s">
        <v>16</v>
      </c>
      <c r="J94" s="2">
        <v>92</v>
      </c>
      <c r="K94" s="2">
        <v>5.7500000000000002E-2</v>
      </c>
      <c r="L94" s="2">
        <v>9.22874940179425</v>
      </c>
      <c r="M94" s="2">
        <v>2.98688727410065</v>
      </c>
      <c r="N94" s="2">
        <v>78.137954686802502</v>
      </c>
      <c r="O94" s="2" t="s">
        <v>18</v>
      </c>
    </row>
    <row r="95" spans="2:19" ht="14.25" customHeight="1" x14ac:dyDescent="0.3">
      <c r="B95" s="2">
        <v>93</v>
      </c>
      <c r="C95" s="2">
        <v>4.7500000000000001E-2</v>
      </c>
      <c r="D95" s="2">
        <v>-30.8604467902835</v>
      </c>
      <c r="E95" s="15">
        <v>2.68228351465879E-5</v>
      </c>
      <c r="F95" s="2">
        <v>0</v>
      </c>
      <c r="G95" s="2">
        <v>-12.3173910322999</v>
      </c>
      <c r="H95" s="2" t="s">
        <v>17</v>
      </c>
      <c r="J95" s="2">
        <v>93</v>
      </c>
      <c r="K95" s="2">
        <v>0.06</v>
      </c>
      <c r="L95" s="2">
        <v>1.0358574562378E-3</v>
      </c>
      <c r="M95" s="2">
        <v>1.9346671908636599</v>
      </c>
      <c r="N95" s="2">
        <v>73.089868921180596</v>
      </c>
      <c r="O95" s="5" t="s">
        <v>6</v>
      </c>
    </row>
    <row r="96" spans="2:19" ht="14.25" customHeight="1" x14ac:dyDescent="0.3">
      <c r="B96" s="2">
        <v>94</v>
      </c>
      <c r="C96" s="2">
        <v>4.7500000000000001E-2</v>
      </c>
      <c r="D96" s="2">
        <v>9.1683954672533705</v>
      </c>
      <c r="E96" s="2">
        <v>1.34733270513403</v>
      </c>
      <c r="F96" s="2">
        <v>1.504</v>
      </c>
      <c r="G96" s="2">
        <v>95.100537211475299</v>
      </c>
      <c r="H96" s="2" t="s">
        <v>18</v>
      </c>
      <c r="J96" s="2">
        <v>94</v>
      </c>
      <c r="K96" s="2">
        <v>0.06</v>
      </c>
      <c r="L96" s="2">
        <v>18.4249794060458</v>
      </c>
      <c r="M96" s="2">
        <v>3.31264535706481</v>
      </c>
      <c r="N96" s="2">
        <v>78.873261384428901</v>
      </c>
      <c r="O96" s="2" t="s">
        <v>16</v>
      </c>
    </row>
    <row r="97" spans="2:19" ht="14.25" customHeight="1" x14ac:dyDescent="0.3">
      <c r="B97" s="2">
        <v>95</v>
      </c>
      <c r="C97" s="2">
        <v>4.7500000000000001E-2</v>
      </c>
      <c r="D97" s="2">
        <v>1.03125794791867E-3</v>
      </c>
      <c r="E97" s="2">
        <v>0.655136547136009</v>
      </c>
      <c r="F97" s="2">
        <v>1.165</v>
      </c>
      <c r="G97" s="2">
        <v>99.441986617568901</v>
      </c>
      <c r="H97" s="11" t="s">
        <v>27</v>
      </c>
      <c r="J97" s="2">
        <v>95</v>
      </c>
      <c r="K97" s="2">
        <v>0.06</v>
      </c>
      <c r="L97" s="2">
        <v>-30.860446790228501</v>
      </c>
      <c r="M97" s="2">
        <v>2.1478354144288799E-8</v>
      </c>
      <c r="N97" s="2">
        <v>-12.3173910323383</v>
      </c>
      <c r="O97" s="2" t="s">
        <v>17</v>
      </c>
      <c r="S97" s="15"/>
    </row>
    <row r="98" spans="2:19" ht="14.25" customHeight="1" x14ac:dyDescent="0.3">
      <c r="B98" s="2">
        <v>96</v>
      </c>
      <c r="C98" s="2">
        <v>0.05</v>
      </c>
      <c r="D98" s="2">
        <v>1.0312578737545299E-3</v>
      </c>
      <c r="E98" s="2">
        <v>0.65513653208396605</v>
      </c>
      <c r="F98" s="2">
        <v>1.165</v>
      </c>
      <c r="G98" s="2">
        <v>99.441986217628596</v>
      </c>
      <c r="H98" s="5" t="s">
        <v>6</v>
      </c>
      <c r="J98" s="2">
        <v>96</v>
      </c>
      <c r="K98" s="2">
        <v>0.06</v>
      </c>
      <c r="L98" s="2">
        <v>9.2287494018156195</v>
      </c>
      <c r="M98" s="2">
        <v>2.9868872745367101</v>
      </c>
      <c r="N98" s="2">
        <v>78.137954691114501</v>
      </c>
      <c r="O98" s="2" t="s">
        <v>18</v>
      </c>
    </row>
    <row r="99" spans="2:19" ht="14.25" customHeight="1" x14ac:dyDescent="0.3">
      <c r="B99" s="2">
        <v>97</v>
      </c>
      <c r="C99" s="2">
        <v>0.05</v>
      </c>
      <c r="D99" s="2">
        <v>18.2968441802585</v>
      </c>
      <c r="E99" s="2">
        <v>1.64071132687578</v>
      </c>
      <c r="F99" s="2">
        <v>1.5169999999999999</v>
      </c>
      <c r="G99" s="2">
        <v>93.717390228169293</v>
      </c>
      <c r="H99" s="2" t="s">
        <v>16</v>
      </c>
      <c r="J99" s="2">
        <v>97</v>
      </c>
      <c r="K99" s="2">
        <v>6.25E-2</v>
      </c>
      <c r="L99" s="2">
        <v>1.0358574854535301E-3</v>
      </c>
      <c r="M99" s="2">
        <v>1.9346672727424601</v>
      </c>
      <c r="N99" s="2">
        <v>73.089867466692397</v>
      </c>
      <c r="O99" s="5" t="s">
        <v>6</v>
      </c>
    </row>
    <row r="100" spans="2:19" ht="14.25" customHeight="1" x14ac:dyDescent="0.3">
      <c r="B100" s="2">
        <v>98</v>
      </c>
      <c r="C100" s="2">
        <v>0.05</v>
      </c>
      <c r="D100" s="2">
        <v>-30.860446790363898</v>
      </c>
      <c r="E100" s="15">
        <v>2.5067944282618301E-5</v>
      </c>
      <c r="F100" s="2">
        <v>0</v>
      </c>
      <c r="G100" s="2">
        <v>-12.3173910323383</v>
      </c>
      <c r="H100" s="2" t="s">
        <v>17</v>
      </c>
      <c r="J100" s="2">
        <v>98</v>
      </c>
      <c r="K100" s="2">
        <v>6.25E-2</v>
      </c>
      <c r="L100" s="2">
        <v>18.424979405358499</v>
      </c>
      <c r="M100" s="2">
        <v>3.3126453593916798</v>
      </c>
      <c r="N100" s="2">
        <v>78.873261405828103</v>
      </c>
      <c r="O100" s="2" t="s">
        <v>16</v>
      </c>
    </row>
    <row r="101" spans="2:19" ht="14.25" customHeight="1" x14ac:dyDescent="0.3">
      <c r="B101" s="2">
        <v>99</v>
      </c>
      <c r="C101" s="2">
        <v>0.05</v>
      </c>
      <c r="D101" s="2">
        <v>9.1683954672763903</v>
      </c>
      <c r="E101" s="2">
        <v>1.3473327058353699</v>
      </c>
      <c r="F101" s="2">
        <v>1.504</v>
      </c>
      <c r="G101" s="2">
        <v>95.100537208395494</v>
      </c>
      <c r="H101" s="2" t="s">
        <v>18</v>
      </c>
      <c r="J101" s="2">
        <v>99</v>
      </c>
      <c r="K101" s="2">
        <v>6.25E-2</v>
      </c>
      <c r="L101" s="2">
        <v>-30.860446790165799</v>
      </c>
      <c r="M101" s="2">
        <v>2.14783541864608E-8</v>
      </c>
      <c r="N101" s="2">
        <v>-12.3173910322999</v>
      </c>
      <c r="O101" s="2" t="s">
        <v>17</v>
      </c>
      <c r="S101" s="15"/>
    </row>
    <row r="102" spans="2:19" ht="14.25" customHeight="1" x14ac:dyDescent="0.3">
      <c r="B102" s="2">
        <v>100</v>
      </c>
      <c r="C102" s="2">
        <v>0.05</v>
      </c>
      <c r="D102" s="2">
        <v>1.0312578737545299E-3</v>
      </c>
      <c r="E102" s="2">
        <v>0.65513653208396605</v>
      </c>
      <c r="F102" s="2">
        <v>1.165</v>
      </c>
      <c r="G102" s="2">
        <v>99.441986217628596</v>
      </c>
      <c r="H102" s="11" t="s">
        <v>27</v>
      </c>
      <c r="J102" s="2">
        <v>100</v>
      </c>
      <c r="K102" s="2">
        <v>6.25E-2</v>
      </c>
      <c r="L102" s="2">
        <v>9.22874940179425</v>
      </c>
      <c r="M102" s="2">
        <v>2.98688727410065</v>
      </c>
      <c r="N102" s="2">
        <v>78.137954686802502</v>
      </c>
      <c r="O102" s="2" t="s">
        <v>18</v>
      </c>
    </row>
    <row r="103" spans="2:19" ht="14.25" customHeight="1" x14ac:dyDescent="0.3">
      <c r="B103" s="2">
        <v>101</v>
      </c>
      <c r="C103" s="2">
        <v>5.2499999999999998E-2</v>
      </c>
      <c r="D103" s="2">
        <v>1.0312579024442201E-3</v>
      </c>
      <c r="E103" s="2">
        <v>0.65513654722148396</v>
      </c>
      <c r="F103" s="2">
        <v>1.165</v>
      </c>
      <c r="G103" s="2">
        <v>99.441986592321499</v>
      </c>
      <c r="H103" s="5" t="s">
        <v>6</v>
      </c>
      <c r="J103" s="2">
        <v>101</v>
      </c>
      <c r="K103" s="2">
        <v>6.5000000000000002E-2</v>
      </c>
      <c r="L103" s="2">
        <v>1.0358574562378E-3</v>
      </c>
      <c r="M103" s="2">
        <v>1.9346671908636599</v>
      </c>
      <c r="N103" s="2">
        <v>73.089868921180596</v>
      </c>
      <c r="O103" s="5" t="s">
        <v>6</v>
      </c>
    </row>
    <row r="104" spans="2:19" ht="14.25" customHeight="1" x14ac:dyDescent="0.3">
      <c r="B104" s="2">
        <v>102</v>
      </c>
      <c r="C104" s="2">
        <v>5.2499999999999998E-2</v>
      </c>
      <c r="D104" s="2">
        <v>18.296844179394899</v>
      </c>
      <c r="E104" s="2">
        <v>1.6407113295134299</v>
      </c>
      <c r="F104" s="2">
        <v>1.5169999999999999</v>
      </c>
      <c r="G104" s="2">
        <v>93.717390203655199</v>
      </c>
      <c r="H104" s="2" t="s">
        <v>16</v>
      </c>
      <c r="J104" s="2">
        <v>102</v>
      </c>
      <c r="K104" s="2">
        <v>6.5000000000000002E-2</v>
      </c>
      <c r="L104" s="2">
        <v>18.4249794060458</v>
      </c>
      <c r="M104" s="2">
        <v>3.31264535706481</v>
      </c>
      <c r="N104" s="2">
        <v>78.873261384428901</v>
      </c>
      <c r="O104" s="2" t="s">
        <v>16</v>
      </c>
    </row>
    <row r="105" spans="2:19" ht="14.25" customHeight="1" x14ac:dyDescent="0.3">
      <c r="B105" s="2">
        <v>103</v>
      </c>
      <c r="C105" s="2">
        <v>5.2499999999999998E-2</v>
      </c>
      <c r="D105" s="2">
        <v>-30.8604467902835</v>
      </c>
      <c r="E105" s="15">
        <v>2.68228351465879E-5</v>
      </c>
      <c r="F105" s="2">
        <v>0</v>
      </c>
      <c r="G105" s="2">
        <v>-12.3173910322999</v>
      </c>
      <c r="H105" s="2" t="s">
        <v>17</v>
      </c>
      <c r="J105" s="2">
        <v>103</v>
      </c>
      <c r="K105" s="2">
        <v>6.5000000000000002E-2</v>
      </c>
      <c r="L105" s="2">
        <v>-30.860446790228501</v>
      </c>
      <c r="M105" s="2">
        <v>2.1478354144288799E-8</v>
      </c>
      <c r="N105" s="2">
        <v>-12.3173910323383</v>
      </c>
      <c r="O105" s="2" t="s">
        <v>17</v>
      </c>
      <c r="S105" s="15"/>
    </row>
    <row r="106" spans="2:19" ht="14.25" customHeight="1" x14ac:dyDescent="0.3">
      <c r="B106" s="2">
        <v>104</v>
      </c>
      <c r="C106" s="2">
        <v>5.2499999999999998E-2</v>
      </c>
      <c r="D106" s="2">
        <v>9.1683954672533705</v>
      </c>
      <c r="E106" s="2">
        <v>1.34733270513403</v>
      </c>
      <c r="F106" s="2">
        <v>1.504</v>
      </c>
      <c r="G106" s="2">
        <v>95.100537211475299</v>
      </c>
      <c r="H106" s="2" t="s">
        <v>18</v>
      </c>
      <c r="J106" s="2">
        <v>104</v>
      </c>
      <c r="K106" s="2">
        <v>6.5000000000000002E-2</v>
      </c>
      <c r="L106" s="2">
        <v>9.2287494018156195</v>
      </c>
      <c r="M106" s="2">
        <v>2.9868872745367101</v>
      </c>
      <c r="N106" s="2">
        <v>78.137954691114501</v>
      </c>
      <c r="O106" s="2" t="s">
        <v>18</v>
      </c>
    </row>
    <row r="107" spans="2:19" ht="14.25" customHeight="1" x14ac:dyDescent="0.3">
      <c r="B107" s="2">
        <v>105</v>
      </c>
      <c r="C107" s="2">
        <v>5.2499999999999998E-2</v>
      </c>
      <c r="D107" s="2">
        <v>1.03125794791867E-3</v>
      </c>
      <c r="E107" s="2">
        <v>0.655136547136009</v>
      </c>
      <c r="F107" s="2">
        <v>1.165</v>
      </c>
      <c r="G107" s="2">
        <v>99.441986617568901</v>
      </c>
      <c r="H107" s="11" t="s">
        <v>27</v>
      </c>
      <c r="J107" s="2">
        <v>105</v>
      </c>
      <c r="K107" s="2">
        <v>6.7500000000000004E-2</v>
      </c>
      <c r="L107" s="2">
        <v>1.0358574854535301E-3</v>
      </c>
      <c r="M107" s="2">
        <v>1.9346672727424601</v>
      </c>
      <c r="N107" s="2">
        <v>73.089867466692397</v>
      </c>
      <c r="O107" s="5" t="s">
        <v>6</v>
      </c>
    </row>
    <row r="108" spans="2:19" ht="14.25" customHeight="1" x14ac:dyDescent="0.3">
      <c r="B108" s="2">
        <v>106</v>
      </c>
      <c r="C108" s="2">
        <v>5.5E-2</v>
      </c>
      <c r="D108" s="2">
        <v>1.0312578737545299E-3</v>
      </c>
      <c r="E108" s="2">
        <v>0.65513653208396605</v>
      </c>
      <c r="F108" s="2">
        <v>1.165</v>
      </c>
      <c r="G108" s="2">
        <v>99.441986217628596</v>
      </c>
      <c r="H108" s="5" t="s">
        <v>6</v>
      </c>
      <c r="J108" s="2">
        <v>106</v>
      </c>
      <c r="K108" s="2">
        <v>6.7500000000000004E-2</v>
      </c>
      <c r="L108" s="2">
        <v>18.424979405358499</v>
      </c>
      <c r="M108" s="2">
        <v>3.3126453593916798</v>
      </c>
      <c r="N108" s="2">
        <v>78.873261405828103</v>
      </c>
      <c r="O108" s="2" t="s">
        <v>16</v>
      </c>
    </row>
    <row r="109" spans="2:19" ht="14.25" customHeight="1" x14ac:dyDescent="0.3">
      <c r="B109" s="2">
        <v>107</v>
      </c>
      <c r="C109" s="2">
        <v>5.5E-2</v>
      </c>
      <c r="D109" s="2">
        <v>18.2968441802585</v>
      </c>
      <c r="E109" s="2">
        <v>1.64071132687578</v>
      </c>
      <c r="F109" s="2">
        <v>1.5169999999999999</v>
      </c>
      <c r="G109" s="2">
        <v>93.717390228169293</v>
      </c>
      <c r="H109" s="2" t="s">
        <v>16</v>
      </c>
      <c r="J109" s="2">
        <v>107</v>
      </c>
      <c r="K109" s="2">
        <v>6.7500000000000004E-2</v>
      </c>
      <c r="L109" s="2">
        <v>-30.860446790165799</v>
      </c>
      <c r="M109" s="2">
        <v>2.14783541864608E-8</v>
      </c>
      <c r="N109" s="2">
        <v>-12.3173910322999</v>
      </c>
      <c r="O109" s="2" t="s">
        <v>17</v>
      </c>
      <c r="S109" s="15"/>
    </row>
    <row r="110" spans="2:19" ht="14.25" customHeight="1" x14ac:dyDescent="0.3">
      <c r="B110" s="2">
        <v>108</v>
      </c>
      <c r="C110" s="2">
        <v>5.5E-2</v>
      </c>
      <c r="D110" s="2">
        <v>-30.860446790363898</v>
      </c>
      <c r="E110" s="15">
        <v>2.5067944282618301E-5</v>
      </c>
      <c r="F110" s="2">
        <v>0</v>
      </c>
      <c r="G110" s="2">
        <v>-12.3173910323383</v>
      </c>
      <c r="H110" s="2" t="s">
        <v>17</v>
      </c>
      <c r="J110" s="2">
        <v>108</v>
      </c>
      <c r="K110" s="2">
        <v>6.7500000000000004E-2</v>
      </c>
      <c r="L110" s="2">
        <v>9.22874940179425</v>
      </c>
      <c r="M110" s="2">
        <v>2.98688727410065</v>
      </c>
      <c r="N110" s="2">
        <v>78.137954686802502</v>
      </c>
      <c r="O110" s="2" t="s">
        <v>18</v>
      </c>
    </row>
    <row r="111" spans="2:19" ht="14.25" customHeight="1" x14ac:dyDescent="0.3">
      <c r="B111" s="2">
        <v>109</v>
      </c>
      <c r="C111" s="2">
        <v>5.5E-2</v>
      </c>
      <c r="D111" s="2">
        <v>9.1683954672763903</v>
      </c>
      <c r="E111" s="2">
        <v>1.3473327058353699</v>
      </c>
      <c r="F111" s="2">
        <v>1.504</v>
      </c>
      <c r="G111" s="2">
        <v>95.100537208395494</v>
      </c>
      <c r="H111" s="2" t="s">
        <v>18</v>
      </c>
      <c r="J111" s="2">
        <v>109</v>
      </c>
      <c r="K111" s="2">
        <v>7.0000000000000007E-2</v>
      </c>
      <c r="L111" s="2">
        <v>1.0358574562378E-3</v>
      </c>
      <c r="M111" s="2">
        <v>1.9346671908636599</v>
      </c>
      <c r="N111" s="2">
        <v>73.089868921180596</v>
      </c>
      <c r="O111" s="5" t="s">
        <v>6</v>
      </c>
    </row>
    <row r="112" spans="2:19" ht="14.25" customHeight="1" x14ac:dyDescent="0.3">
      <c r="B112" s="2">
        <v>110</v>
      </c>
      <c r="C112" s="2">
        <v>5.5E-2</v>
      </c>
      <c r="D112" s="2">
        <v>1.0312578737545299E-3</v>
      </c>
      <c r="E112" s="2">
        <v>0.65513653208396605</v>
      </c>
      <c r="F112" s="2">
        <v>1.165</v>
      </c>
      <c r="G112" s="2">
        <v>99.441986217628596</v>
      </c>
      <c r="H112" s="11" t="s">
        <v>27</v>
      </c>
      <c r="J112" s="2">
        <v>110</v>
      </c>
      <c r="K112" s="2">
        <v>7.0000000000000007E-2</v>
      </c>
      <c r="L112" s="2">
        <v>18.4249794060458</v>
      </c>
      <c r="M112" s="2">
        <v>3.31264535706481</v>
      </c>
      <c r="N112" s="2">
        <v>78.873261384428901</v>
      </c>
      <c r="O112" s="2" t="s">
        <v>16</v>
      </c>
    </row>
    <row r="113" spans="2:19" ht="14.25" customHeight="1" x14ac:dyDescent="0.3">
      <c r="B113" s="2">
        <v>111</v>
      </c>
      <c r="C113" s="2">
        <v>5.7500000000000002E-2</v>
      </c>
      <c r="D113" s="2">
        <v>1.0312579024442201E-3</v>
      </c>
      <c r="E113" s="2">
        <v>0.65513654722148396</v>
      </c>
      <c r="F113" s="2">
        <v>1.165</v>
      </c>
      <c r="G113" s="2">
        <v>99.441986592321499</v>
      </c>
      <c r="H113" s="5" t="s">
        <v>6</v>
      </c>
      <c r="J113" s="2">
        <v>111</v>
      </c>
      <c r="K113" s="2">
        <v>7.0000000000000007E-2</v>
      </c>
      <c r="L113" s="2">
        <v>-30.860446790228501</v>
      </c>
      <c r="M113" s="2">
        <v>2.1478354144288799E-8</v>
      </c>
      <c r="N113" s="2">
        <v>-12.3173910323383</v>
      </c>
      <c r="O113" s="2" t="s">
        <v>17</v>
      </c>
      <c r="S113" s="15"/>
    </row>
    <row r="114" spans="2:19" ht="14.25" customHeight="1" x14ac:dyDescent="0.3">
      <c r="B114" s="2">
        <v>112</v>
      </c>
      <c r="C114" s="2">
        <v>5.7500000000000002E-2</v>
      </c>
      <c r="D114" s="2">
        <v>18.296844179394899</v>
      </c>
      <c r="E114" s="2">
        <v>1.6407113295134299</v>
      </c>
      <c r="F114" s="2">
        <v>1.5169999999999999</v>
      </c>
      <c r="G114" s="2">
        <v>93.717390203655199</v>
      </c>
      <c r="H114" s="2" t="s">
        <v>16</v>
      </c>
      <c r="J114" s="2">
        <v>112</v>
      </c>
      <c r="K114" s="2">
        <v>7.0000000000000007E-2</v>
      </c>
      <c r="L114" s="2">
        <v>9.2287494018156195</v>
      </c>
      <c r="M114" s="2">
        <v>2.9868872745367101</v>
      </c>
      <c r="N114" s="2">
        <v>78.137954691114501</v>
      </c>
      <c r="O114" s="2" t="s">
        <v>18</v>
      </c>
    </row>
    <row r="115" spans="2:19" ht="14.25" customHeight="1" x14ac:dyDescent="0.3">
      <c r="B115" s="2">
        <v>113</v>
      </c>
      <c r="C115" s="2">
        <v>5.7500000000000002E-2</v>
      </c>
      <c r="D115" s="2">
        <v>-30.8604467902835</v>
      </c>
      <c r="E115" s="15">
        <v>2.68228351465879E-5</v>
      </c>
      <c r="F115" s="2">
        <v>0</v>
      </c>
      <c r="G115" s="2">
        <v>-12.3173910322999</v>
      </c>
      <c r="H115" s="2" t="s">
        <v>17</v>
      </c>
      <c r="J115" s="2">
        <v>113</v>
      </c>
      <c r="K115" s="2">
        <v>7.2499999999999995E-2</v>
      </c>
      <c r="L115" s="2">
        <v>1.0358574854535301E-3</v>
      </c>
      <c r="M115" s="2">
        <v>1.9346672727424601</v>
      </c>
      <c r="N115" s="2">
        <v>73.089867466692397</v>
      </c>
      <c r="O115" s="5" t="s">
        <v>6</v>
      </c>
    </row>
    <row r="116" spans="2:19" ht="14.25" customHeight="1" x14ac:dyDescent="0.3">
      <c r="B116" s="2">
        <v>114</v>
      </c>
      <c r="C116" s="2">
        <v>5.7500000000000002E-2</v>
      </c>
      <c r="D116" s="2">
        <v>9.1683954672533705</v>
      </c>
      <c r="E116" s="2">
        <v>1.34733270513403</v>
      </c>
      <c r="F116" s="2">
        <v>1.504</v>
      </c>
      <c r="G116" s="2">
        <v>95.100537211475299</v>
      </c>
      <c r="H116" s="2" t="s">
        <v>18</v>
      </c>
      <c r="J116" s="2">
        <v>114</v>
      </c>
      <c r="K116" s="2">
        <v>7.2499999999999995E-2</v>
      </c>
      <c r="L116" s="2">
        <v>18.424979405358499</v>
      </c>
      <c r="M116" s="2">
        <v>3.3126453593916798</v>
      </c>
      <c r="N116" s="2">
        <v>78.873261405828103</v>
      </c>
      <c r="O116" s="2" t="s">
        <v>16</v>
      </c>
    </row>
    <row r="117" spans="2:19" ht="14.25" customHeight="1" x14ac:dyDescent="0.3">
      <c r="B117" s="2">
        <v>115</v>
      </c>
      <c r="C117" s="2">
        <v>5.7500000000000002E-2</v>
      </c>
      <c r="D117" s="2">
        <v>1.03125794791867E-3</v>
      </c>
      <c r="E117" s="2">
        <v>0.655136547136009</v>
      </c>
      <c r="F117" s="2">
        <v>1.165</v>
      </c>
      <c r="G117" s="2">
        <v>99.441986617568901</v>
      </c>
      <c r="H117" s="11" t="s">
        <v>27</v>
      </c>
      <c r="J117" s="2">
        <v>115</v>
      </c>
      <c r="K117" s="2">
        <v>7.2499999999999995E-2</v>
      </c>
      <c r="L117" s="2">
        <v>-30.860446790165799</v>
      </c>
      <c r="M117" s="2">
        <v>2.14783541864608E-8</v>
      </c>
      <c r="N117" s="2">
        <v>-12.3173910322999</v>
      </c>
      <c r="O117" s="2" t="s">
        <v>17</v>
      </c>
      <c r="S117" s="15"/>
    </row>
    <row r="118" spans="2:19" ht="14.25" customHeight="1" x14ac:dyDescent="0.3">
      <c r="B118" s="2">
        <v>116</v>
      </c>
      <c r="C118" s="2">
        <v>0.06</v>
      </c>
      <c r="D118" s="2">
        <v>1.0312578737545299E-3</v>
      </c>
      <c r="E118" s="2">
        <v>0.65513653208396605</v>
      </c>
      <c r="F118" s="2">
        <v>1.165</v>
      </c>
      <c r="G118" s="2">
        <v>99.441986217628596</v>
      </c>
      <c r="H118" s="5" t="s">
        <v>6</v>
      </c>
      <c r="J118" s="2">
        <v>116</v>
      </c>
      <c r="K118" s="2">
        <v>7.2499999999999995E-2</v>
      </c>
      <c r="L118" s="2">
        <v>9.22874940179425</v>
      </c>
      <c r="M118" s="2">
        <v>2.98688727410065</v>
      </c>
      <c r="N118" s="2">
        <v>78.137954686802502</v>
      </c>
      <c r="O118" s="2" t="s">
        <v>18</v>
      </c>
    </row>
    <row r="119" spans="2:19" ht="14.25" customHeight="1" x14ac:dyDescent="0.3">
      <c r="B119" s="2">
        <v>117</v>
      </c>
      <c r="C119" s="2">
        <v>0.06</v>
      </c>
      <c r="D119" s="2">
        <v>18.2968441802585</v>
      </c>
      <c r="E119" s="2">
        <v>1.64071132687578</v>
      </c>
      <c r="F119" s="2">
        <v>1.5169999999999999</v>
      </c>
      <c r="G119" s="2">
        <v>93.717390228169293</v>
      </c>
      <c r="H119" s="2" t="s">
        <v>16</v>
      </c>
      <c r="J119" s="2">
        <v>117</v>
      </c>
      <c r="K119" s="2">
        <v>7.4999999999999997E-2</v>
      </c>
      <c r="L119" s="2">
        <v>1.0358574562378E-3</v>
      </c>
      <c r="M119" s="2">
        <v>1.9346671908636599</v>
      </c>
      <c r="N119" s="2">
        <v>73.089868921180596</v>
      </c>
      <c r="O119" s="5" t="s">
        <v>6</v>
      </c>
    </row>
    <row r="120" spans="2:19" ht="14.25" customHeight="1" x14ac:dyDescent="0.3">
      <c r="B120" s="2">
        <v>118</v>
      </c>
      <c r="C120" s="2">
        <v>0.06</v>
      </c>
      <c r="D120" s="2">
        <v>-30.860446790363898</v>
      </c>
      <c r="E120" s="15">
        <v>2.5067944282618301E-5</v>
      </c>
      <c r="F120" s="2">
        <v>0</v>
      </c>
      <c r="G120" s="2">
        <v>-12.3173910323383</v>
      </c>
      <c r="H120" s="2" t="s">
        <v>17</v>
      </c>
      <c r="J120" s="2">
        <v>118</v>
      </c>
      <c r="K120" s="2">
        <v>7.4999999999999997E-2</v>
      </c>
      <c r="L120" s="2">
        <v>18.4249794060458</v>
      </c>
      <c r="M120" s="2">
        <v>3.31264535706481</v>
      </c>
      <c r="N120" s="2">
        <v>78.873261384428901</v>
      </c>
      <c r="O120" s="2" t="s">
        <v>16</v>
      </c>
    </row>
    <row r="121" spans="2:19" ht="14.25" customHeight="1" x14ac:dyDescent="0.3">
      <c r="B121" s="2">
        <v>119</v>
      </c>
      <c r="C121" s="2">
        <v>0.06</v>
      </c>
      <c r="D121" s="2">
        <v>9.1683954672763903</v>
      </c>
      <c r="E121" s="2">
        <v>1.3473327058353699</v>
      </c>
      <c r="F121" s="2">
        <v>1.504</v>
      </c>
      <c r="G121" s="2">
        <v>95.100537208395494</v>
      </c>
      <c r="H121" s="2" t="s">
        <v>18</v>
      </c>
      <c r="J121" s="2">
        <v>119</v>
      </c>
      <c r="K121" s="2">
        <v>7.4999999999999997E-2</v>
      </c>
      <c r="L121" s="2">
        <v>-30.860446790228501</v>
      </c>
      <c r="M121" s="2">
        <v>2.1478354144288799E-8</v>
      </c>
      <c r="N121" s="2">
        <v>-12.3173910323383</v>
      </c>
      <c r="O121" s="2" t="s">
        <v>17</v>
      </c>
      <c r="S121" s="15"/>
    </row>
    <row r="122" spans="2:19" ht="14.25" customHeight="1" x14ac:dyDescent="0.3">
      <c r="B122" s="2">
        <v>120</v>
      </c>
      <c r="C122" s="2">
        <v>0.06</v>
      </c>
      <c r="D122" s="2">
        <v>1.0312578737545299E-3</v>
      </c>
      <c r="E122" s="2">
        <v>0.65513653208396605</v>
      </c>
      <c r="F122" s="2">
        <v>1.165</v>
      </c>
      <c r="G122" s="2">
        <v>99.441986217628596</v>
      </c>
      <c r="H122" s="11" t="s">
        <v>27</v>
      </c>
      <c r="J122" s="2">
        <v>120</v>
      </c>
      <c r="K122" s="2">
        <v>7.4999999999999997E-2</v>
      </c>
      <c r="L122" s="2">
        <v>9.2287494018156195</v>
      </c>
      <c r="M122" s="2">
        <v>2.9868872745367101</v>
      </c>
      <c r="N122" s="2">
        <v>78.137954691114501</v>
      </c>
      <c r="O122" s="2" t="s">
        <v>18</v>
      </c>
    </row>
    <row r="123" spans="2:19" ht="14.25" customHeight="1" x14ac:dyDescent="0.3">
      <c r="B123" s="2">
        <v>121</v>
      </c>
      <c r="C123" s="2">
        <v>6.25E-2</v>
      </c>
      <c r="D123" s="2">
        <v>1.0312579024442201E-3</v>
      </c>
      <c r="E123" s="2">
        <v>0.65513654722148396</v>
      </c>
      <c r="F123" s="2">
        <v>1.165</v>
      </c>
      <c r="G123" s="2">
        <v>99.441986592321499</v>
      </c>
      <c r="H123" s="5" t="s">
        <v>6</v>
      </c>
    </row>
    <row r="124" spans="2:19" ht="14.25" customHeight="1" x14ac:dyDescent="0.3">
      <c r="B124" s="2">
        <v>122</v>
      </c>
      <c r="C124" s="2">
        <v>6.25E-2</v>
      </c>
      <c r="D124" s="2">
        <v>18.296844179394899</v>
      </c>
      <c r="E124" s="2">
        <v>1.6407113295134299</v>
      </c>
      <c r="F124" s="2">
        <v>1.5169999999999999</v>
      </c>
      <c r="G124" s="2">
        <v>93.717390203655199</v>
      </c>
      <c r="H124" s="2" t="s">
        <v>16</v>
      </c>
    </row>
    <row r="125" spans="2:19" ht="14.25" customHeight="1" x14ac:dyDescent="0.3">
      <c r="B125" s="2">
        <v>123</v>
      </c>
      <c r="C125" s="2">
        <v>6.25E-2</v>
      </c>
      <c r="D125" s="2">
        <v>-30.8604467902835</v>
      </c>
      <c r="E125" s="15">
        <v>2.68228351465879E-5</v>
      </c>
      <c r="F125" s="2">
        <v>0</v>
      </c>
      <c r="G125" s="2">
        <v>-12.3173910322999</v>
      </c>
      <c r="H125" s="2" t="s">
        <v>17</v>
      </c>
      <c r="S125" s="15"/>
    </row>
    <row r="126" spans="2:19" ht="14.25" customHeight="1" x14ac:dyDescent="0.3">
      <c r="B126" s="2">
        <v>124</v>
      </c>
      <c r="C126" s="2">
        <v>6.25E-2</v>
      </c>
      <c r="D126" s="2">
        <v>9.1683954672533705</v>
      </c>
      <c r="E126" s="2">
        <v>1.34733270513403</v>
      </c>
      <c r="F126" s="2">
        <v>1.504</v>
      </c>
      <c r="G126" s="2">
        <v>95.100537211475299</v>
      </c>
      <c r="H126" s="2" t="s">
        <v>18</v>
      </c>
    </row>
    <row r="127" spans="2:19" ht="14.25" customHeight="1" x14ac:dyDescent="0.3">
      <c r="B127" s="2">
        <v>125</v>
      </c>
      <c r="C127" s="2">
        <v>6.25E-2</v>
      </c>
      <c r="D127" s="2">
        <v>1.03125794791867E-3</v>
      </c>
      <c r="E127" s="2">
        <v>0.655136547136009</v>
      </c>
      <c r="F127" s="2">
        <v>1.165</v>
      </c>
      <c r="G127" s="2">
        <v>99.441986617568901</v>
      </c>
      <c r="H127" s="11" t="s">
        <v>27</v>
      </c>
    </row>
    <row r="128" spans="2:19" ht="14.25" customHeight="1" x14ac:dyDescent="0.3">
      <c r="B128" s="2">
        <v>126</v>
      </c>
      <c r="C128" s="2">
        <v>6.5000000000000002E-2</v>
      </c>
      <c r="D128" s="2">
        <v>1.0312578737545299E-3</v>
      </c>
      <c r="E128" s="2">
        <v>0.65513653208396605</v>
      </c>
      <c r="F128" s="2">
        <v>1.165</v>
      </c>
      <c r="G128" s="2">
        <v>99.441986217628596</v>
      </c>
      <c r="H128" s="5" t="s">
        <v>6</v>
      </c>
    </row>
    <row r="129" spans="2:19" ht="14.25" customHeight="1" x14ac:dyDescent="0.3">
      <c r="B129" s="2">
        <v>127</v>
      </c>
      <c r="C129" s="2">
        <v>6.5000000000000002E-2</v>
      </c>
      <c r="D129" s="2">
        <v>18.2968441802585</v>
      </c>
      <c r="E129" s="2">
        <v>1.64071132687578</v>
      </c>
      <c r="F129" s="2">
        <v>1.5169999999999999</v>
      </c>
      <c r="G129" s="2">
        <v>93.717390228169293</v>
      </c>
      <c r="H129" s="2" t="s">
        <v>16</v>
      </c>
      <c r="S129" s="15"/>
    </row>
    <row r="130" spans="2:19" ht="14.25" customHeight="1" x14ac:dyDescent="0.3">
      <c r="B130" s="2">
        <v>128</v>
      </c>
      <c r="C130" s="2">
        <v>6.5000000000000002E-2</v>
      </c>
      <c r="D130" s="2">
        <v>-30.860446790363898</v>
      </c>
      <c r="E130" s="15">
        <v>2.5067944282618301E-5</v>
      </c>
      <c r="F130" s="2">
        <v>0</v>
      </c>
      <c r="G130" s="2">
        <v>-12.3173910323383</v>
      </c>
      <c r="H130" s="2" t="s">
        <v>17</v>
      </c>
    </row>
    <row r="131" spans="2:19" ht="14.25" customHeight="1" x14ac:dyDescent="0.3">
      <c r="B131" s="2">
        <v>129</v>
      </c>
      <c r="C131" s="2">
        <v>6.5000000000000002E-2</v>
      </c>
      <c r="D131" s="2">
        <v>9.1683954672763903</v>
      </c>
      <c r="E131" s="2">
        <v>1.3473327058353699</v>
      </c>
      <c r="F131" s="2">
        <v>1.504</v>
      </c>
      <c r="G131" s="2">
        <v>95.100537208395494</v>
      </c>
      <c r="H131" s="2" t="s">
        <v>18</v>
      </c>
    </row>
    <row r="132" spans="2:19" ht="14.25" customHeight="1" x14ac:dyDescent="0.3">
      <c r="B132" s="2">
        <v>130</v>
      </c>
      <c r="C132" s="2">
        <v>6.5000000000000002E-2</v>
      </c>
      <c r="D132" s="2">
        <v>1.0312578737545299E-3</v>
      </c>
      <c r="E132" s="2">
        <v>0.65513653208396605</v>
      </c>
      <c r="F132" s="2">
        <v>1.165</v>
      </c>
      <c r="G132" s="2">
        <v>99.441986217628596</v>
      </c>
      <c r="H132" s="11" t="s">
        <v>27</v>
      </c>
    </row>
    <row r="133" spans="2:19" ht="14.25" customHeight="1" x14ac:dyDescent="0.3">
      <c r="B133" s="2">
        <v>131</v>
      </c>
      <c r="C133" s="2">
        <v>6.7500000000000004E-2</v>
      </c>
      <c r="D133" s="2">
        <v>1.0312579024442201E-3</v>
      </c>
      <c r="E133" s="2">
        <v>0.65513654722148396</v>
      </c>
      <c r="F133" s="2">
        <v>1.165</v>
      </c>
      <c r="G133" s="2">
        <v>99.441986592321499</v>
      </c>
      <c r="H133" s="5" t="s">
        <v>6</v>
      </c>
      <c r="S133" s="15"/>
    </row>
    <row r="134" spans="2:19" ht="14.25" customHeight="1" x14ac:dyDescent="0.3">
      <c r="B134" s="2">
        <v>132</v>
      </c>
      <c r="C134" s="2">
        <v>6.7500000000000004E-2</v>
      </c>
      <c r="D134" s="2">
        <v>18.296844179394899</v>
      </c>
      <c r="E134" s="2">
        <v>1.6407113295134299</v>
      </c>
      <c r="F134" s="2">
        <v>1.5169999999999999</v>
      </c>
      <c r="G134" s="2">
        <v>93.717390203655199</v>
      </c>
      <c r="H134" s="2" t="s">
        <v>16</v>
      </c>
    </row>
    <row r="135" spans="2:19" ht="14.25" customHeight="1" x14ac:dyDescent="0.3">
      <c r="B135" s="2">
        <v>133</v>
      </c>
      <c r="C135" s="2">
        <v>6.7500000000000004E-2</v>
      </c>
      <c r="D135" s="2">
        <v>-30.8604467902835</v>
      </c>
      <c r="E135" s="15">
        <v>2.68228351465879E-5</v>
      </c>
      <c r="F135" s="2">
        <v>0</v>
      </c>
      <c r="G135" s="2">
        <v>-12.3173910322999</v>
      </c>
      <c r="H135" s="2" t="s">
        <v>17</v>
      </c>
    </row>
    <row r="136" spans="2:19" ht="14.25" customHeight="1" x14ac:dyDescent="0.3">
      <c r="B136" s="2">
        <v>134</v>
      </c>
      <c r="C136" s="2">
        <v>6.7500000000000004E-2</v>
      </c>
      <c r="D136" s="2">
        <v>9.1683954672533705</v>
      </c>
      <c r="E136" s="2">
        <v>1.34733270513403</v>
      </c>
      <c r="F136" s="2">
        <v>1.504</v>
      </c>
      <c r="G136" s="2">
        <v>95.100537211475299</v>
      </c>
      <c r="H136" s="2" t="s">
        <v>18</v>
      </c>
    </row>
    <row r="137" spans="2:19" ht="14.25" customHeight="1" x14ac:dyDescent="0.3">
      <c r="B137" s="2">
        <v>135</v>
      </c>
      <c r="C137" s="2">
        <v>6.7500000000000004E-2</v>
      </c>
      <c r="D137" s="2">
        <v>1.03125794791867E-3</v>
      </c>
      <c r="E137" s="2">
        <v>0.655136547136009</v>
      </c>
      <c r="F137" s="2">
        <v>1.165</v>
      </c>
      <c r="G137" s="2">
        <v>99.441986617568901</v>
      </c>
      <c r="H137" s="11" t="s">
        <v>27</v>
      </c>
      <c r="S137" s="15"/>
    </row>
    <row r="138" spans="2:19" ht="14.25" customHeight="1" x14ac:dyDescent="0.3">
      <c r="B138" s="2">
        <v>136</v>
      </c>
      <c r="C138" s="2">
        <v>7.0000000000000007E-2</v>
      </c>
      <c r="D138" s="2">
        <v>1.0312578737545299E-3</v>
      </c>
      <c r="E138" s="2">
        <v>0.65513653208396605</v>
      </c>
      <c r="F138" s="2">
        <v>1.165</v>
      </c>
      <c r="G138" s="2">
        <v>99.441986217628596</v>
      </c>
      <c r="H138" s="5" t="s">
        <v>6</v>
      </c>
    </row>
    <row r="139" spans="2:19" ht="14.25" customHeight="1" x14ac:dyDescent="0.3">
      <c r="B139" s="2">
        <v>137</v>
      </c>
      <c r="C139" s="2">
        <v>7.0000000000000007E-2</v>
      </c>
      <c r="D139" s="2">
        <v>18.2968441802585</v>
      </c>
      <c r="E139" s="2">
        <v>1.64071132687578</v>
      </c>
      <c r="F139" s="2">
        <v>1.5169999999999999</v>
      </c>
      <c r="G139" s="2">
        <v>93.717390228169293</v>
      </c>
      <c r="H139" s="2" t="s">
        <v>16</v>
      </c>
    </row>
    <row r="140" spans="2:19" ht="14.25" customHeight="1" x14ac:dyDescent="0.3">
      <c r="B140" s="2">
        <v>138</v>
      </c>
      <c r="C140" s="2">
        <v>7.0000000000000007E-2</v>
      </c>
      <c r="D140" s="2">
        <v>-30.860446790363898</v>
      </c>
      <c r="E140" s="15">
        <v>2.5067944282618301E-5</v>
      </c>
      <c r="F140" s="2">
        <v>0</v>
      </c>
      <c r="G140" s="2">
        <v>-12.3173910323383</v>
      </c>
      <c r="H140" s="2" t="s">
        <v>17</v>
      </c>
    </row>
    <row r="141" spans="2:19" ht="14.25" customHeight="1" x14ac:dyDescent="0.3">
      <c r="B141" s="2">
        <v>139</v>
      </c>
      <c r="C141" s="2">
        <v>7.0000000000000007E-2</v>
      </c>
      <c r="D141" s="2">
        <v>9.1683954672763903</v>
      </c>
      <c r="E141" s="2">
        <v>1.3473327058353699</v>
      </c>
      <c r="F141" s="2">
        <v>1.504</v>
      </c>
      <c r="G141" s="2">
        <v>95.100537208395494</v>
      </c>
      <c r="H141" s="2" t="s">
        <v>18</v>
      </c>
      <c r="S141" s="15"/>
    </row>
    <row r="142" spans="2:19" ht="14.25" customHeight="1" x14ac:dyDescent="0.3">
      <c r="B142" s="2">
        <v>140</v>
      </c>
      <c r="C142" s="2">
        <v>7.0000000000000007E-2</v>
      </c>
      <c r="D142" s="2">
        <v>1.0312578737545299E-3</v>
      </c>
      <c r="E142" s="2">
        <v>0.65513653208396605</v>
      </c>
      <c r="F142" s="2">
        <v>1.165</v>
      </c>
      <c r="G142" s="2">
        <v>99.441986217628596</v>
      </c>
      <c r="H142" s="11" t="s">
        <v>27</v>
      </c>
    </row>
    <row r="143" spans="2:19" ht="14.25" customHeight="1" x14ac:dyDescent="0.3">
      <c r="B143" s="2">
        <v>141</v>
      </c>
      <c r="C143" s="2">
        <v>7.2499999999999995E-2</v>
      </c>
      <c r="D143" s="2">
        <v>1.0312579024442201E-3</v>
      </c>
      <c r="E143" s="2">
        <v>0.65513654722148396</v>
      </c>
      <c r="F143" s="2">
        <v>1.165</v>
      </c>
      <c r="G143" s="2">
        <v>99.441986592321499</v>
      </c>
      <c r="H143" s="5" t="s">
        <v>6</v>
      </c>
    </row>
    <row r="144" spans="2:19" ht="14.25" customHeight="1" x14ac:dyDescent="0.3">
      <c r="B144" s="2">
        <v>142</v>
      </c>
      <c r="C144" s="2">
        <v>7.2499999999999995E-2</v>
      </c>
      <c r="D144" s="2">
        <v>18.296844179394899</v>
      </c>
      <c r="E144" s="2">
        <v>1.6407113295134299</v>
      </c>
      <c r="F144" s="2">
        <v>1.5169999999999999</v>
      </c>
      <c r="G144" s="2">
        <v>93.717390203655199</v>
      </c>
      <c r="H144" s="2" t="s">
        <v>16</v>
      </c>
    </row>
    <row r="145" spans="2:19" ht="14.25" customHeight="1" x14ac:dyDescent="0.3">
      <c r="B145" s="2">
        <v>143</v>
      </c>
      <c r="C145" s="2">
        <v>7.2499999999999995E-2</v>
      </c>
      <c r="D145" s="2">
        <v>-30.8604467902835</v>
      </c>
      <c r="E145" s="15">
        <v>2.68228351465879E-5</v>
      </c>
      <c r="F145" s="2">
        <v>0</v>
      </c>
      <c r="G145" s="2">
        <v>-12.3173910322999</v>
      </c>
      <c r="H145" s="2" t="s">
        <v>17</v>
      </c>
      <c r="S145" s="15"/>
    </row>
    <row r="146" spans="2:19" ht="14.25" customHeight="1" x14ac:dyDescent="0.3">
      <c r="B146" s="2">
        <v>144</v>
      </c>
      <c r="C146" s="2">
        <v>7.2499999999999995E-2</v>
      </c>
      <c r="D146" s="2">
        <v>9.1683954672533705</v>
      </c>
      <c r="E146" s="2">
        <v>1.34733270513403</v>
      </c>
      <c r="F146" s="2">
        <v>1.504</v>
      </c>
      <c r="G146" s="2">
        <v>95.100537211475299</v>
      </c>
      <c r="H146" s="2" t="s">
        <v>18</v>
      </c>
    </row>
    <row r="147" spans="2:19" ht="14.25" customHeight="1" x14ac:dyDescent="0.3">
      <c r="B147" s="2">
        <v>145</v>
      </c>
      <c r="C147" s="2">
        <v>7.2499999999999995E-2</v>
      </c>
      <c r="D147" s="2">
        <v>1.03125794791867E-3</v>
      </c>
      <c r="E147" s="2">
        <v>0.655136547136009</v>
      </c>
      <c r="F147" s="2">
        <v>1.165</v>
      </c>
      <c r="G147" s="2">
        <v>99.441986617568901</v>
      </c>
      <c r="H147" s="11" t="s">
        <v>27</v>
      </c>
    </row>
    <row r="148" spans="2:19" ht="14.25" customHeight="1" x14ac:dyDescent="0.3">
      <c r="B148" s="2">
        <v>146</v>
      </c>
      <c r="C148" s="2">
        <v>7.4999999999999997E-2</v>
      </c>
      <c r="D148" s="2">
        <v>1.0312578737545299E-3</v>
      </c>
      <c r="E148" s="2">
        <v>0.65513653208396605</v>
      </c>
      <c r="F148" s="2">
        <v>1.165</v>
      </c>
      <c r="G148" s="2">
        <v>99.441986217628596</v>
      </c>
      <c r="H148" s="5" t="s">
        <v>6</v>
      </c>
    </row>
    <row r="149" spans="2:19" ht="14.25" customHeight="1" x14ac:dyDescent="0.3">
      <c r="B149" s="2">
        <v>147</v>
      </c>
      <c r="C149" s="2">
        <v>7.4999999999999997E-2</v>
      </c>
      <c r="D149" s="2">
        <v>18.2968441802585</v>
      </c>
      <c r="E149" s="2">
        <v>1.64071132687578</v>
      </c>
      <c r="F149" s="2">
        <v>1.5169999999999999</v>
      </c>
      <c r="G149" s="2">
        <v>93.717390228169293</v>
      </c>
      <c r="H149" s="2" t="s">
        <v>16</v>
      </c>
      <c r="S149" s="15"/>
    </row>
    <row r="150" spans="2:19" ht="14.25" customHeight="1" x14ac:dyDescent="0.3">
      <c r="B150" s="2">
        <v>148</v>
      </c>
      <c r="C150" s="2">
        <v>7.4999999999999997E-2</v>
      </c>
      <c r="D150" s="2">
        <v>-30.860446790363898</v>
      </c>
      <c r="E150" s="15">
        <v>2.5067944282618301E-5</v>
      </c>
      <c r="F150" s="2">
        <v>0</v>
      </c>
      <c r="G150" s="2">
        <v>-12.3173910323383</v>
      </c>
      <c r="H150" s="2" t="s">
        <v>17</v>
      </c>
    </row>
    <row r="151" spans="2:19" ht="14.25" customHeight="1" x14ac:dyDescent="0.3">
      <c r="B151" s="2">
        <v>149</v>
      </c>
      <c r="C151" s="2">
        <v>7.4999999999999997E-2</v>
      </c>
      <c r="D151" s="2">
        <v>9.1683954672763903</v>
      </c>
      <c r="E151" s="2">
        <v>1.3473327058353699</v>
      </c>
      <c r="F151" s="2">
        <v>1.504</v>
      </c>
      <c r="G151" s="2">
        <v>95.100537208395494</v>
      </c>
      <c r="H151" s="2" t="s">
        <v>18</v>
      </c>
    </row>
    <row r="152" spans="2:19" ht="14.25" customHeight="1" x14ac:dyDescent="0.3">
      <c r="B152" s="2">
        <v>150</v>
      </c>
      <c r="C152" s="2">
        <v>7.4999999999999997E-2</v>
      </c>
      <c r="D152" s="2">
        <v>1.0312578737545299E-3</v>
      </c>
      <c r="E152" s="2">
        <v>0.65513653208396605</v>
      </c>
      <c r="F152" s="2">
        <v>1.165</v>
      </c>
      <c r="G152" s="2">
        <v>99.441986217628596</v>
      </c>
      <c r="H152" s="11" t="s">
        <v>27</v>
      </c>
    </row>
    <row r="153" spans="2:19" ht="14.25" customHeight="1" x14ac:dyDescent="0.3">
      <c r="H153" s="5"/>
      <c r="S153" s="15"/>
    </row>
    <row r="154" spans="2:19" ht="14.25" customHeight="1" x14ac:dyDescent="0.3"/>
    <row r="155" spans="2:19" ht="14.25" customHeight="1" x14ac:dyDescent="0.3"/>
    <row r="156" spans="2:19" ht="14.25" customHeight="1" x14ac:dyDescent="0.3"/>
    <row r="157" spans="2:19" ht="14.25" customHeight="1" x14ac:dyDescent="0.3"/>
    <row r="158" spans="2:19" ht="14.25" customHeight="1" x14ac:dyDescent="0.3"/>
    <row r="159" spans="2:19" ht="14.25" customHeight="1" x14ac:dyDescent="0.3"/>
    <row r="160" spans="2:19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B1:H1"/>
    <mergeCell ref="J1:O1"/>
    <mergeCell ref="Q1:V1"/>
  </mergeCells>
  <conditionalFormatting sqref="G3:G10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8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DD6EE"/>
  </sheetPr>
  <dimension ref="A1:AA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6.6640625" customWidth="1"/>
    <col min="3" max="8" width="8.6640625" customWidth="1"/>
    <col min="9" max="9" width="4.88671875" customWidth="1"/>
    <col min="10" max="10" width="6.33203125" customWidth="1"/>
    <col min="11" max="15" width="8.6640625" customWidth="1"/>
    <col min="16" max="16" width="5.109375" customWidth="1"/>
    <col min="17" max="27" width="8.6640625" customWidth="1"/>
  </cols>
  <sheetData>
    <row r="1" spans="1:27" ht="14.25" customHeight="1" x14ac:dyDescent="0.3">
      <c r="A1" s="2" t="s">
        <v>5</v>
      </c>
      <c r="B1" s="52" t="s">
        <v>20</v>
      </c>
      <c r="C1" s="53"/>
      <c r="D1" s="53"/>
      <c r="E1" s="53"/>
      <c r="F1" s="53"/>
      <c r="G1" s="53"/>
      <c r="H1" s="53"/>
      <c r="J1" s="52" t="s">
        <v>21</v>
      </c>
      <c r="K1" s="53"/>
      <c r="L1" s="53"/>
      <c r="M1" s="53"/>
      <c r="N1" s="53"/>
      <c r="O1" s="53"/>
      <c r="Q1" s="52" t="s">
        <v>22</v>
      </c>
      <c r="R1" s="53"/>
      <c r="S1" s="53"/>
      <c r="T1" s="53"/>
      <c r="U1" s="53"/>
      <c r="V1" s="53"/>
    </row>
    <row r="2" spans="1:27" ht="14.25" customHeight="1" x14ac:dyDescent="0.3">
      <c r="B2" s="2" t="s">
        <v>23</v>
      </c>
      <c r="C2" s="2" t="s">
        <v>24</v>
      </c>
      <c r="D2" s="2" t="s">
        <v>11</v>
      </c>
      <c r="E2" s="2" t="s">
        <v>12</v>
      </c>
      <c r="F2" s="2" t="s">
        <v>13</v>
      </c>
      <c r="G2" s="2" t="s">
        <v>25</v>
      </c>
      <c r="H2" s="2" t="s">
        <v>26</v>
      </c>
      <c r="J2" s="2" t="s">
        <v>23</v>
      </c>
      <c r="K2" s="2" t="s">
        <v>24</v>
      </c>
      <c r="L2" s="2" t="s">
        <v>11</v>
      </c>
      <c r="M2" s="2" t="s">
        <v>12</v>
      </c>
      <c r="N2" s="2" t="s">
        <v>25</v>
      </c>
      <c r="O2" s="2" t="s">
        <v>26</v>
      </c>
      <c r="Q2" s="2" t="s">
        <v>23</v>
      </c>
      <c r="R2" s="2" t="s">
        <v>24</v>
      </c>
      <c r="S2" s="2" t="s">
        <v>6</v>
      </c>
      <c r="T2" s="2" t="s">
        <v>16</v>
      </c>
      <c r="U2" s="2" t="s">
        <v>17</v>
      </c>
      <c r="V2" s="2" t="s">
        <v>18</v>
      </c>
    </row>
    <row r="3" spans="1:27" ht="14.25" customHeight="1" x14ac:dyDescent="0.3">
      <c r="B3" s="2">
        <v>1</v>
      </c>
      <c r="C3" s="2">
        <v>2.5000000000000001E-3</v>
      </c>
      <c r="D3" s="2">
        <v>1.0312579009531201E-3</v>
      </c>
      <c r="E3" s="2">
        <v>0.65513653528697402</v>
      </c>
      <c r="F3" s="2">
        <v>1.165</v>
      </c>
      <c r="G3" s="2">
        <v>99.441986700551297</v>
      </c>
      <c r="H3" s="5" t="s">
        <v>6</v>
      </c>
      <c r="J3" s="2">
        <v>1</v>
      </c>
      <c r="K3" s="2">
        <v>2.5000000000000001E-3</v>
      </c>
      <c r="L3" s="2">
        <v>1.0358574840895101E-3</v>
      </c>
      <c r="M3" s="15">
        <v>1.9346672799153799</v>
      </c>
      <c r="N3" s="2">
        <v>73.089867377895004</v>
      </c>
      <c r="O3" s="5" t="s">
        <v>6</v>
      </c>
      <c r="Q3" s="2">
        <v>1</v>
      </c>
      <c r="R3" s="2">
        <v>2.5000000000000001E-3</v>
      </c>
      <c r="S3" s="19">
        <v>-1.0851210789000599E-2</v>
      </c>
      <c r="T3" s="2">
        <v>1.69885038516782E-3</v>
      </c>
      <c r="U3" s="15">
        <v>3.6282196019093199E-3</v>
      </c>
      <c r="V3" s="15">
        <v>-2.7320716366783502E-3</v>
      </c>
      <c r="X3" s="2">
        <f t="shared" ref="X3:AA3" si="0">S4-S3</f>
        <v>0</v>
      </c>
      <c r="Y3" s="2">
        <f t="shared" si="0"/>
        <v>7.0788560071690602E-3</v>
      </c>
      <c r="Z3" s="18">
        <f t="shared" si="0"/>
        <v>0</v>
      </c>
      <c r="AA3" s="18">
        <f t="shared" si="0"/>
        <v>-4.5203589222604194E-3</v>
      </c>
    </row>
    <row r="4" spans="1:27" ht="14.25" customHeight="1" x14ac:dyDescent="0.3">
      <c r="B4" s="2">
        <v>2</v>
      </c>
      <c r="C4" s="2">
        <v>2.5000000000000001E-3</v>
      </c>
      <c r="D4" s="2">
        <v>11.304380321526599</v>
      </c>
      <c r="E4" s="2">
        <v>0.20574476547519299</v>
      </c>
      <c r="F4" s="2">
        <v>1.7789999999999999</v>
      </c>
      <c r="G4" s="2">
        <v>96.093109920201499</v>
      </c>
      <c r="H4" s="2" t="s">
        <v>16</v>
      </c>
      <c r="J4" s="2">
        <v>2</v>
      </c>
      <c r="K4" s="2">
        <v>2.5000000000000001E-3</v>
      </c>
      <c r="L4" s="2">
        <v>11.3473425676857</v>
      </c>
      <c r="M4" s="2">
        <v>1.86349493855939</v>
      </c>
      <c r="N4" s="2">
        <v>70.768195478241594</v>
      </c>
      <c r="O4" s="2" t="s">
        <v>16</v>
      </c>
      <c r="Q4" s="2">
        <v>2</v>
      </c>
      <c r="R4" s="2">
        <v>5.0000000000000001E-3</v>
      </c>
      <c r="S4" s="2">
        <v>-1.0851210789000599E-2</v>
      </c>
      <c r="T4" s="2">
        <v>8.7777063923368797E-3</v>
      </c>
      <c r="U4" s="15">
        <v>3.6282196019093199E-3</v>
      </c>
      <c r="V4" s="15">
        <v>-7.2524305589387701E-3</v>
      </c>
      <c r="X4" s="2">
        <f t="shared" ref="X4:AA4" si="1">S5-S4</f>
        <v>0</v>
      </c>
      <c r="Y4" s="2">
        <f t="shared" si="1"/>
        <v>7.1135672788642194E-3</v>
      </c>
      <c r="Z4" s="18">
        <f t="shared" si="1"/>
        <v>2.0300167796749591E-14</v>
      </c>
      <c r="AA4" s="18">
        <f t="shared" si="1"/>
        <v>-4.5425245669067299E-3</v>
      </c>
    </row>
    <row r="5" spans="1:27" ht="14.25" customHeight="1" x14ac:dyDescent="0.3">
      <c r="B5" s="2">
        <v>3</v>
      </c>
      <c r="C5" s="2">
        <v>2.5000000000000001E-3</v>
      </c>
      <c r="D5" s="2">
        <v>6.6105961440884996E-3</v>
      </c>
      <c r="E5" s="2">
        <v>0.700284812842076</v>
      </c>
      <c r="F5" s="2">
        <v>1.224</v>
      </c>
      <c r="G5" s="2">
        <v>99.294588765662397</v>
      </c>
      <c r="H5" s="2" t="s">
        <v>17</v>
      </c>
      <c r="J5" s="2">
        <v>3</v>
      </c>
      <c r="K5" s="2">
        <v>2.5000000000000001E-3</v>
      </c>
      <c r="L5" s="2">
        <v>6.6406977755736401E-3</v>
      </c>
      <c r="M5" s="2">
        <v>2.01408473275391</v>
      </c>
      <c r="N5" s="2">
        <v>73.982744799727499</v>
      </c>
      <c r="O5" s="2" t="s">
        <v>17</v>
      </c>
      <c r="Q5" s="2">
        <v>3</v>
      </c>
      <c r="R5" s="2">
        <v>7.4999999999999997E-3</v>
      </c>
      <c r="S5" s="2">
        <v>-1.0851210789000599E-2</v>
      </c>
      <c r="T5" s="2">
        <v>1.5891273671201099E-2</v>
      </c>
      <c r="U5" s="15">
        <v>3.6282196019296201E-3</v>
      </c>
      <c r="V5" s="15">
        <v>-1.17949551258455E-2</v>
      </c>
      <c r="X5" s="2">
        <f t="shared" ref="X5:AA5" si="2">S6-S5</f>
        <v>0</v>
      </c>
      <c r="Y5" s="2">
        <f t="shared" si="2"/>
        <v>7.1485331698256001E-3</v>
      </c>
      <c r="Z5" s="18">
        <f t="shared" si="2"/>
        <v>0</v>
      </c>
      <c r="AA5" s="18">
        <f t="shared" si="2"/>
        <v>-4.5648528042280014E-3</v>
      </c>
    </row>
    <row r="6" spans="1:27" ht="14.25" customHeight="1" x14ac:dyDescent="0.3">
      <c r="B6" s="2">
        <v>4</v>
      </c>
      <c r="C6" s="2">
        <v>2.5000000000000001E-3</v>
      </c>
      <c r="D6" s="2">
        <v>-6.8533030149004199</v>
      </c>
      <c r="E6" s="2">
        <v>2.21039625844155E-2</v>
      </c>
      <c r="F6" s="2">
        <v>0</v>
      </c>
      <c r="G6" s="2">
        <v>-6.4399922155331302</v>
      </c>
      <c r="H6" s="2" t="s">
        <v>18</v>
      </c>
      <c r="J6" s="2">
        <v>4</v>
      </c>
      <c r="K6" s="2">
        <v>2.5000000000000001E-3</v>
      </c>
      <c r="L6" s="2">
        <v>-6.8533030147595797</v>
      </c>
      <c r="M6" s="2">
        <v>3.1100010709344199E-4</v>
      </c>
      <c r="N6" s="2">
        <v>-6.4399922155331302</v>
      </c>
      <c r="O6" s="2" t="s">
        <v>18</v>
      </c>
      <c r="Q6" s="2">
        <v>4</v>
      </c>
      <c r="R6" s="2">
        <v>0.01</v>
      </c>
      <c r="S6" s="2">
        <v>-1.0851210789000599E-2</v>
      </c>
      <c r="T6" s="2">
        <v>2.3039806841026699E-2</v>
      </c>
      <c r="U6" s="15">
        <v>3.6282196019296201E-3</v>
      </c>
      <c r="V6" s="15">
        <v>-1.6359807930073501E-2</v>
      </c>
      <c r="X6" s="2">
        <f t="shared" ref="X6:AA6" si="3">S7-S6</f>
        <v>0</v>
      </c>
      <c r="Y6" s="2">
        <f t="shared" si="3"/>
        <v>7.1837561632435015E-3</v>
      </c>
      <c r="Z6" s="18">
        <f t="shared" si="3"/>
        <v>-2.0300167796749591E-14</v>
      </c>
      <c r="AA6" s="18">
        <f t="shared" si="3"/>
        <v>-4.5873452200218996E-3</v>
      </c>
    </row>
    <row r="7" spans="1:27" ht="14.25" customHeight="1" x14ac:dyDescent="0.3">
      <c r="B7" s="2">
        <v>5</v>
      </c>
      <c r="C7" s="2">
        <v>2.5000000000000001E-3</v>
      </c>
      <c r="D7" s="2">
        <v>1.0312579463787499E-3</v>
      </c>
      <c r="E7" s="2">
        <v>0.65513653528696103</v>
      </c>
      <c r="F7" s="2">
        <v>1.165</v>
      </c>
      <c r="G7" s="2">
        <v>99.441986725869299</v>
      </c>
      <c r="H7" s="11" t="s">
        <v>27</v>
      </c>
      <c r="J7" s="2">
        <v>5</v>
      </c>
      <c r="K7" s="2">
        <v>5.0000000000000001E-3</v>
      </c>
      <c r="L7" s="2">
        <v>2.0777446440203699E-4</v>
      </c>
      <c r="M7" s="15">
        <v>2.0286714929810499</v>
      </c>
      <c r="N7" s="2">
        <v>77.373780532911596</v>
      </c>
      <c r="O7" s="5" t="s">
        <v>6</v>
      </c>
      <c r="Q7" s="2">
        <v>5</v>
      </c>
      <c r="R7" s="2">
        <v>1.2500000000000001E-2</v>
      </c>
      <c r="S7" s="2">
        <v>-1.0851210789000599E-2</v>
      </c>
      <c r="T7" s="2">
        <v>3.0223563004270201E-2</v>
      </c>
      <c r="U7" s="15">
        <v>3.6282196019093199E-3</v>
      </c>
      <c r="V7" s="15">
        <v>-2.0947153150095401E-2</v>
      </c>
      <c r="X7" s="2">
        <f t="shared" ref="X7:AA7" si="4">S8-S7</f>
        <v>0</v>
      </c>
      <c r="Y7" s="2">
        <f t="shared" si="4"/>
        <v>7.2192387725352018E-3</v>
      </c>
      <c r="Z7" s="18">
        <f t="shared" si="4"/>
        <v>2.0300167796749591E-14</v>
      </c>
      <c r="AA7" s="18">
        <f t="shared" si="4"/>
        <v>-4.6100034191955998E-3</v>
      </c>
    </row>
    <row r="8" spans="1:27" ht="14.25" customHeight="1" x14ac:dyDescent="0.3">
      <c r="B8" s="2">
        <v>6</v>
      </c>
      <c r="C8" s="2">
        <v>5.0000000000000001E-3</v>
      </c>
      <c r="D8" s="2">
        <v>2.0682320504580601E-4</v>
      </c>
      <c r="E8" s="2">
        <v>0.72707360908221796</v>
      </c>
      <c r="F8" s="2">
        <v>1.2</v>
      </c>
      <c r="G8" s="2">
        <v>99.228057626023997</v>
      </c>
      <c r="H8" s="5" t="s">
        <v>6</v>
      </c>
      <c r="J8" s="2">
        <v>6</v>
      </c>
      <c r="K8" s="2">
        <v>5.0000000000000001E-3</v>
      </c>
      <c r="L8" s="2">
        <v>11.3410771741388</v>
      </c>
      <c r="M8" s="2">
        <v>1.8633750639917199</v>
      </c>
      <c r="N8" s="2">
        <v>74.370616926300599</v>
      </c>
      <c r="O8" s="2" t="s">
        <v>16</v>
      </c>
      <c r="Q8" s="2">
        <v>6</v>
      </c>
      <c r="R8" s="2">
        <v>1.4999999999999999E-2</v>
      </c>
      <c r="S8" s="2">
        <v>-1.0851210789000599E-2</v>
      </c>
      <c r="T8" s="2">
        <v>3.7442801776805403E-2</v>
      </c>
      <c r="U8" s="15">
        <v>3.6282196019296201E-3</v>
      </c>
      <c r="V8" s="15">
        <v>-2.5557156569291001E-2</v>
      </c>
      <c r="X8" s="2">
        <f t="shared" ref="X8:AA8" si="5">S9-S8</f>
        <v>0</v>
      </c>
      <c r="Y8" s="2">
        <f t="shared" si="5"/>
        <v>7.2549835417702949E-3</v>
      </c>
      <c r="Z8" s="18">
        <f t="shared" si="5"/>
        <v>0</v>
      </c>
      <c r="AA8" s="18">
        <f t="shared" si="5"/>
        <v>-4.6328290264173975E-3</v>
      </c>
    </row>
    <row r="9" spans="1:27" ht="14.25" customHeight="1" x14ac:dyDescent="0.3">
      <c r="B9" s="2">
        <v>7</v>
      </c>
      <c r="C9" s="2">
        <v>5.0000000000000001E-3</v>
      </c>
      <c r="D9" s="2">
        <v>11.298147494781301</v>
      </c>
      <c r="E9" s="2">
        <v>0.20501056276879201</v>
      </c>
      <c r="F9" s="2">
        <v>1.7789999999999999</v>
      </c>
      <c r="G9" s="2">
        <v>96.572086495642296</v>
      </c>
      <c r="H9" s="2" t="s">
        <v>16</v>
      </c>
      <c r="J9" s="2">
        <v>7</v>
      </c>
      <c r="K9" s="2">
        <v>5.0000000000000001E-3</v>
      </c>
      <c r="L9" s="2">
        <v>1.7600379478900799E-3</v>
      </c>
      <c r="M9" s="2">
        <v>2.1063134858471302</v>
      </c>
      <c r="N9" s="2">
        <v>77.836757379820497</v>
      </c>
      <c r="O9" s="2" t="s">
        <v>17</v>
      </c>
      <c r="Q9" s="2">
        <v>7</v>
      </c>
      <c r="R9" s="2">
        <v>1.7500000000000002E-2</v>
      </c>
      <c r="S9" s="2">
        <v>-1.0851210789000599E-2</v>
      </c>
      <c r="T9" s="2">
        <v>4.4697785318575697E-2</v>
      </c>
      <c r="U9" s="15">
        <v>3.6282196019296201E-3</v>
      </c>
      <c r="V9" s="15">
        <v>-3.0189985595708398E-2</v>
      </c>
      <c r="X9" s="2">
        <f t="shared" ref="X9:AA9" si="6">S10-S9</f>
        <v>0</v>
      </c>
      <c r="Y9" s="2">
        <f t="shared" si="6"/>
        <v>7.2909930460696021E-3</v>
      </c>
      <c r="Z9" s="18">
        <f t="shared" si="6"/>
        <v>0</v>
      </c>
      <c r="AA9" s="18">
        <f t="shared" si="6"/>
        <v>-4.6558236859837003E-3</v>
      </c>
    </row>
    <row r="10" spans="1:27" ht="14.25" customHeight="1" x14ac:dyDescent="0.3">
      <c r="B10" s="2">
        <v>8</v>
      </c>
      <c r="C10" s="2">
        <v>5.0000000000000001E-3</v>
      </c>
      <c r="D10" s="2">
        <v>1.7517637603158599E-3</v>
      </c>
      <c r="E10" s="15">
        <v>0.73567919742142496</v>
      </c>
      <c r="F10" s="2">
        <v>1.3009999999999999</v>
      </c>
      <c r="G10" s="2">
        <v>99.170639987661602</v>
      </c>
      <c r="H10" s="2" t="s">
        <v>17</v>
      </c>
      <c r="J10" s="2">
        <v>8</v>
      </c>
      <c r="K10" s="2">
        <v>5.0000000000000001E-3</v>
      </c>
      <c r="L10" s="2">
        <v>-6.8558608190285204</v>
      </c>
      <c r="M10" s="2">
        <v>3.1164153554700998E-4</v>
      </c>
      <c r="N10" s="2">
        <v>-5.9241131846724304</v>
      </c>
      <c r="O10" s="2" t="s">
        <v>18</v>
      </c>
      <c r="Q10" s="2">
        <v>8</v>
      </c>
      <c r="R10" s="2">
        <v>0.02</v>
      </c>
      <c r="S10" s="2">
        <v>-1.0851210789000599E-2</v>
      </c>
      <c r="T10" s="2">
        <v>5.1988778364645299E-2</v>
      </c>
      <c r="U10" s="15">
        <v>3.6282196019296201E-3</v>
      </c>
      <c r="V10" s="15">
        <v>-3.4845809281692099E-2</v>
      </c>
      <c r="X10" s="2">
        <f t="shared" ref="X10:AA10" si="7">S11-S10</f>
        <v>0</v>
      </c>
      <c r="Y10" s="2">
        <f t="shared" si="7"/>
        <v>7.3272698920164026E-3</v>
      </c>
      <c r="Z10" s="18">
        <f t="shared" si="7"/>
        <v>0</v>
      </c>
      <c r="AA10" s="18">
        <f t="shared" si="7"/>
        <v>-4.6789890624034033E-3</v>
      </c>
    </row>
    <row r="11" spans="1:27" ht="14.25" customHeight="1" x14ac:dyDescent="0.3">
      <c r="B11" s="2">
        <v>9</v>
      </c>
      <c r="C11" s="2">
        <v>5.0000000000000001E-3</v>
      </c>
      <c r="D11" s="2">
        <v>-6.8558608189402399</v>
      </c>
      <c r="E11" s="15">
        <v>5.2544696750858397E-9</v>
      </c>
      <c r="F11" s="2">
        <v>0</v>
      </c>
      <c r="G11" s="2">
        <v>-5.9241131846724304</v>
      </c>
      <c r="H11" s="2" t="s">
        <v>18</v>
      </c>
      <c r="J11" s="2">
        <v>9</v>
      </c>
      <c r="K11" s="2">
        <v>7.4999999999999997E-3</v>
      </c>
      <c r="L11" s="2">
        <v>1.03585681702452E-3</v>
      </c>
      <c r="M11" s="15">
        <v>1.9346671864499401</v>
      </c>
      <c r="N11" s="2">
        <v>73.089868848641203</v>
      </c>
      <c r="O11" s="5" t="s">
        <v>6</v>
      </c>
      <c r="Q11" s="2">
        <v>9</v>
      </c>
      <c r="R11" s="2">
        <v>2.2499999999999999E-2</v>
      </c>
      <c r="S11" s="2">
        <v>-1.0851210789000599E-2</v>
      </c>
      <c r="T11" s="2">
        <v>5.9316048256661702E-2</v>
      </c>
      <c r="U11" s="15">
        <v>3.6282196019296201E-3</v>
      </c>
      <c r="V11" s="15">
        <v>-3.9524798344095502E-2</v>
      </c>
      <c r="X11" s="2">
        <f t="shared" ref="X11:AA11" si="8">S12-S11</f>
        <v>0</v>
      </c>
      <c r="Y11" s="2">
        <f t="shared" si="8"/>
        <v>7.3638167182537018E-3</v>
      </c>
      <c r="Z11" s="18">
        <f t="shared" si="8"/>
        <v>0</v>
      </c>
      <c r="AA11" s="18">
        <f t="shared" si="8"/>
        <v>-4.7023268407495947E-3</v>
      </c>
    </row>
    <row r="12" spans="1:27" ht="14.25" customHeight="1" x14ac:dyDescent="0.3">
      <c r="B12" s="2">
        <v>10</v>
      </c>
      <c r="C12" s="2">
        <v>5.0000000000000001E-3</v>
      </c>
      <c r="D12" s="2">
        <v>2.0681163172838501E-4</v>
      </c>
      <c r="E12" s="2">
        <v>0.72707360908311203</v>
      </c>
      <c r="F12" s="2">
        <v>1.2</v>
      </c>
      <c r="G12" s="2">
        <v>99.228060390483705</v>
      </c>
      <c r="H12" s="11" t="s">
        <v>27</v>
      </c>
      <c r="J12" s="2">
        <v>10</v>
      </c>
      <c r="K12" s="2">
        <v>7.4999999999999997E-3</v>
      </c>
      <c r="L12" s="2">
        <v>11.347342522894801</v>
      </c>
      <c r="M12" s="2">
        <v>1.86349493106018</v>
      </c>
      <c r="N12" s="2">
        <v>70.768195319729699</v>
      </c>
      <c r="O12" s="2" t="s">
        <v>16</v>
      </c>
      <c r="Q12" s="2">
        <v>10</v>
      </c>
      <c r="R12" s="2">
        <v>2.5000000000000001E-2</v>
      </c>
      <c r="S12" s="2">
        <v>-1.0851210789000599E-2</v>
      </c>
      <c r="T12" s="2">
        <v>6.6679864974915404E-2</v>
      </c>
      <c r="U12" s="15">
        <v>3.6282196019296201E-3</v>
      </c>
      <c r="V12" s="15">
        <v>-4.4227125184845097E-2</v>
      </c>
      <c r="X12" s="2">
        <f t="shared" ref="X12:AA12" si="9">S13-S12</f>
        <v>0</v>
      </c>
      <c r="Y12" s="2">
        <f t="shared" si="9"/>
        <v>7.4006361958395966E-3</v>
      </c>
      <c r="Z12" s="18">
        <f t="shared" si="9"/>
        <v>-2.0300167796749591E-14</v>
      </c>
      <c r="AA12" s="18">
        <f t="shared" si="9"/>
        <v>-4.7258387264919044E-3</v>
      </c>
    </row>
    <row r="13" spans="1:27" ht="14.25" customHeight="1" x14ac:dyDescent="0.3">
      <c r="B13" s="2">
        <v>11</v>
      </c>
      <c r="C13" s="2">
        <v>7.4999999999999997E-3</v>
      </c>
      <c r="D13" s="2">
        <v>1.0312572373436901E-3</v>
      </c>
      <c r="E13" s="2">
        <v>0.65513652219838003</v>
      </c>
      <c r="F13" s="2">
        <v>1.165</v>
      </c>
      <c r="G13" s="2">
        <v>99.441986851763801</v>
      </c>
      <c r="H13" s="5" t="s">
        <v>6</v>
      </c>
      <c r="J13" s="2">
        <v>11</v>
      </c>
      <c r="K13" s="2">
        <v>7.4999999999999997E-3</v>
      </c>
      <c r="L13" s="2">
        <v>6.6406653226646897E-3</v>
      </c>
      <c r="M13" s="2">
        <v>2.0140852745676701</v>
      </c>
      <c r="N13" s="2">
        <v>73.982750836869002</v>
      </c>
      <c r="O13" s="2" t="s">
        <v>17</v>
      </c>
      <c r="Q13" s="2">
        <v>11</v>
      </c>
      <c r="R13" s="2">
        <v>2.75E-2</v>
      </c>
      <c r="S13" s="2">
        <v>-1.0851210789000599E-2</v>
      </c>
      <c r="T13" s="2">
        <v>7.4080501170755E-2</v>
      </c>
      <c r="U13" s="15">
        <v>3.6282196019093199E-3</v>
      </c>
      <c r="V13" s="15">
        <v>-4.8952963911337001E-2</v>
      </c>
      <c r="X13" s="2">
        <f t="shared" ref="X13:AA13" si="10">S14-S13</f>
        <v>0</v>
      </c>
      <c r="Y13" s="2">
        <f t="shared" si="10"/>
        <v>7.4377310287161991E-3</v>
      </c>
      <c r="Z13" s="18">
        <f t="shared" si="10"/>
        <v>0</v>
      </c>
      <c r="AA13" s="18">
        <f t="shared" si="10"/>
        <v>-4.7495264464834999E-3</v>
      </c>
    </row>
    <row r="14" spans="1:27" ht="14.25" customHeight="1" x14ac:dyDescent="0.3">
      <c r="B14" s="2">
        <v>12</v>
      </c>
      <c r="C14" s="2">
        <v>7.4999999999999997E-3</v>
      </c>
      <c r="D14" s="2">
        <v>11.304380277530599</v>
      </c>
      <c r="E14" s="2">
        <v>0.205744723438819</v>
      </c>
      <c r="F14" s="2">
        <v>1.7789999999999999</v>
      </c>
      <c r="G14" s="2">
        <v>96.093109730985404</v>
      </c>
      <c r="H14" s="2" t="s">
        <v>16</v>
      </c>
      <c r="J14" s="2">
        <v>12</v>
      </c>
      <c r="K14" s="2">
        <v>7.4999999999999997E-3</v>
      </c>
      <c r="L14" s="2">
        <v>-6.8533030305612703</v>
      </c>
      <c r="M14" s="2">
        <v>3.11000108896944E-4</v>
      </c>
      <c r="N14" s="2">
        <v>-6.4399922306011002</v>
      </c>
      <c r="O14" s="2" t="s">
        <v>18</v>
      </c>
      <c r="Q14" s="2">
        <v>12</v>
      </c>
      <c r="R14" s="2">
        <v>0.03</v>
      </c>
      <c r="S14" s="2">
        <v>-1.0851210789000599E-2</v>
      </c>
      <c r="T14" s="2">
        <v>8.1518232199471199E-2</v>
      </c>
      <c r="U14" s="15">
        <v>3.6282196019093199E-3</v>
      </c>
      <c r="V14" s="15">
        <v>-5.3702490357820501E-2</v>
      </c>
      <c r="X14" s="2">
        <f t="shared" ref="X14:AA14" si="11">S15-S14</f>
        <v>0</v>
      </c>
      <c r="Y14" s="2">
        <f t="shared" si="11"/>
        <v>7.4751039543770048E-3</v>
      </c>
      <c r="Z14" s="18">
        <f t="shared" si="11"/>
        <v>2.0300167796749591E-14</v>
      </c>
      <c r="AA14" s="18">
        <f t="shared" si="11"/>
        <v>-4.773391748675998E-3</v>
      </c>
    </row>
    <row r="15" spans="1:27" ht="14.25" customHeight="1" x14ac:dyDescent="0.3">
      <c r="B15" s="2">
        <v>13</v>
      </c>
      <c r="C15" s="2">
        <v>7.4999999999999997E-3</v>
      </c>
      <c r="D15" s="2">
        <v>6.6105638312617997E-3</v>
      </c>
      <c r="E15" s="15">
        <v>0.70028521404380495</v>
      </c>
      <c r="F15" s="2">
        <v>1.224</v>
      </c>
      <c r="G15" s="2">
        <v>99.294586532386504</v>
      </c>
      <c r="H15" s="2" t="s">
        <v>17</v>
      </c>
      <c r="J15" s="2">
        <v>13</v>
      </c>
      <c r="K15" s="2">
        <v>0.01</v>
      </c>
      <c r="L15" s="2">
        <v>1.03585681702452E-3</v>
      </c>
      <c r="M15" s="15">
        <v>1.9346671864499401</v>
      </c>
      <c r="N15" s="2">
        <v>73.089868848641203</v>
      </c>
      <c r="O15" s="5" t="s">
        <v>6</v>
      </c>
      <c r="Q15" s="2">
        <v>13</v>
      </c>
      <c r="R15" s="2">
        <v>3.2500000000000001E-2</v>
      </c>
      <c r="S15" s="2">
        <v>-1.0851210789000599E-2</v>
      </c>
      <c r="T15" s="2">
        <v>8.8993336153848204E-2</v>
      </c>
      <c r="U15" s="15">
        <v>3.6282196019296201E-3</v>
      </c>
      <c r="V15" s="15">
        <v>-5.8475882106496499E-2</v>
      </c>
      <c r="X15" s="2">
        <f t="shared" ref="X15:AA15" si="12">S16-S15</f>
        <v>0</v>
      </c>
      <c r="Y15" s="2">
        <f t="shared" si="12"/>
        <v>7.5127577440383952E-3</v>
      </c>
      <c r="Z15" s="18">
        <f t="shared" si="12"/>
        <v>-2.0300167796749591E-14</v>
      </c>
      <c r="AA15" s="18">
        <f t="shared" si="12"/>
        <v>-4.7974364027889987E-3</v>
      </c>
    </row>
    <row r="16" spans="1:27" ht="14.25" customHeight="1" x14ac:dyDescent="0.3">
      <c r="B16" s="2">
        <v>14</v>
      </c>
      <c r="C16" s="2">
        <v>7.4999999999999997E-3</v>
      </c>
      <c r="D16" s="2">
        <v>-6.8533030305491298</v>
      </c>
      <c r="E16" s="2">
        <v>2.2103961790413001E-2</v>
      </c>
      <c r="F16" s="2">
        <v>0</v>
      </c>
      <c r="G16" s="2">
        <v>-6.4399922306011002</v>
      </c>
      <c r="H16" s="2" t="s">
        <v>18</v>
      </c>
      <c r="J16" s="2">
        <v>14</v>
      </c>
      <c r="K16" s="2">
        <v>0.01</v>
      </c>
      <c r="L16" s="2">
        <v>11.347342523121</v>
      </c>
      <c r="M16" s="2">
        <v>1.86349493032434</v>
      </c>
      <c r="N16" s="2">
        <v>70.768195303814807</v>
      </c>
      <c r="O16" s="2" t="s">
        <v>16</v>
      </c>
      <c r="Q16" s="2">
        <v>14</v>
      </c>
      <c r="R16" s="2">
        <v>3.5000000000000003E-2</v>
      </c>
      <c r="S16" s="2">
        <v>-1.0851210789000599E-2</v>
      </c>
      <c r="T16" s="2">
        <v>9.65060938978866E-2</v>
      </c>
      <c r="U16" s="15">
        <v>3.6282196019093199E-3</v>
      </c>
      <c r="V16" s="15">
        <v>-6.3273318509285498E-2</v>
      </c>
      <c r="X16" s="2">
        <f t="shared" ref="X16:AA16" si="13">S17-S16</f>
        <v>0</v>
      </c>
      <c r="Y16" s="2">
        <f t="shared" si="13"/>
        <v>7.5506952034773978E-3</v>
      </c>
      <c r="Z16" s="18">
        <f t="shared" si="13"/>
        <v>2.0300167796749591E-14</v>
      </c>
      <c r="AA16" s="18">
        <f t="shared" si="13"/>
        <v>-4.8216622004602083E-3</v>
      </c>
    </row>
    <row r="17" spans="2:27" ht="14.25" customHeight="1" x14ac:dyDescent="0.3">
      <c r="B17" s="2">
        <v>15</v>
      </c>
      <c r="C17" s="2">
        <v>7.4999999999999997E-3</v>
      </c>
      <c r="D17" s="2">
        <v>1.0312572373436901E-3</v>
      </c>
      <c r="E17" s="2">
        <v>0.65513652219838003</v>
      </c>
      <c r="F17" s="2">
        <v>1.165</v>
      </c>
      <c r="G17" s="2">
        <v>99.441986851763801</v>
      </c>
      <c r="H17" s="11" t="s">
        <v>27</v>
      </c>
      <c r="J17" s="2">
        <v>15</v>
      </c>
      <c r="K17" s="2">
        <v>0.01</v>
      </c>
      <c r="L17" s="2">
        <v>6.64066537838466E-3</v>
      </c>
      <c r="M17" s="2">
        <v>2.0140852578050801</v>
      </c>
      <c r="N17" s="2">
        <v>73.982751164732903</v>
      </c>
      <c r="O17" s="2" t="s">
        <v>17</v>
      </c>
      <c r="Q17" s="2">
        <v>15</v>
      </c>
      <c r="R17" s="2">
        <v>3.7499999999999999E-2</v>
      </c>
      <c r="S17" s="2">
        <v>-1.0851210789000599E-2</v>
      </c>
      <c r="T17" s="2">
        <v>0.104056789101364</v>
      </c>
      <c r="U17" s="15">
        <v>3.6282196019296201E-3</v>
      </c>
      <c r="V17" s="15">
        <v>-6.8094980709745706E-2</v>
      </c>
      <c r="X17" s="2">
        <f t="shared" ref="X17:AA17" si="14">S18-S17</f>
        <v>0</v>
      </c>
      <c r="Y17" s="2">
        <f t="shared" si="14"/>
        <v>7.5889191733290035E-3</v>
      </c>
      <c r="Z17" s="18">
        <f t="shared" si="14"/>
        <v>-2.0300167796749591E-14</v>
      </c>
      <c r="AA17" s="18">
        <f t="shared" si="14"/>
        <v>-4.8460709556298887E-3</v>
      </c>
    </row>
    <row r="18" spans="2:27" ht="14.25" customHeight="1" x14ac:dyDescent="0.3">
      <c r="B18" s="2">
        <v>16</v>
      </c>
      <c r="C18" s="2">
        <v>0.01</v>
      </c>
      <c r="D18" s="2">
        <v>1.0312572373436901E-3</v>
      </c>
      <c r="E18" s="2">
        <v>0.65513652219838003</v>
      </c>
      <c r="F18" s="2">
        <v>1.165</v>
      </c>
      <c r="G18" s="2">
        <v>99.441986851763801</v>
      </c>
      <c r="H18" s="5" t="s">
        <v>6</v>
      </c>
      <c r="J18" s="2">
        <v>16</v>
      </c>
      <c r="K18" s="2">
        <v>0.01</v>
      </c>
      <c r="L18" s="2">
        <v>-6.8533030305791103</v>
      </c>
      <c r="M18" s="2">
        <v>3.11000109015867E-4</v>
      </c>
      <c r="N18" s="2">
        <v>-6.4399922306247497</v>
      </c>
      <c r="O18" s="2" t="s">
        <v>18</v>
      </c>
      <c r="Q18" s="2">
        <v>16</v>
      </c>
      <c r="R18" s="2">
        <v>0.04</v>
      </c>
      <c r="S18" s="2">
        <v>-1.0851210789000599E-2</v>
      </c>
      <c r="T18" s="2">
        <v>0.111645708274693</v>
      </c>
      <c r="U18" s="15">
        <v>3.6282196019093199E-3</v>
      </c>
      <c r="V18" s="15">
        <v>-7.2941051665375595E-2</v>
      </c>
      <c r="X18" s="2">
        <f t="shared" ref="X18:AA18" si="15">S19-S18</f>
        <v>0</v>
      </c>
      <c r="Y18" s="2">
        <f t="shared" si="15"/>
        <v>7.6274325296599998E-3</v>
      </c>
      <c r="Z18" s="18">
        <f t="shared" si="15"/>
        <v>2.0300167796749591E-14</v>
      </c>
      <c r="AA18" s="18">
        <f t="shared" si="15"/>
        <v>-4.8706645048589015E-3</v>
      </c>
    </row>
    <row r="19" spans="2:27" ht="14.25" customHeight="1" x14ac:dyDescent="0.3">
      <c r="B19" s="2">
        <v>17</v>
      </c>
      <c r="C19" s="2">
        <v>0.01</v>
      </c>
      <c r="D19" s="2">
        <v>11.3043802778197</v>
      </c>
      <c r="E19" s="2">
        <v>0.205744719301649</v>
      </c>
      <c r="F19" s="2">
        <v>1.7789999999999999</v>
      </c>
      <c r="G19" s="2">
        <v>96.093109711326903</v>
      </c>
      <c r="H19" s="2" t="s">
        <v>16</v>
      </c>
      <c r="J19" s="2">
        <v>17</v>
      </c>
      <c r="K19" s="2">
        <v>1.2500000000000001E-2</v>
      </c>
      <c r="L19" s="2">
        <v>3.5075068319676998E-4</v>
      </c>
      <c r="M19" s="15">
        <v>2.0062961388192502</v>
      </c>
      <c r="N19" s="2">
        <v>73.948767596220506</v>
      </c>
      <c r="O19" s="5" t="s">
        <v>6</v>
      </c>
      <c r="Q19" s="2">
        <v>17</v>
      </c>
      <c r="R19" s="2">
        <v>4.2500000000000003E-2</v>
      </c>
      <c r="S19" s="2">
        <v>-1.0851210789000599E-2</v>
      </c>
      <c r="T19" s="2">
        <v>0.119273140804353</v>
      </c>
      <c r="U19" s="15">
        <v>3.6282196019296201E-3</v>
      </c>
      <c r="V19" s="15">
        <v>-7.7811716170234496E-2</v>
      </c>
      <c r="X19" s="2">
        <f t="shared" ref="X19:AA19" si="16">S20-S19</f>
        <v>1.4798925973558141E-14</v>
      </c>
      <c r="Y19" s="2">
        <f t="shared" si="16"/>
        <v>7.6662381845830074E-3</v>
      </c>
      <c r="Z19" s="18">
        <f t="shared" si="16"/>
        <v>-2.0300167796749591E-14</v>
      </c>
      <c r="AA19" s="18">
        <f t="shared" si="16"/>
        <v>-4.8954447078299046E-3</v>
      </c>
    </row>
    <row r="20" spans="2:27" ht="14.25" customHeight="1" x14ac:dyDescent="0.3">
      <c r="B20" s="2">
        <v>18</v>
      </c>
      <c r="C20" s="2">
        <v>0.01</v>
      </c>
      <c r="D20" s="2">
        <v>6.6105638879691703E-3</v>
      </c>
      <c r="E20" s="15">
        <v>0.70028522646895697</v>
      </c>
      <c r="F20" s="2">
        <v>1.224</v>
      </c>
      <c r="G20" s="2">
        <v>99.294586697729997</v>
      </c>
      <c r="H20" s="2" t="s">
        <v>17</v>
      </c>
      <c r="J20" s="2">
        <v>18</v>
      </c>
      <c r="K20" s="2">
        <v>1.2500000000000001E-2</v>
      </c>
      <c r="L20" s="2">
        <v>11.342041160360401</v>
      </c>
      <c r="M20" s="2">
        <v>1.86340305179803</v>
      </c>
      <c r="N20" s="2">
        <v>70.766250158558904</v>
      </c>
      <c r="O20" s="2" t="s">
        <v>16</v>
      </c>
      <c r="Q20" s="2">
        <v>18</v>
      </c>
      <c r="R20" s="2">
        <v>4.4999999999999998E-2</v>
      </c>
      <c r="S20" s="2">
        <v>-1.08512107889858E-2</v>
      </c>
      <c r="T20" s="2">
        <v>0.12693937898893601</v>
      </c>
      <c r="U20" s="15">
        <v>3.6282196019093199E-3</v>
      </c>
      <c r="V20" s="15">
        <v>-8.2707160878064401E-2</v>
      </c>
      <c r="X20" s="2">
        <f t="shared" ref="X20:AA20" si="17">S21-S20</f>
        <v>-1.4798925973558141E-14</v>
      </c>
      <c r="Y20" s="2">
        <f t="shared" si="17"/>
        <v>7.7053390865420013E-3</v>
      </c>
      <c r="Z20" s="18">
        <f t="shared" si="17"/>
        <v>0</v>
      </c>
      <c r="AA20" s="18">
        <f t="shared" si="17"/>
        <v>-4.9204134472467936E-3</v>
      </c>
    </row>
    <row r="21" spans="2:27" ht="14.25" customHeight="1" x14ac:dyDescent="0.3">
      <c r="B21" s="2">
        <v>19</v>
      </c>
      <c r="C21" s="2">
        <v>0.01</v>
      </c>
      <c r="D21" s="2">
        <v>-6.8533030305988802</v>
      </c>
      <c r="E21" s="2">
        <v>2.21039629122101E-2</v>
      </c>
      <c r="F21" s="2">
        <v>0</v>
      </c>
      <c r="G21" s="2">
        <v>-6.4399922306247497</v>
      </c>
      <c r="H21" s="2" t="s">
        <v>18</v>
      </c>
      <c r="J21" s="2">
        <v>19</v>
      </c>
      <c r="K21" s="2">
        <v>1.2500000000000001E-2</v>
      </c>
      <c r="L21" s="2">
        <v>2.7516407369026102E-3</v>
      </c>
      <c r="M21" s="2">
        <v>2.0749992518837801</v>
      </c>
      <c r="N21" s="2">
        <v>74.5203740971088</v>
      </c>
      <c r="O21" s="2" t="s">
        <v>17</v>
      </c>
      <c r="Q21" s="2">
        <v>19</v>
      </c>
      <c r="R21" s="2">
        <v>4.7500000000000001E-2</v>
      </c>
      <c r="S21" s="2">
        <v>-1.0851210789000599E-2</v>
      </c>
      <c r="T21" s="2">
        <v>0.13464471807547801</v>
      </c>
      <c r="U21" s="15">
        <v>3.6282196019093199E-3</v>
      </c>
      <c r="V21" s="15">
        <v>-8.7627574325311194E-2</v>
      </c>
      <c r="X21" s="2">
        <f t="shared" ref="X21:AA21" si="18">S22-S21</f>
        <v>0</v>
      </c>
      <c r="Y21" s="2">
        <f t="shared" si="18"/>
        <v>7.7447382212909865E-3</v>
      </c>
      <c r="Z21" s="18">
        <f t="shared" si="18"/>
        <v>0</v>
      </c>
      <c r="AA21" s="18">
        <f t="shared" si="18"/>
        <v>-4.9455726297384095E-3</v>
      </c>
    </row>
    <row r="22" spans="2:27" ht="14.25" customHeight="1" x14ac:dyDescent="0.3">
      <c r="B22" s="2">
        <v>20</v>
      </c>
      <c r="C22" s="2">
        <v>0.01</v>
      </c>
      <c r="D22" s="2">
        <v>1.0312572373436901E-3</v>
      </c>
      <c r="E22" s="2">
        <v>0.65513652219838003</v>
      </c>
      <c r="F22" s="2">
        <v>1.165</v>
      </c>
      <c r="G22" s="2">
        <v>99.441986851763801</v>
      </c>
      <c r="H22" s="11" t="s">
        <v>27</v>
      </c>
      <c r="J22" s="2">
        <v>20</v>
      </c>
      <c r="K22" s="2">
        <v>1.2500000000000001E-2</v>
      </c>
      <c r="L22" s="2">
        <v>-6.8554128872308802</v>
      </c>
      <c r="M22" s="2">
        <v>3.1151281444835702E-4</v>
      </c>
      <c r="N22" s="2">
        <v>-6.4420020277750698</v>
      </c>
      <c r="O22" s="2" t="s">
        <v>18</v>
      </c>
      <c r="Q22" s="2">
        <v>20</v>
      </c>
      <c r="R22" s="2">
        <v>0.05</v>
      </c>
      <c r="S22" s="2">
        <v>-1.0851210789000599E-2</v>
      </c>
      <c r="T22" s="2">
        <v>0.142389456296769</v>
      </c>
      <c r="U22" s="15">
        <v>3.6282196019093199E-3</v>
      </c>
      <c r="V22" s="15">
        <v>-9.2573146955049604E-2</v>
      </c>
      <c r="X22" s="2">
        <f t="shared" ref="X22:AA22" si="19">S23-S22</f>
        <v>0</v>
      </c>
      <c r="Y22" s="2">
        <f t="shared" si="19"/>
        <v>7.7844386119209907E-3</v>
      </c>
      <c r="Z22" s="18">
        <f t="shared" si="19"/>
        <v>2.0300167796749591E-14</v>
      </c>
      <c r="AA22" s="18">
        <f t="shared" si="19"/>
        <v>-4.9709241858240938E-3</v>
      </c>
    </row>
    <row r="23" spans="2:27" ht="14.25" customHeight="1" x14ac:dyDescent="0.3">
      <c r="B23" s="2">
        <v>21</v>
      </c>
      <c r="C23" s="2">
        <v>1.2500000000000001E-2</v>
      </c>
      <c r="D23" s="2">
        <v>3.491577202807E-4</v>
      </c>
      <c r="E23" s="2">
        <v>0.71328098449366295</v>
      </c>
      <c r="F23" s="2">
        <v>1.1870000000000001</v>
      </c>
      <c r="G23" s="2">
        <v>99.191774248141598</v>
      </c>
      <c r="H23" s="5" t="s">
        <v>6</v>
      </c>
      <c r="J23" s="2">
        <v>21</v>
      </c>
      <c r="K23" s="2">
        <v>1.4999999999999999E-2</v>
      </c>
      <c r="L23" s="2">
        <v>1.0358568163517799E-3</v>
      </c>
      <c r="M23" s="2">
        <v>1.9346671895290899</v>
      </c>
      <c r="N23" s="2">
        <v>73.089868906126895</v>
      </c>
      <c r="O23" s="5" t="s">
        <v>6</v>
      </c>
      <c r="Q23" s="2">
        <v>21</v>
      </c>
      <c r="R23" s="2">
        <v>5.2499999999999998E-2</v>
      </c>
      <c r="S23" s="2">
        <v>-1.0851210789000599E-2</v>
      </c>
      <c r="T23" s="2">
        <v>0.15017389490868999</v>
      </c>
      <c r="U23" s="15">
        <v>3.6282196019296201E-3</v>
      </c>
      <c r="V23" s="15">
        <v>-9.7544071140873698E-2</v>
      </c>
      <c r="X23" s="2">
        <f t="shared" ref="X23:AA23" si="20">S24-S23</f>
        <v>0</v>
      </c>
      <c r="Y23" s="2">
        <f t="shared" si="20"/>
        <v>7.8244433199610164E-3</v>
      </c>
      <c r="Z23" s="18">
        <f t="shared" si="20"/>
        <v>0</v>
      </c>
      <c r="AA23" s="18">
        <f t="shared" si="20"/>
        <v>-4.9964700704663023E-3</v>
      </c>
    </row>
    <row r="24" spans="2:27" ht="14.25" customHeight="1" x14ac:dyDescent="0.3">
      <c r="B24" s="2">
        <v>22</v>
      </c>
      <c r="C24" s="2">
        <v>1.2500000000000001E-2</v>
      </c>
      <c r="D24" s="2">
        <v>11.299106034882501</v>
      </c>
      <c r="E24" s="2">
        <v>0.20516453335631901</v>
      </c>
      <c r="F24" s="2">
        <v>1.7789999999999999</v>
      </c>
      <c r="G24" s="2">
        <v>96.090671690014403</v>
      </c>
      <c r="H24" s="2" t="s">
        <v>16</v>
      </c>
      <c r="J24" s="2">
        <v>22</v>
      </c>
      <c r="K24" s="2">
        <v>1.4999999999999999E-2</v>
      </c>
      <c r="L24" s="2">
        <v>11.3473425227955</v>
      </c>
      <c r="M24" s="2">
        <v>1.8634949317349501</v>
      </c>
      <c r="N24" s="2">
        <v>70.768195337978895</v>
      </c>
      <c r="O24" s="2" t="s">
        <v>16</v>
      </c>
      <c r="Q24" s="2">
        <v>22</v>
      </c>
      <c r="R24" s="2">
        <v>5.5E-2</v>
      </c>
      <c r="S24" s="2">
        <v>-1.0851210789000599E-2</v>
      </c>
      <c r="T24" s="2">
        <v>0.157998338228651</v>
      </c>
      <c r="U24" s="15">
        <v>3.6282196019296201E-3</v>
      </c>
      <c r="V24" s="15">
        <v>-0.10254054121134</v>
      </c>
      <c r="X24" s="2">
        <f t="shared" ref="X24:AA24" si="21">S25-S24</f>
        <v>1.4798925973558141E-14</v>
      </c>
      <c r="Y24" s="2">
        <f t="shared" si="21"/>
        <v>7.8647554454540081E-3</v>
      </c>
      <c r="Z24" s="18">
        <f t="shared" si="21"/>
        <v>0</v>
      </c>
      <c r="AA24" s="18">
        <f t="shared" si="21"/>
        <v>-5.0222122632540001E-3</v>
      </c>
    </row>
    <row r="25" spans="2:27" ht="14.25" customHeight="1" x14ac:dyDescent="0.3">
      <c r="B25" s="2">
        <v>23</v>
      </c>
      <c r="C25" s="2">
        <v>1.2500000000000001E-2</v>
      </c>
      <c r="D25" s="2">
        <v>2.7388676724100498E-3</v>
      </c>
      <c r="E25" s="15">
        <v>0.72356100453188699</v>
      </c>
      <c r="F25" s="2">
        <v>1.2769999999999999</v>
      </c>
      <c r="G25" s="2">
        <v>99.139752433591894</v>
      </c>
      <c r="H25" s="2" t="s">
        <v>17</v>
      </c>
      <c r="J25" s="2">
        <v>23</v>
      </c>
      <c r="K25" s="2">
        <v>1.4999999999999999E-2</v>
      </c>
      <c r="L25" s="2">
        <v>6.6406653730616298E-3</v>
      </c>
      <c r="M25" s="2">
        <v>2.0140852580453799</v>
      </c>
      <c r="N25" s="2">
        <v>73.9827508597118</v>
      </c>
      <c r="O25" s="2" t="s">
        <v>17</v>
      </c>
      <c r="Q25" s="2">
        <v>23</v>
      </c>
      <c r="R25" s="2">
        <v>5.7500000000000002E-2</v>
      </c>
      <c r="S25" s="2">
        <v>-1.08512107889858E-2</v>
      </c>
      <c r="T25" s="2">
        <v>0.16586309367410501</v>
      </c>
      <c r="U25" s="15">
        <v>3.6282196019296201E-3</v>
      </c>
      <c r="V25" s="15">
        <v>-0.107562753474594</v>
      </c>
      <c r="X25" s="2">
        <f t="shared" ref="X25:AA25" si="22">S26-S25</f>
        <v>-1.4798925973558141E-14</v>
      </c>
      <c r="Y25" s="2">
        <f t="shared" si="22"/>
        <v>7.9053781279870006E-3</v>
      </c>
      <c r="Z25" s="18">
        <f t="shared" si="22"/>
        <v>-2.0300167796749591E-14</v>
      </c>
      <c r="AA25" s="18">
        <f t="shared" si="22"/>
        <v>-5.0481527691030037E-3</v>
      </c>
    </row>
    <row r="26" spans="2:27" ht="14.25" customHeight="1" x14ac:dyDescent="0.3">
      <c r="B26" s="2">
        <v>24</v>
      </c>
      <c r="C26" s="2">
        <v>1.2500000000000001E-2</v>
      </c>
      <c r="D26" s="2">
        <v>-6.8554128872256097</v>
      </c>
      <c r="E26" s="2">
        <v>2.2177580549870402E-2</v>
      </c>
      <c r="F26" s="2">
        <v>0</v>
      </c>
      <c r="G26" s="2">
        <v>-6.4420020277750698</v>
      </c>
      <c r="H26" s="2" t="s">
        <v>18</v>
      </c>
      <c r="J26" s="2">
        <v>24</v>
      </c>
      <c r="K26" s="2">
        <v>1.4999999999999999E-2</v>
      </c>
      <c r="L26" s="2">
        <v>-6.8533030305297897</v>
      </c>
      <c r="M26" s="2">
        <v>3.1100010686981998E-4</v>
      </c>
      <c r="N26" s="2">
        <v>-6.4399922305131696</v>
      </c>
      <c r="O26" s="2" t="s">
        <v>18</v>
      </c>
      <c r="Q26" s="2">
        <v>24</v>
      </c>
      <c r="R26" s="2">
        <v>0.06</v>
      </c>
      <c r="S26" s="2">
        <v>-1.0851210789000599E-2</v>
      </c>
      <c r="T26" s="2">
        <v>0.17376847180209201</v>
      </c>
      <c r="U26" s="15">
        <v>3.6282196019093199E-3</v>
      </c>
      <c r="V26" s="15">
        <v>-0.112610906243697</v>
      </c>
      <c r="X26" s="2">
        <f t="shared" ref="X26:AA26" si="23">S27-S26</f>
        <v>0</v>
      </c>
      <c r="Y26" s="2">
        <f t="shared" si="23"/>
        <v>7.9463145469979846E-3</v>
      </c>
      <c r="Z26" s="18">
        <f t="shared" si="23"/>
        <v>0</v>
      </c>
      <c r="AA26" s="18">
        <f t="shared" si="23"/>
        <v>-5.0742936181960019E-3</v>
      </c>
    </row>
    <row r="27" spans="2:27" ht="14.25" customHeight="1" x14ac:dyDescent="0.3">
      <c r="B27" s="2">
        <v>25</v>
      </c>
      <c r="C27" s="2">
        <v>1.2500000000000001E-2</v>
      </c>
      <c r="D27" s="2">
        <v>3.491577202807E-4</v>
      </c>
      <c r="E27" s="2">
        <v>0.71328098449366295</v>
      </c>
      <c r="F27" s="2">
        <v>1.1870000000000001</v>
      </c>
      <c r="G27" s="2">
        <v>99.191774248141598</v>
      </c>
      <c r="H27" s="11" t="s">
        <v>27</v>
      </c>
      <c r="J27" s="2">
        <v>25</v>
      </c>
      <c r="K27" s="2">
        <v>1.7500000000000002E-2</v>
      </c>
      <c r="L27" s="2">
        <v>1.0358568190263801E-3</v>
      </c>
      <c r="M27" s="15">
        <v>1.9346671816790599</v>
      </c>
      <c r="N27" s="2">
        <v>73.089868775212693</v>
      </c>
      <c r="O27" s="5" t="s">
        <v>6</v>
      </c>
      <c r="Q27" s="2">
        <v>25</v>
      </c>
      <c r="R27" s="2">
        <v>6.25E-2</v>
      </c>
      <c r="S27" s="2">
        <v>-1.0851210789000599E-2</v>
      </c>
      <c r="T27" s="2">
        <v>0.18171478634909</v>
      </c>
      <c r="U27" s="15">
        <v>3.6282196019093199E-3</v>
      </c>
      <c r="V27" s="15">
        <v>-0.11768519986189301</v>
      </c>
      <c r="X27" s="2">
        <f t="shared" ref="X27:AA27" si="24">S28-S27</f>
        <v>1.4798925973558141E-14</v>
      </c>
      <c r="Y27" s="2">
        <f t="shared" si="24"/>
        <v>7.9875679223710139E-3</v>
      </c>
      <c r="Z27" s="18">
        <f t="shared" si="24"/>
        <v>2.0300167796749591E-14</v>
      </c>
      <c r="AA27" s="18">
        <f t="shared" si="24"/>
        <v>-5.1006368668079921E-3</v>
      </c>
    </row>
    <row r="28" spans="2:27" ht="14.25" customHeight="1" x14ac:dyDescent="0.3">
      <c r="B28" s="2">
        <v>26</v>
      </c>
      <c r="C28" s="2">
        <v>1.4999999999999999E-2</v>
      </c>
      <c r="D28" s="2">
        <v>1.0312572366031601E-3</v>
      </c>
      <c r="E28" s="2">
        <v>0.65513651819681695</v>
      </c>
      <c r="F28" s="2">
        <v>1.165</v>
      </c>
      <c r="G28" s="2">
        <v>99.4419859368153</v>
      </c>
      <c r="H28" s="5" t="s">
        <v>6</v>
      </c>
      <c r="J28" s="2">
        <v>26</v>
      </c>
      <c r="K28" s="2">
        <v>1.7500000000000002E-2</v>
      </c>
      <c r="L28" s="2">
        <v>11.3473425235831</v>
      </c>
      <c r="M28" s="2">
        <v>1.8634949309973301</v>
      </c>
      <c r="N28" s="2">
        <v>70.768195320162704</v>
      </c>
      <c r="O28" s="2" t="s">
        <v>16</v>
      </c>
      <c r="Q28" s="2">
        <v>26</v>
      </c>
      <c r="R28" s="2">
        <v>6.5000000000000002E-2</v>
      </c>
      <c r="S28" s="2">
        <v>-1.08512107889858E-2</v>
      </c>
      <c r="T28" s="2">
        <v>0.18970235427146101</v>
      </c>
      <c r="U28" s="15">
        <v>3.6282196019296201E-3</v>
      </c>
      <c r="V28" s="15">
        <v>-0.122785836728701</v>
      </c>
      <c r="X28" s="2">
        <f t="shared" ref="X28:AA28" si="25">S29-S28</f>
        <v>-1.4798925973558141E-14</v>
      </c>
      <c r="Y28" s="2">
        <f t="shared" si="25"/>
        <v>8.0291415153789791E-3</v>
      </c>
      <c r="Z28" s="18">
        <f t="shared" si="25"/>
        <v>-2.0300167796749591E-14</v>
      </c>
      <c r="AA28" s="18">
        <f t="shared" si="25"/>
        <v>-5.1271845973800134E-3</v>
      </c>
    </row>
    <row r="29" spans="2:27" ht="14.25" customHeight="1" x14ac:dyDescent="0.3">
      <c r="B29" s="2">
        <v>27</v>
      </c>
      <c r="C29" s="2">
        <v>1.4999999999999999E-2</v>
      </c>
      <c r="D29" s="2">
        <v>11.3043802773518</v>
      </c>
      <c r="E29" s="2">
        <v>0.20574472778324801</v>
      </c>
      <c r="F29" s="2">
        <v>1.7789999999999999</v>
      </c>
      <c r="G29" s="2">
        <v>96.093109757305996</v>
      </c>
      <c r="H29" s="2" t="s">
        <v>16</v>
      </c>
      <c r="J29" s="2">
        <v>27</v>
      </c>
      <c r="K29" s="2">
        <v>1.7500000000000002E-2</v>
      </c>
      <c r="L29" s="2">
        <v>6.6406652860215298E-3</v>
      </c>
      <c r="M29" s="2">
        <v>2.0140852594768202</v>
      </c>
      <c r="N29" s="2">
        <v>73.982751238736398</v>
      </c>
      <c r="O29" s="2" t="s">
        <v>17</v>
      </c>
      <c r="Q29" s="2">
        <v>27</v>
      </c>
      <c r="R29" s="2">
        <v>6.7500000000000004E-2</v>
      </c>
      <c r="S29" s="2">
        <v>-1.0851210789000599E-2</v>
      </c>
      <c r="T29" s="2">
        <v>0.19773149578683999</v>
      </c>
      <c r="U29" s="15">
        <v>3.6282196019093199E-3</v>
      </c>
      <c r="V29" s="15">
        <v>-0.12791302132608101</v>
      </c>
      <c r="X29" s="2">
        <f t="shared" ref="X29:AA29" si="26">S30-S29</f>
        <v>0</v>
      </c>
      <c r="Y29" s="2">
        <f t="shared" si="26"/>
        <v>8.071038628884003E-3</v>
      </c>
      <c r="Z29" s="18">
        <f t="shared" si="26"/>
        <v>2.0300167796749591E-14</v>
      </c>
      <c r="AA29" s="18">
        <f t="shared" si="26"/>
        <v>-5.153938919071982E-3</v>
      </c>
    </row>
    <row r="30" spans="2:27" ht="14.25" customHeight="1" x14ac:dyDescent="0.3">
      <c r="B30" s="2">
        <v>28</v>
      </c>
      <c r="C30" s="2">
        <v>1.4999999999999999E-2</v>
      </c>
      <c r="D30" s="2">
        <v>6.61056388272301E-3</v>
      </c>
      <c r="E30" s="15">
        <v>0.70028522047119002</v>
      </c>
      <c r="F30" s="2">
        <v>1.224</v>
      </c>
      <c r="G30" s="2">
        <v>99.294586495231201</v>
      </c>
      <c r="H30" s="2" t="s">
        <v>17</v>
      </c>
      <c r="J30" s="2">
        <v>28</v>
      </c>
      <c r="K30" s="2">
        <v>1.7500000000000002E-2</v>
      </c>
      <c r="L30" s="2">
        <v>-6.8533030303818299</v>
      </c>
      <c r="M30" s="2">
        <v>3.1100011019012501E-4</v>
      </c>
      <c r="N30" s="2">
        <v>-6.4399922303562702</v>
      </c>
      <c r="O30" s="2" t="s">
        <v>18</v>
      </c>
      <c r="Q30" s="2">
        <v>28</v>
      </c>
      <c r="R30" s="2">
        <v>7.0000000000000007E-2</v>
      </c>
      <c r="S30" s="2">
        <v>-1.0851210789000599E-2</v>
      </c>
      <c r="T30" s="2">
        <v>0.20580253441572399</v>
      </c>
      <c r="U30" s="15">
        <v>3.6282196019296201E-3</v>
      </c>
      <c r="V30" s="15">
        <v>-0.13306696024515299</v>
      </c>
      <c r="X30" s="2">
        <f t="shared" ref="X30:AA30" si="27">S31-S30</f>
        <v>0</v>
      </c>
      <c r="Y30" s="2">
        <f t="shared" si="27"/>
        <v>8.1132626082769943E-3</v>
      </c>
      <c r="Z30" s="18">
        <f t="shared" si="27"/>
        <v>0</v>
      </c>
      <c r="AA30" s="18">
        <f t="shared" si="27"/>
        <v>-5.1809019681610113E-3</v>
      </c>
    </row>
    <row r="31" spans="2:27" ht="14.25" customHeight="1" x14ac:dyDescent="0.3">
      <c r="B31" s="2">
        <v>29</v>
      </c>
      <c r="C31" s="2">
        <v>1.4999999999999999E-2</v>
      </c>
      <c r="D31" s="2">
        <v>-6.8533030304811504</v>
      </c>
      <c r="E31" s="2">
        <v>2.21039704650224E-2</v>
      </c>
      <c r="F31" s="2">
        <v>0</v>
      </c>
      <c r="G31" s="2">
        <v>-6.4399922305131696</v>
      </c>
      <c r="H31" s="2" t="s">
        <v>18</v>
      </c>
      <c r="J31" s="2">
        <v>29</v>
      </c>
      <c r="K31" s="2">
        <v>0.02</v>
      </c>
      <c r="L31" s="2">
        <v>2.0777446443118099E-4</v>
      </c>
      <c r="M31" s="15">
        <v>2.0286715046728401</v>
      </c>
      <c r="N31" s="2">
        <v>77.373781749026406</v>
      </c>
      <c r="O31" s="5" t="s">
        <v>6</v>
      </c>
      <c r="Q31" s="2">
        <v>29</v>
      </c>
      <c r="R31" s="2">
        <v>7.2499999999999995E-2</v>
      </c>
      <c r="S31" s="2">
        <v>-1.0851210789000599E-2</v>
      </c>
      <c r="T31" s="2">
        <v>0.21391579702400099</v>
      </c>
      <c r="U31" s="15">
        <v>3.6282196019296201E-3</v>
      </c>
      <c r="V31" s="15">
        <v>-0.138247862213314</v>
      </c>
      <c r="X31" s="2">
        <f t="shared" ref="X31:AA31" si="28">S32-S31</f>
        <v>0</v>
      </c>
      <c r="Y31" s="2">
        <f t="shared" si="28"/>
        <v>8.1558168419910149E-3</v>
      </c>
      <c r="Z31" s="18">
        <f t="shared" si="28"/>
        <v>0</v>
      </c>
      <c r="AA31" s="18">
        <f t="shared" si="28"/>
        <v>-5.208075908356008E-3</v>
      </c>
    </row>
    <row r="32" spans="2:27" ht="14.25" customHeight="1" x14ac:dyDescent="0.3">
      <c r="B32" s="2">
        <v>30</v>
      </c>
      <c r="C32" s="2">
        <v>1.4999999999999999E-2</v>
      </c>
      <c r="D32" s="2">
        <v>1.0312572366031601E-3</v>
      </c>
      <c r="E32" s="2">
        <v>0.65513651819681695</v>
      </c>
      <c r="F32" s="2">
        <v>1.165</v>
      </c>
      <c r="G32" s="2">
        <v>99.4419859368153</v>
      </c>
      <c r="H32" s="11" t="s">
        <v>27</v>
      </c>
      <c r="J32" s="2">
        <v>30</v>
      </c>
      <c r="K32" s="2">
        <v>0.02</v>
      </c>
      <c r="L32" s="2">
        <v>11.341077174714</v>
      </c>
      <c r="M32" s="2">
        <v>1.8633750638976401</v>
      </c>
      <c r="N32" s="2">
        <v>74.370616912663607</v>
      </c>
      <c r="O32" s="2" t="s">
        <v>16</v>
      </c>
      <c r="Q32" s="2">
        <v>30</v>
      </c>
      <c r="R32" s="2">
        <v>7.4999999999999997E-2</v>
      </c>
      <c r="S32" s="2">
        <v>-1.0851210789000599E-2</v>
      </c>
      <c r="T32" s="2">
        <v>0.222071613865992</v>
      </c>
      <c r="U32" s="15">
        <v>3.6282196019296201E-3</v>
      </c>
      <c r="V32" s="15">
        <v>-0.14345593812167001</v>
      </c>
    </row>
    <row r="33" spans="2:19" ht="14.25" customHeight="1" x14ac:dyDescent="0.3">
      <c r="B33" s="2">
        <v>31</v>
      </c>
      <c r="C33" s="2">
        <v>1.7500000000000002E-2</v>
      </c>
      <c r="D33" s="2">
        <v>1.0312572392334499E-3</v>
      </c>
      <c r="E33" s="2">
        <v>0.65513656941509602</v>
      </c>
      <c r="F33" s="2">
        <v>1.165</v>
      </c>
      <c r="G33" s="2">
        <v>99.441985931145396</v>
      </c>
      <c r="H33" s="5" t="s">
        <v>6</v>
      </c>
      <c r="J33" s="2">
        <v>31</v>
      </c>
      <c r="K33" s="2">
        <v>0.02</v>
      </c>
      <c r="L33" s="2">
        <v>1.76003794634307E-3</v>
      </c>
      <c r="M33" s="2">
        <v>2.1063134684260598</v>
      </c>
      <c r="N33" s="2">
        <v>77.836758365675394</v>
      </c>
      <c r="O33" s="2" t="s">
        <v>17</v>
      </c>
    </row>
    <row r="34" spans="2:19" ht="14.25" customHeight="1" x14ac:dyDescent="0.3">
      <c r="B34" s="2">
        <v>32</v>
      </c>
      <c r="C34" s="2">
        <v>1.7500000000000002E-2</v>
      </c>
      <c r="D34" s="2">
        <v>11.304380278206599</v>
      </c>
      <c r="E34" s="2">
        <v>0.20574472294679599</v>
      </c>
      <c r="F34" s="2">
        <v>1.7789999999999999</v>
      </c>
      <c r="G34" s="2">
        <v>96.093109735691797</v>
      </c>
      <c r="H34" s="2" t="s">
        <v>16</v>
      </c>
      <c r="J34" s="2">
        <v>32</v>
      </c>
      <c r="K34" s="2">
        <v>0.02</v>
      </c>
      <c r="L34" s="2">
        <v>-6.8558608187708803</v>
      </c>
      <c r="M34" s="2">
        <v>3.1164153756684302E-4</v>
      </c>
      <c r="N34" s="2">
        <v>-5.92411318454797</v>
      </c>
      <c r="O34" s="2" t="s">
        <v>18</v>
      </c>
    </row>
    <row r="35" spans="2:19" ht="14.25" customHeight="1" x14ac:dyDescent="0.3">
      <c r="B35" s="2">
        <v>33</v>
      </c>
      <c r="C35" s="2">
        <v>1.7500000000000002E-2</v>
      </c>
      <c r="D35" s="2">
        <v>6.6105637962615999E-3</v>
      </c>
      <c r="E35" s="15">
        <v>0.70028522524588499</v>
      </c>
      <c r="F35" s="2">
        <v>1.224</v>
      </c>
      <c r="G35" s="2">
        <v>99.294586665570094</v>
      </c>
      <c r="H35" s="2" t="s">
        <v>17</v>
      </c>
      <c r="J35" s="2">
        <v>33</v>
      </c>
      <c r="K35" s="2">
        <v>2.2499999999999999E-2</v>
      </c>
      <c r="L35" s="2">
        <v>1.0358568183370599E-3</v>
      </c>
      <c r="M35" s="15">
        <v>1.93466719125964</v>
      </c>
      <c r="N35" s="2">
        <v>73.089869971742999</v>
      </c>
      <c r="O35" s="5" t="s">
        <v>6</v>
      </c>
    </row>
    <row r="36" spans="2:19" ht="14.25" customHeight="1" x14ac:dyDescent="0.3">
      <c r="B36" s="2">
        <v>34</v>
      </c>
      <c r="C36" s="2">
        <v>1.7500000000000002E-2</v>
      </c>
      <c r="D36" s="2">
        <v>-6.85330303029437</v>
      </c>
      <c r="E36" s="2">
        <v>2.2103961971994299E-2</v>
      </c>
      <c r="F36" s="2">
        <v>0</v>
      </c>
      <c r="G36" s="2">
        <v>-6.4399922303562702</v>
      </c>
      <c r="H36" s="2" t="s">
        <v>18</v>
      </c>
      <c r="J36" s="2">
        <v>34</v>
      </c>
      <c r="K36" s="2">
        <v>2.2499999999999999E-2</v>
      </c>
      <c r="L36" s="2">
        <v>11.347342522995801</v>
      </c>
      <c r="M36" s="2">
        <v>1.8634949307358899</v>
      </c>
      <c r="N36" s="2">
        <v>70.768195314828901</v>
      </c>
      <c r="O36" s="2" t="s">
        <v>16</v>
      </c>
    </row>
    <row r="37" spans="2:19" ht="14.25" customHeight="1" x14ac:dyDescent="0.3">
      <c r="B37" s="2">
        <v>35</v>
      </c>
      <c r="C37" s="2">
        <v>1.7500000000000002E-2</v>
      </c>
      <c r="D37" s="2">
        <v>1.0312572392334499E-3</v>
      </c>
      <c r="E37" s="2">
        <v>0.65513656941509602</v>
      </c>
      <c r="F37" s="2">
        <v>1.165</v>
      </c>
      <c r="G37" s="2">
        <v>99.441985931145396</v>
      </c>
      <c r="H37" s="11" t="s">
        <v>27</v>
      </c>
      <c r="J37" s="2">
        <v>35</v>
      </c>
      <c r="K37" s="2">
        <v>2.2499999999999999E-2</v>
      </c>
      <c r="L37" s="2">
        <v>6.6406653784752204E-3</v>
      </c>
      <c r="M37" s="2">
        <v>2.0140852654287298</v>
      </c>
      <c r="N37" s="2">
        <v>73.982750851622299</v>
      </c>
      <c r="O37" s="2" t="s">
        <v>17</v>
      </c>
      <c r="S37" s="15"/>
    </row>
    <row r="38" spans="2:19" ht="14.25" customHeight="1" x14ac:dyDescent="0.3">
      <c r="B38" s="2">
        <v>36</v>
      </c>
      <c r="C38" s="2">
        <v>0.02</v>
      </c>
      <c r="D38" s="2">
        <v>2.0682320504602901E-4</v>
      </c>
      <c r="E38" s="2">
        <v>0.72707360937814602</v>
      </c>
      <c r="F38" s="2">
        <v>1.2</v>
      </c>
      <c r="G38" s="2">
        <v>99.228057709082407</v>
      </c>
      <c r="H38" s="5" t="s">
        <v>6</v>
      </c>
      <c r="J38" s="2">
        <v>36</v>
      </c>
      <c r="K38" s="2">
        <v>2.2499999999999999E-2</v>
      </c>
      <c r="L38" s="2">
        <v>-6.8533030306675897</v>
      </c>
      <c r="M38" s="2">
        <v>3.1100010896144601E-4</v>
      </c>
      <c r="N38" s="2">
        <v>-6.4399922306914297</v>
      </c>
      <c r="O38" s="2" t="s">
        <v>18</v>
      </c>
    </row>
    <row r="39" spans="2:19" ht="14.25" customHeight="1" x14ac:dyDescent="0.3">
      <c r="B39" s="2">
        <v>37</v>
      </c>
      <c r="C39" s="2">
        <v>0.02</v>
      </c>
      <c r="D39" s="2">
        <v>11.298147495457</v>
      </c>
      <c r="E39" s="2">
        <v>0.20501056266456899</v>
      </c>
      <c r="F39" s="2">
        <v>1.7789999999999999</v>
      </c>
      <c r="G39" s="2">
        <v>96.572086455901996</v>
      </c>
      <c r="H39" s="2" t="s">
        <v>16</v>
      </c>
      <c r="J39" s="2">
        <v>37</v>
      </c>
      <c r="K39" s="2">
        <v>2.5000000000000001E-2</v>
      </c>
      <c r="L39" s="2">
        <v>1.03585681702452E-3</v>
      </c>
      <c r="M39" s="15">
        <v>1.9346671864499401</v>
      </c>
      <c r="N39" s="2">
        <v>73.089868848641203</v>
      </c>
      <c r="O39" s="5" t="s">
        <v>6</v>
      </c>
    </row>
    <row r="40" spans="2:19" ht="14.25" customHeight="1" x14ac:dyDescent="0.3">
      <c r="B40" s="2">
        <v>38</v>
      </c>
      <c r="C40" s="2">
        <v>0.02</v>
      </c>
      <c r="D40" s="2">
        <v>1.75176375881883E-3</v>
      </c>
      <c r="E40" s="15">
        <v>0.73567919213719801</v>
      </c>
      <c r="F40" s="2">
        <v>1.3009999999999999</v>
      </c>
      <c r="G40" s="2">
        <v>99.170640009348205</v>
      </c>
      <c r="H40" s="2" t="s">
        <v>17</v>
      </c>
      <c r="J40" s="2">
        <v>38</v>
      </c>
      <c r="K40" s="2">
        <v>2.5000000000000001E-2</v>
      </c>
      <c r="L40" s="2">
        <v>11.347342523019099</v>
      </c>
      <c r="M40" s="2">
        <v>1.8634949306983399</v>
      </c>
      <c r="N40" s="2">
        <v>70.768195313388503</v>
      </c>
      <c r="O40" s="2" t="s">
        <v>16</v>
      </c>
    </row>
    <row r="41" spans="2:19" ht="14.25" customHeight="1" x14ac:dyDescent="0.3">
      <c r="B41" s="2">
        <v>39</v>
      </c>
      <c r="C41" s="2">
        <v>0.02</v>
      </c>
      <c r="D41" s="2">
        <v>-6.8558608188118102</v>
      </c>
      <c r="E41" s="15">
        <v>1.14094331615107E-6</v>
      </c>
      <c r="F41" s="2">
        <v>0</v>
      </c>
      <c r="G41" s="2">
        <v>-5.92411318454797</v>
      </c>
      <c r="H41" s="2" t="s">
        <v>18</v>
      </c>
      <c r="J41" s="2">
        <v>39</v>
      </c>
      <c r="K41" s="2">
        <v>2.5000000000000001E-2</v>
      </c>
      <c r="L41" s="2">
        <v>6.6406653673657398E-3</v>
      </c>
      <c r="M41" s="2">
        <v>2.0140852595951402</v>
      </c>
      <c r="N41" s="2">
        <v>73.982750807419606</v>
      </c>
      <c r="O41" s="2" t="s">
        <v>17</v>
      </c>
      <c r="S41" s="15"/>
    </row>
    <row r="42" spans="2:19" ht="14.25" customHeight="1" x14ac:dyDescent="0.3">
      <c r="B42" s="2">
        <v>40</v>
      </c>
      <c r="C42" s="2">
        <v>0.02</v>
      </c>
      <c r="D42" s="2">
        <v>2.0681163172838501E-4</v>
      </c>
      <c r="E42" s="2">
        <v>0.72707360908311203</v>
      </c>
      <c r="F42" s="2">
        <v>1.2</v>
      </c>
      <c r="G42" s="2">
        <v>99.228060390483705</v>
      </c>
      <c r="H42" s="11" t="s">
        <v>27</v>
      </c>
      <c r="J42" s="2">
        <v>40</v>
      </c>
      <c r="K42" s="2">
        <v>2.5000000000000001E-2</v>
      </c>
      <c r="L42" s="2">
        <v>-6.8533030305532199</v>
      </c>
      <c r="M42" s="2">
        <v>3.1100011427274E-4</v>
      </c>
      <c r="N42" s="2">
        <v>-6.4399922305847799</v>
      </c>
      <c r="O42" s="2" t="s">
        <v>18</v>
      </c>
    </row>
    <row r="43" spans="2:19" ht="14.25" customHeight="1" x14ac:dyDescent="0.3">
      <c r="B43" s="2">
        <v>41</v>
      </c>
      <c r="C43" s="2">
        <v>2.2499999999999999E-2</v>
      </c>
      <c r="D43" s="2">
        <v>1.03125723847029E-3</v>
      </c>
      <c r="E43" s="2">
        <v>0.65513653303305197</v>
      </c>
      <c r="F43" s="2">
        <v>1.165</v>
      </c>
      <c r="G43" s="2">
        <v>99.441985795868504</v>
      </c>
      <c r="H43" s="5" t="s">
        <v>6</v>
      </c>
      <c r="J43" s="2">
        <v>41</v>
      </c>
      <c r="K43" s="2">
        <v>2.75E-2</v>
      </c>
      <c r="L43" s="2">
        <v>1.03585681702452E-3</v>
      </c>
      <c r="M43" s="15">
        <v>1.9346671864499401</v>
      </c>
      <c r="N43" s="2">
        <v>73.089868848641203</v>
      </c>
      <c r="O43" s="5" t="s">
        <v>6</v>
      </c>
    </row>
    <row r="44" spans="2:19" ht="14.25" customHeight="1" x14ac:dyDescent="0.3">
      <c r="B44" s="2">
        <v>42</v>
      </c>
      <c r="C44" s="2">
        <v>2.2499999999999999E-2</v>
      </c>
      <c r="D44" s="2">
        <v>11.304380277644199</v>
      </c>
      <c r="E44" s="2">
        <v>0.20574472171080699</v>
      </c>
      <c r="F44" s="2">
        <v>1.7789999999999999</v>
      </c>
      <c r="G44" s="2">
        <v>96.093109728406105</v>
      </c>
      <c r="H44" s="2" t="s">
        <v>16</v>
      </c>
      <c r="J44" s="2">
        <v>42</v>
      </c>
      <c r="K44" s="2">
        <v>2.75E-2</v>
      </c>
      <c r="L44" s="2">
        <v>11.3473425228688</v>
      </c>
      <c r="M44" s="2">
        <v>1.86349493169757</v>
      </c>
      <c r="N44" s="2">
        <v>70.768195335375495</v>
      </c>
      <c r="O44" s="2" t="s">
        <v>16</v>
      </c>
    </row>
    <row r="45" spans="2:19" ht="14.25" customHeight="1" x14ac:dyDescent="0.3">
      <c r="B45" s="2">
        <v>43</v>
      </c>
      <c r="C45" s="2">
        <v>2.2499999999999999E-2</v>
      </c>
      <c r="D45" s="2">
        <v>6.6105638872637398E-3</v>
      </c>
      <c r="E45" s="15">
        <v>0.70028523474227</v>
      </c>
      <c r="F45" s="2">
        <v>1.224</v>
      </c>
      <c r="G45" s="2">
        <v>99.294586452871798</v>
      </c>
      <c r="H45" s="2" t="s">
        <v>17</v>
      </c>
      <c r="J45" s="2">
        <v>43</v>
      </c>
      <c r="K45" s="2">
        <v>2.75E-2</v>
      </c>
      <c r="L45" s="2">
        <v>6.6406654683614499E-3</v>
      </c>
      <c r="M45" s="2">
        <v>2.0140852478352298</v>
      </c>
      <c r="N45" s="2">
        <v>73.982750803489395</v>
      </c>
      <c r="O45" s="2" t="s">
        <v>17</v>
      </c>
      <c r="S45" s="15"/>
    </row>
    <row r="46" spans="2:19" ht="14.25" customHeight="1" x14ac:dyDescent="0.3">
      <c r="B46" s="2">
        <v>44</v>
      </c>
      <c r="C46" s="2">
        <v>2.2499999999999999E-2</v>
      </c>
      <c r="D46" s="2">
        <v>-6.8533030307436196</v>
      </c>
      <c r="E46" s="2">
        <v>2.2103963097412398E-2</v>
      </c>
      <c r="F46" s="2">
        <v>0</v>
      </c>
      <c r="G46" s="2">
        <v>-6.4399922306914297</v>
      </c>
      <c r="H46" s="2" t="s">
        <v>18</v>
      </c>
      <c r="J46" s="2">
        <v>44</v>
      </c>
      <c r="K46" s="2">
        <v>2.75E-2</v>
      </c>
      <c r="L46" s="2">
        <v>-6.8533030303203697</v>
      </c>
      <c r="M46" s="2">
        <v>3.1100010963063402E-4</v>
      </c>
      <c r="N46" s="2">
        <v>-6.4399922304360997</v>
      </c>
      <c r="O46" s="2" t="s">
        <v>18</v>
      </c>
    </row>
    <row r="47" spans="2:19" ht="14.25" customHeight="1" x14ac:dyDescent="0.3">
      <c r="B47" s="2">
        <v>45</v>
      </c>
      <c r="C47" s="2">
        <v>2.2499999999999999E-2</v>
      </c>
      <c r="D47" s="2">
        <v>1.0312572157329301E-3</v>
      </c>
      <c r="E47" s="2">
        <v>0.65513653303307695</v>
      </c>
      <c r="F47" s="2">
        <v>1.165</v>
      </c>
      <c r="G47" s="2">
        <v>99.441985783231104</v>
      </c>
      <c r="H47" s="11" t="s">
        <v>27</v>
      </c>
      <c r="J47" s="2">
        <v>45</v>
      </c>
      <c r="K47" s="2">
        <v>0.03</v>
      </c>
      <c r="L47" s="2">
        <v>3.5075068319676998E-4</v>
      </c>
      <c r="M47" s="15">
        <v>2.0062961388192502</v>
      </c>
      <c r="N47" s="2">
        <v>73.948767596220506</v>
      </c>
      <c r="O47" s="5" t="s">
        <v>6</v>
      </c>
    </row>
    <row r="48" spans="2:19" ht="14.25" customHeight="1" x14ac:dyDescent="0.3">
      <c r="B48" s="2">
        <v>46</v>
      </c>
      <c r="C48" s="2">
        <v>2.5000000000000001E-2</v>
      </c>
      <c r="D48" s="2">
        <v>1.0312572373436901E-3</v>
      </c>
      <c r="E48" s="2">
        <v>0.65513652219838003</v>
      </c>
      <c r="F48" s="2">
        <v>1.165</v>
      </c>
      <c r="G48" s="2">
        <v>99.441986851763801</v>
      </c>
      <c r="H48" s="5" t="s">
        <v>6</v>
      </c>
      <c r="J48" s="2">
        <v>46</v>
      </c>
      <c r="K48" s="2">
        <v>0.03</v>
      </c>
      <c r="L48" s="2">
        <v>11.342041160360401</v>
      </c>
      <c r="M48" s="2">
        <v>1.86340305179803</v>
      </c>
      <c r="N48" s="2">
        <v>70.766250158558904</v>
      </c>
      <c r="O48" s="2" t="s">
        <v>16</v>
      </c>
    </row>
    <row r="49" spans="2:19" ht="14.25" customHeight="1" x14ac:dyDescent="0.3">
      <c r="B49" s="2">
        <v>47</v>
      </c>
      <c r="C49" s="2">
        <v>2.5000000000000001E-2</v>
      </c>
      <c r="D49" s="2">
        <v>11.3043802776705</v>
      </c>
      <c r="E49" s="2">
        <v>0.20574472100424701</v>
      </c>
      <c r="F49" s="2">
        <v>1.7789999999999999</v>
      </c>
      <c r="G49" s="2">
        <v>96.093109728173602</v>
      </c>
      <c r="H49" s="2" t="s">
        <v>16</v>
      </c>
      <c r="J49" s="2">
        <v>47</v>
      </c>
      <c r="K49" s="2">
        <v>0.03</v>
      </c>
      <c r="L49" s="2">
        <v>2.7516407369026102E-3</v>
      </c>
      <c r="M49" s="2">
        <v>2.0749992518837801</v>
      </c>
      <c r="N49" s="2">
        <v>74.5203740971088</v>
      </c>
      <c r="O49" s="2" t="s">
        <v>17</v>
      </c>
      <c r="S49" s="15"/>
    </row>
    <row r="50" spans="2:19" ht="14.25" customHeight="1" x14ac:dyDescent="0.3">
      <c r="B50" s="2">
        <v>48</v>
      </c>
      <c r="C50" s="2">
        <v>2.5000000000000001E-2</v>
      </c>
      <c r="D50" s="2">
        <v>6.6105638767498401E-3</v>
      </c>
      <c r="E50" s="15">
        <v>0.70028521460085802</v>
      </c>
      <c r="F50" s="2">
        <v>1.224</v>
      </c>
      <c r="G50" s="2">
        <v>99.294586537077393</v>
      </c>
      <c r="H50" s="2" t="s">
        <v>17</v>
      </c>
      <c r="J50" s="2">
        <v>48</v>
      </c>
      <c r="K50" s="2">
        <v>0.03</v>
      </c>
      <c r="L50" s="2">
        <v>-6.8554128872308802</v>
      </c>
      <c r="M50" s="2">
        <v>3.1151281444835702E-4</v>
      </c>
      <c r="N50" s="2">
        <v>-6.4420020277750698</v>
      </c>
      <c r="O50" s="2" t="s">
        <v>18</v>
      </c>
    </row>
    <row r="51" spans="2:19" ht="14.25" customHeight="1" x14ac:dyDescent="0.3">
      <c r="B51" s="2">
        <v>49</v>
      </c>
      <c r="C51" s="2">
        <v>2.5000000000000001E-2</v>
      </c>
      <c r="D51" s="2">
        <v>-6.8533030305532199</v>
      </c>
      <c r="E51" s="2">
        <v>2.21039629481567E-2</v>
      </c>
      <c r="F51" s="2">
        <v>0</v>
      </c>
      <c r="G51" s="2">
        <v>-6.4399922305847799</v>
      </c>
      <c r="H51" s="2" t="s">
        <v>18</v>
      </c>
      <c r="J51" s="2">
        <v>49</v>
      </c>
      <c r="K51" s="2">
        <v>3.2500000000000001E-2</v>
      </c>
      <c r="L51" s="2">
        <v>1.0358568163517799E-3</v>
      </c>
      <c r="M51" s="15">
        <v>1.9346671895290899</v>
      </c>
      <c r="N51" s="2">
        <v>73.089868906126895</v>
      </c>
      <c r="O51" s="5" t="s">
        <v>6</v>
      </c>
    </row>
    <row r="52" spans="2:19" ht="14.25" customHeight="1" x14ac:dyDescent="0.3">
      <c r="B52" s="2">
        <v>50</v>
      </c>
      <c r="C52" s="2">
        <v>2.5000000000000001E-2</v>
      </c>
      <c r="D52" s="2">
        <v>1.0312572373436901E-3</v>
      </c>
      <c r="E52" s="2">
        <v>0.65513652219838003</v>
      </c>
      <c r="F52" s="2">
        <v>1.165</v>
      </c>
      <c r="G52" s="2">
        <v>99.441986851763801</v>
      </c>
      <c r="H52" s="11" t="s">
        <v>27</v>
      </c>
      <c r="J52" s="2">
        <v>50</v>
      </c>
      <c r="K52" s="2">
        <v>3.2500000000000001E-2</v>
      </c>
      <c r="L52" s="2">
        <v>11.3473425227955</v>
      </c>
      <c r="M52" s="2">
        <v>1.8634949317349501</v>
      </c>
      <c r="N52" s="2">
        <v>70.768195337978895</v>
      </c>
      <c r="O52" s="2" t="s">
        <v>16</v>
      </c>
    </row>
    <row r="53" spans="2:19" ht="14.25" customHeight="1" x14ac:dyDescent="0.3">
      <c r="B53" s="2">
        <v>51</v>
      </c>
      <c r="C53" s="2">
        <v>2.75E-2</v>
      </c>
      <c r="D53" s="2">
        <v>1.0312572373436901E-3</v>
      </c>
      <c r="E53" s="2">
        <v>0.65513652219838003</v>
      </c>
      <c r="F53" s="2">
        <v>1.165</v>
      </c>
      <c r="G53" s="2">
        <v>99.441986851763801</v>
      </c>
      <c r="H53" s="5" t="s">
        <v>6</v>
      </c>
      <c r="J53" s="2">
        <v>51</v>
      </c>
      <c r="K53" s="2">
        <v>3.2500000000000001E-2</v>
      </c>
      <c r="L53" s="2">
        <v>6.6406653730616298E-3</v>
      </c>
      <c r="M53" s="2">
        <v>2.0140852580453799</v>
      </c>
      <c r="N53" s="2">
        <v>73.9827508597118</v>
      </c>
      <c r="O53" s="2" t="s">
        <v>17</v>
      </c>
      <c r="S53" s="15"/>
    </row>
    <row r="54" spans="2:19" ht="14.25" customHeight="1" x14ac:dyDescent="0.3">
      <c r="B54" s="2">
        <v>52</v>
      </c>
      <c r="C54" s="2">
        <v>2.75E-2</v>
      </c>
      <c r="D54" s="2">
        <v>11.304380277440799</v>
      </c>
      <c r="E54" s="2">
        <v>0.20574472747394601</v>
      </c>
      <c r="F54" s="2">
        <v>1.7789999999999999</v>
      </c>
      <c r="G54" s="2">
        <v>96.093109751203201</v>
      </c>
      <c r="H54" s="2" t="s">
        <v>16</v>
      </c>
      <c r="J54" s="2">
        <v>52</v>
      </c>
      <c r="K54" s="2">
        <v>3.2500000000000001E-2</v>
      </c>
      <c r="L54" s="2">
        <v>-6.8533030305297897</v>
      </c>
      <c r="M54" s="2">
        <v>3.1100010686981998E-4</v>
      </c>
      <c r="N54" s="2">
        <v>-6.4399922305131696</v>
      </c>
      <c r="O54" s="2" t="s">
        <v>18</v>
      </c>
    </row>
    <row r="55" spans="2:19" ht="14.25" customHeight="1" x14ac:dyDescent="0.3">
      <c r="B55" s="2">
        <v>53</v>
      </c>
      <c r="C55" s="2">
        <v>2.75E-2</v>
      </c>
      <c r="D55" s="2">
        <v>6.6105639781328098E-3</v>
      </c>
      <c r="E55" s="15">
        <v>0.70028522411475203</v>
      </c>
      <c r="F55" s="2">
        <v>1.224</v>
      </c>
      <c r="G55" s="2">
        <v>99.294586897973005</v>
      </c>
      <c r="H55" s="2" t="s">
        <v>17</v>
      </c>
      <c r="J55" s="2">
        <v>53</v>
      </c>
      <c r="K55" s="2">
        <v>3.5000000000000003E-2</v>
      </c>
      <c r="L55" s="2">
        <v>1.0358568190263801E-3</v>
      </c>
      <c r="M55" s="15">
        <v>1.9346671816790599</v>
      </c>
      <c r="N55" s="2">
        <v>73.089868775212693</v>
      </c>
      <c r="O55" s="5" t="s">
        <v>6</v>
      </c>
    </row>
    <row r="56" spans="2:19" ht="14.25" customHeight="1" x14ac:dyDescent="0.3">
      <c r="B56" s="2">
        <v>54</v>
      </c>
      <c r="C56" s="2">
        <v>2.75E-2</v>
      </c>
      <c r="D56" s="2">
        <v>-6.8533030304717304</v>
      </c>
      <c r="E56" s="2">
        <v>2.21039607586851E-2</v>
      </c>
      <c r="F56" s="2">
        <v>0</v>
      </c>
      <c r="G56" s="2">
        <v>-6.4399922304360997</v>
      </c>
      <c r="H56" s="2" t="s">
        <v>18</v>
      </c>
      <c r="J56" s="2">
        <v>54</v>
      </c>
      <c r="K56" s="2">
        <v>3.5000000000000003E-2</v>
      </c>
      <c r="L56" s="2">
        <v>11.3473425235831</v>
      </c>
      <c r="M56" s="2">
        <v>1.8634949309973301</v>
      </c>
      <c r="N56" s="2">
        <v>70.768195320162704</v>
      </c>
      <c r="O56" s="2" t="s">
        <v>16</v>
      </c>
    </row>
    <row r="57" spans="2:19" ht="14.25" customHeight="1" x14ac:dyDescent="0.3">
      <c r="B57" s="2">
        <v>55</v>
      </c>
      <c r="C57" s="2">
        <v>2.75E-2</v>
      </c>
      <c r="D57" s="2">
        <v>1.0312572373436901E-3</v>
      </c>
      <c r="E57" s="2">
        <v>0.65513652219838003</v>
      </c>
      <c r="F57" s="2">
        <v>1.165</v>
      </c>
      <c r="G57" s="2">
        <v>99.441986851763801</v>
      </c>
      <c r="H57" s="11" t="s">
        <v>27</v>
      </c>
      <c r="J57" s="2">
        <v>55</v>
      </c>
      <c r="K57" s="2">
        <v>3.5000000000000003E-2</v>
      </c>
      <c r="L57" s="2">
        <v>6.6406652860215298E-3</v>
      </c>
      <c r="M57" s="2">
        <v>2.0140852594768202</v>
      </c>
      <c r="N57" s="2">
        <v>73.982751238736398</v>
      </c>
      <c r="O57" s="2" t="s">
        <v>17</v>
      </c>
      <c r="S57" s="15"/>
    </row>
    <row r="58" spans="2:19" ht="14.25" customHeight="1" x14ac:dyDescent="0.3">
      <c r="B58" s="2">
        <v>56</v>
      </c>
      <c r="C58" s="2">
        <v>0.03</v>
      </c>
      <c r="D58" s="2">
        <v>3.491577202807E-4</v>
      </c>
      <c r="E58" s="2">
        <v>0.71328098449366295</v>
      </c>
      <c r="F58" s="2">
        <v>1.1870000000000001</v>
      </c>
      <c r="G58" s="2">
        <v>99.191774248141598</v>
      </c>
      <c r="H58" s="5" t="s">
        <v>6</v>
      </c>
      <c r="J58" s="2">
        <v>56</v>
      </c>
      <c r="K58" s="2">
        <v>3.5000000000000003E-2</v>
      </c>
      <c r="L58" s="2">
        <v>-6.8533030303818299</v>
      </c>
      <c r="M58" s="2">
        <v>3.1100011019012501E-4</v>
      </c>
      <c r="N58" s="2">
        <v>-6.4399922303562702</v>
      </c>
      <c r="O58" s="2" t="s">
        <v>18</v>
      </c>
    </row>
    <row r="59" spans="2:19" ht="14.25" customHeight="1" x14ac:dyDescent="0.3">
      <c r="B59" s="2">
        <v>57</v>
      </c>
      <c r="C59" s="2">
        <v>0.03</v>
      </c>
      <c r="D59" s="2">
        <v>11.299106034882501</v>
      </c>
      <c r="E59" s="2">
        <v>0.20516453335631901</v>
      </c>
      <c r="F59" s="2">
        <v>1.7789999999999999</v>
      </c>
      <c r="G59" s="2">
        <v>96.090671690014403</v>
      </c>
      <c r="H59" s="2" t="s">
        <v>16</v>
      </c>
      <c r="J59" s="2">
        <v>57</v>
      </c>
      <c r="K59" s="2">
        <v>3.7499999999999999E-2</v>
      </c>
      <c r="L59" s="2">
        <v>2.0777446443118099E-4</v>
      </c>
      <c r="M59" s="15">
        <v>2.0286715046728401</v>
      </c>
      <c r="N59" s="2">
        <v>77.373781749026406</v>
      </c>
      <c r="O59" s="5" t="s">
        <v>6</v>
      </c>
    </row>
    <row r="60" spans="2:19" ht="14.25" customHeight="1" x14ac:dyDescent="0.3">
      <c r="B60" s="2">
        <v>58</v>
      </c>
      <c r="C60" s="2">
        <v>0.03</v>
      </c>
      <c r="D60" s="2">
        <v>2.7388676724100498E-3</v>
      </c>
      <c r="E60" s="15">
        <v>0.72356100453188699</v>
      </c>
      <c r="F60" s="2">
        <v>1.2769999999999999</v>
      </c>
      <c r="G60" s="2">
        <v>99.139752433591894</v>
      </c>
      <c r="H60" s="2" t="s">
        <v>17</v>
      </c>
      <c r="J60" s="2">
        <v>58</v>
      </c>
      <c r="K60" s="2">
        <v>3.7499999999999999E-2</v>
      </c>
      <c r="L60" s="2">
        <v>11.341077174714</v>
      </c>
      <c r="M60" s="2">
        <v>1.8633750638976401</v>
      </c>
      <c r="N60" s="2">
        <v>74.370616912663607</v>
      </c>
      <c r="O60" s="2" t="s">
        <v>16</v>
      </c>
    </row>
    <row r="61" spans="2:19" ht="14.25" customHeight="1" x14ac:dyDescent="0.3">
      <c r="B61" s="2">
        <v>59</v>
      </c>
      <c r="C61" s="2">
        <v>0.03</v>
      </c>
      <c r="D61" s="2">
        <v>-6.8554128872256097</v>
      </c>
      <c r="E61" s="2">
        <v>2.2177580549870402E-2</v>
      </c>
      <c r="F61" s="2">
        <v>0</v>
      </c>
      <c r="G61" s="2">
        <v>-6.4420020277750698</v>
      </c>
      <c r="H61" s="2" t="s">
        <v>18</v>
      </c>
      <c r="J61" s="2">
        <v>59</v>
      </c>
      <c r="K61" s="2">
        <v>3.7499999999999999E-2</v>
      </c>
      <c r="L61" s="2">
        <v>1.76003794634307E-3</v>
      </c>
      <c r="M61" s="2">
        <v>2.1063134684260598</v>
      </c>
      <c r="N61" s="2">
        <v>77.836758365675394</v>
      </c>
      <c r="O61" s="2" t="s">
        <v>17</v>
      </c>
      <c r="S61" s="15"/>
    </row>
    <row r="62" spans="2:19" ht="14.25" customHeight="1" x14ac:dyDescent="0.3">
      <c r="B62" s="2">
        <v>60</v>
      </c>
      <c r="C62" s="2">
        <v>0.03</v>
      </c>
      <c r="D62" s="2">
        <v>3.491577202807E-4</v>
      </c>
      <c r="E62" s="2">
        <v>0.71328098449366295</v>
      </c>
      <c r="F62" s="2">
        <v>1.1870000000000001</v>
      </c>
      <c r="G62" s="2">
        <v>99.191774248141598</v>
      </c>
      <c r="H62" s="11" t="s">
        <v>27</v>
      </c>
      <c r="J62" s="2">
        <v>60</v>
      </c>
      <c r="K62" s="2">
        <v>3.7499999999999999E-2</v>
      </c>
      <c r="L62" s="2">
        <v>-6.8558608187708803</v>
      </c>
      <c r="M62" s="2">
        <v>3.1164153756684302E-4</v>
      </c>
      <c r="N62" s="2">
        <v>-5.92411318454797</v>
      </c>
      <c r="O62" s="2" t="s">
        <v>18</v>
      </c>
    </row>
    <row r="63" spans="2:19" ht="14.25" customHeight="1" x14ac:dyDescent="0.3">
      <c r="B63" s="2">
        <v>61</v>
      </c>
      <c r="C63" s="2">
        <v>3.2500000000000001E-2</v>
      </c>
      <c r="D63" s="2">
        <v>1.0312572366031601E-3</v>
      </c>
      <c r="E63" s="2">
        <v>0.65513651819681695</v>
      </c>
      <c r="F63" s="2">
        <v>1.165</v>
      </c>
      <c r="G63" s="2">
        <v>99.4419859368153</v>
      </c>
      <c r="H63" s="5" t="s">
        <v>6</v>
      </c>
      <c r="J63" s="2">
        <v>61</v>
      </c>
      <c r="K63" s="2">
        <v>0.04</v>
      </c>
      <c r="L63" s="2">
        <v>1.0358568183370599E-3</v>
      </c>
      <c r="M63" s="2">
        <v>1.93466719125964</v>
      </c>
      <c r="N63" s="2">
        <v>73.089869971742999</v>
      </c>
      <c r="O63" s="5" t="s">
        <v>6</v>
      </c>
    </row>
    <row r="64" spans="2:19" ht="14.25" customHeight="1" x14ac:dyDescent="0.3">
      <c r="B64" s="2">
        <v>62</v>
      </c>
      <c r="C64" s="2">
        <v>3.2500000000000001E-2</v>
      </c>
      <c r="D64" s="2">
        <v>11.3043802773518</v>
      </c>
      <c r="E64" s="2">
        <v>0.20574472778324801</v>
      </c>
      <c r="F64" s="2">
        <v>1.7789999999999999</v>
      </c>
      <c r="G64" s="2">
        <v>96.093109757305996</v>
      </c>
      <c r="H64" s="2" t="s">
        <v>16</v>
      </c>
      <c r="J64" s="2">
        <v>62</v>
      </c>
      <c r="K64" s="2">
        <v>0.04</v>
      </c>
      <c r="L64" s="2">
        <v>11.347342522995801</v>
      </c>
      <c r="M64" s="2">
        <v>1.8634949307358899</v>
      </c>
      <c r="N64" s="2">
        <v>70.768195314828901</v>
      </c>
      <c r="O64" s="2" t="s">
        <v>16</v>
      </c>
    </row>
    <row r="65" spans="2:19" ht="14.25" customHeight="1" x14ac:dyDescent="0.3">
      <c r="B65" s="2">
        <v>63</v>
      </c>
      <c r="C65" s="2">
        <v>3.2500000000000001E-2</v>
      </c>
      <c r="D65" s="2">
        <v>6.61056388272301E-3</v>
      </c>
      <c r="E65" s="15">
        <v>0.70028522047119002</v>
      </c>
      <c r="F65" s="2">
        <v>1.224</v>
      </c>
      <c r="G65" s="2">
        <v>99.294586495231201</v>
      </c>
      <c r="H65" s="2" t="s">
        <v>17</v>
      </c>
      <c r="J65" s="2">
        <v>63</v>
      </c>
      <c r="K65" s="2">
        <v>0.04</v>
      </c>
      <c r="L65" s="2">
        <v>6.6406653784752204E-3</v>
      </c>
      <c r="M65" s="2">
        <v>2.0140852654287298</v>
      </c>
      <c r="N65" s="2">
        <v>73.982750851622299</v>
      </c>
      <c r="O65" s="2" t="s">
        <v>17</v>
      </c>
      <c r="S65" s="15"/>
    </row>
    <row r="66" spans="2:19" ht="14.25" customHeight="1" x14ac:dyDescent="0.3">
      <c r="B66" s="2">
        <v>64</v>
      </c>
      <c r="C66" s="2">
        <v>3.2500000000000001E-2</v>
      </c>
      <c r="D66" s="2">
        <v>-6.8533030304811504</v>
      </c>
      <c r="E66" s="2">
        <v>2.21039704650224E-2</v>
      </c>
      <c r="F66" s="2">
        <v>0</v>
      </c>
      <c r="G66" s="2">
        <v>-6.4399922305131696</v>
      </c>
      <c r="H66" s="2" t="s">
        <v>18</v>
      </c>
      <c r="J66" s="2">
        <v>64</v>
      </c>
      <c r="K66" s="2">
        <v>0.04</v>
      </c>
      <c r="L66" s="2">
        <v>-6.8533030306675897</v>
      </c>
      <c r="M66" s="2">
        <v>3.1100010896144601E-4</v>
      </c>
      <c r="N66" s="2">
        <v>-6.4399922306914297</v>
      </c>
      <c r="O66" s="2" t="s">
        <v>18</v>
      </c>
    </row>
    <row r="67" spans="2:19" ht="14.25" customHeight="1" x14ac:dyDescent="0.3">
      <c r="B67" s="2">
        <v>65</v>
      </c>
      <c r="C67" s="2">
        <v>3.2500000000000001E-2</v>
      </c>
      <c r="D67" s="2">
        <v>1.0312572366031601E-3</v>
      </c>
      <c r="E67" s="2">
        <v>0.65513651819681695</v>
      </c>
      <c r="F67" s="2">
        <v>1.165</v>
      </c>
      <c r="G67" s="2">
        <v>99.4419859368153</v>
      </c>
      <c r="H67" s="11" t="s">
        <v>27</v>
      </c>
      <c r="J67" s="2">
        <v>65</v>
      </c>
      <c r="K67" s="2">
        <v>4.2500000000000003E-2</v>
      </c>
      <c r="L67" s="2">
        <v>1.03585681702452E-3</v>
      </c>
      <c r="M67" s="15">
        <v>1.9346671864499401</v>
      </c>
      <c r="N67" s="2">
        <v>73.089868848641203</v>
      </c>
      <c r="O67" s="5" t="s">
        <v>6</v>
      </c>
    </row>
    <row r="68" spans="2:19" ht="14.25" customHeight="1" x14ac:dyDescent="0.3">
      <c r="B68" s="2">
        <v>66</v>
      </c>
      <c r="C68" s="2">
        <v>3.5000000000000003E-2</v>
      </c>
      <c r="D68" s="2">
        <v>1.0312572392334499E-3</v>
      </c>
      <c r="E68" s="2">
        <v>0.65513656941509602</v>
      </c>
      <c r="F68" s="2">
        <v>1.165</v>
      </c>
      <c r="G68" s="2">
        <v>99.441985931145396</v>
      </c>
      <c r="H68" s="5" t="s">
        <v>6</v>
      </c>
      <c r="J68" s="2">
        <v>66</v>
      </c>
      <c r="K68" s="2">
        <v>4.2500000000000003E-2</v>
      </c>
      <c r="L68" s="2">
        <v>11.347342523019099</v>
      </c>
      <c r="M68" s="2">
        <v>1.8634949306983399</v>
      </c>
      <c r="N68" s="2">
        <v>70.768195313388503</v>
      </c>
      <c r="O68" s="2" t="s">
        <v>16</v>
      </c>
    </row>
    <row r="69" spans="2:19" ht="14.25" customHeight="1" x14ac:dyDescent="0.3">
      <c r="B69" s="2">
        <v>67</v>
      </c>
      <c r="C69" s="2">
        <v>3.5000000000000003E-2</v>
      </c>
      <c r="D69" s="2">
        <v>11.304380278206599</v>
      </c>
      <c r="E69" s="2">
        <v>0.20574472294679599</v>
      </c>
      <c r="F69" s="2">
        <v>1.7789999999999999</v>
      </c>
      <c r="G69" s="2">
        <v>96.093109735691797</v>
      </c>
      <c r="H69" s="2" t="s">
        <v>16</v>
      </c>
      <c r="J69" s="2">
        <v>67</v>
      </c>
      <c r="K69" s="2">
        <v>4.2500000000000003E-2</v>
      </c>
      <c r="L69" s="2">
        <v>6.6406653673657398E-3</v>
      </c>
      <c r="M69" s="2">
        <v>2.0140852595951402</v>
      </c>
      <c r="N69" s="2">
        <v>73.982750807419606</v>
      </c>
      <c r="O69" s="2" t="s">
        <v>17</v>
      </c>
      <c r="S69" s="15"/>
    </row>
    <row r="70" spans="2:19" ht="14.25" customHeight="1" x14ac:dyDescent="0.3">
      <c r="B70" s="2">
        <v>68</v>
      </c>
      <c r="C70" s="2">
        <v>3.5000000000000003E-2</v>
      </c>
      <c r="D70" s="2">
        <v>6.6105637962615999E-3</v>
      </c>
      <c r="E70" s="15">
        <v>0.70028522524588499</v>
      </c>
      <c r="F70" s="2">
        <v>1.224</v>
      </c>
      <c r="G70" s="2">
        <v>99.294586665570094</v>
      </c>
      <c r="H70" s="2" t="s">
        <v>17</v>
      </c>
      <c r="J70" s="2">
        <v>68</v>
      </c>
      <c r="K70" s="2">
        <v>4.2500000000000003E-2</v>
      </c>
      <c r="L70" s="2">
        <v>-6.8533030305532199</v>
      </c>
      <c r="M70" s="2">
        <v>3.1100011427274E-4</v>
      </c>
      <c r="N70" s="2">
        <v>-6.4399922305847799</v>
      </c>
      <c r="O70" s="2" t="s">
        <v>18</v>
      </c>
    </row>
    <row r="71" spans="2:19" ht="14.25" customHeight="1" x14ac:dyDescent="0.3">
      <c r="B71" s="2">
        <v>69</v>
      </c>
      <c r="C71" s="2">
        <v>3.5000000000000003E-2</v>
      </c>
      <c r="D71" s="2">
        <v>-6.85330303029437</v>
      </c>
      <c r="E71" s="2">
        <v>2.2103961971994299E-2</v>
      </c>
      <c r="F71" s="2">
        <v>0</v>
      </c>
      <c r="G71" s="2">
        <v>-6.4399922303562702</v>
      </c>
      <c r="H71" s="2" t="s">
        <v>18</v>
      </c>
      <c r="J71" s="2">
        <v>69</v>
      </c>
      <c r="K71" s="2">
        <v>4.4999999999999998E-2</v>
      </c>
      <c r="L71" s="2">
        <v>1.03585681702452E-3</v>
      </c>
      <c r="M71" s="15">
        <v>1.9346671864499401</v>
      </c>
      <c r="N71" s="2">
        <v>73.089868848641203</v>
      </c>
      <c r="O71" s="5" t="s">
        <v>6</v>
      </c>
    </row>
    <row r="72" spans="2:19" ht="14.25" customHeight="1" x14ac:dyDescent="0.3">
      <c r="B72" s="2">
        <v>70</v>
      </c>
      <c r="C72" s="2">
        <v>3.5000000000000003E-2</v>
      </c>
      <c r="D72" s="2">
        <v>1.0312572392334499E-3</v>
      </c>
      <c r="E72" s="2">
        <v>0.65513656941509602</v>
      </c>
      <c r="F72" s="2">
        <v>1.165</v>
      </c>
      <c r="G72" s="2">
        <v>99.441985931145396</v>
      </c>
      <c r="H72" s="11" t="s">
        <v>27</v>
      </c>
      <c r="J72" s="2">
        <v>70</v>
      </c>
      <c r="K72" s="2">
        <v>4.4999999999999998E-2</v>
      </c>
      <c r="L72" s="2">
        <v>11.3473425228688</v>
      </c>
      <c r="M72" s="2">
        <v>1.86349493169757</v>
      </c>
      <c r="N72" s="2">
        <v>70.768195335375495</v>
      </c>
      <c r="O72" s="2" t="s">
        <v>16</v>
      </c>
    </row>
    <row r="73" spans="2:19" ht="14.25" customHeight="1" x14ac:dyDescent="0.3">
      <c r="B73" s="2">
        <v>71</v>
      </c>
      <c r="C73" s="2">
        <v>3.7499999999999999E-2</v>
      </c>
      <c r="D73" s="2">
        <v>2.0682320504602901E-4</v>
      </c>
      <c r="E73" s="2">
        <v>0.72707360937814602</v>
      </c>
      <c r="F73" s="2">
        <v>1.2</v>
      </c>
      <c r="G73" s="2">
        <v>99.228057709082407</v>
      </c>
      <c r="H73" s="5" t="s">
        <v>6</v>
      </c>
      <c r="J73" s="2">
        <v>71</v>
      </c>
      <c r="K73" s="2">
        <v>4.4999999999999998E-2</v>
      </c>
      <c r="L73" s="2">
        <v>6.6406654683614499E-3</v>
      </c>
      <c r="M73" s="2">
        <v>2.0140852478352298</v>
      </c>
      <c r="N73" s="2">
        <v>73.982750803489395</v>
      </c>
      <c r="O73" s="2" t="s">
        <v>17</v>
      </c>
      <c r="S73" s="15"/>
    </row>
    <row r="74" spans="2:19" ht="14.25" customHeight="1" x14ac:dyDescent="0.3">
      <c r="B74" s="2">
        <v>72</v>
      </c>
      <c r="C74" s="2">
        <v>3.7499999999999999E-2</v>
      </c>
      <c r="D74" s="2">
        <v>11.298147495457</v>
      </c>
      <c r="E74" s="2">
        <v>0.20501056266456899</v>
      </c>
      <c r="F74" s="2">
        <v>1.7789999999999999</v>
      </c>
      <c r="G74" s="2">
        <v>96.572086455901996</v>
      </c>
      <c r="H74" s="2" t="s">
        <v>16</v>
      </c>
      <c r="J74" s="2">
        <v>72</v>
      </c>
      <c r="K74" s="2">
        <v>4.4999999999999998E-2</v>
      </c>
      <c r="L74" s="2">
        <v>-6.8533030303203697</v>
      </c>
      <c r="M74" s="2">
        <v>3.1100010963063402E-4</v>
      </c>
      <c r="N74" s="2">
        <v>-6.4399922304360997</v>
      </c>
      <c r="O74" s="2" t="s">
        <v>18</v>
      </c>
    </row>
    <row r="75" spans="2:19" ht="14.25" customHeight="1" x14ac:dyDescent="0.3">
      <c r="B75" s="2">
        <v>73</v>
      </c>
      <c r="C75" s="2">
        <v>3.7499999999999999E-2</v>
      </c>
      <c r="D75" s="2">
        <v>1.75176375881883E-3</v>
      </c>
      <c r="E75" s="15">
        <v>0.73567919213719801</v>
      </c>
      <c r="F75" s="2">
        <v>1.3009999999999999</v>
      </c>
      <c r="G75" s="2">
        <v>99.170640009348205</v>
      </c>
      <c r="H75" s="2" t="s">
        <v>17</v>
      </c>
      <c r="J75" s="2">
        <v>73</v>
      </c>
      <c r="K75" s="2">
        <v>4.7500000000000001E-2</v>
      </c>
      <c r="L75" s="2">
        <v>3.5075068319676998E-4</v>
      </c>
      <c r="M75" s="15">
        <v>2.0062961388192502</v>
      </c>
      <c r="N75" s="2">
        <v>73.948767596220506</v>
      </c>
      <c r="O75" s="5" t="s">
        <v>6</v>
      </c>
    </row>
    <row r="76" spans="2:19" ht="14.25" customHeight="1" x14ac:dyDescent="0.3">
      <c r="B76" s="2">
        <v>74</v>
      </c>
      <c r="C76" s="2">
        <v>3.7499999999999999E-2</v>
      </c>
      <c r="D76" s="2">
        <v>-6.8558608188118102</v>
      </c>
      <c r="E76" s="15">
        <v>1.14094331615107E-6</v>
      </c>
      <c r="F76" s="2">
        <v>0</v>
      </c>
      <c r="G76" s="2">
        <v>-5.92411318454797</v>
      </c>
      <c r="H76" s="2" t="s">
        <v>18</v>
      </c>
      <c r="J76" s="2">
        <v>74</v>
      </c>
      <c r="K76" s="2">
        <v>4.7500000000000001E-2</v>
      </c>
      <c r="L76" s="2">
        <v>11.342041160360401</v>
      </c>
      <c r="M76" s="2">
        <v>1.86340305179803</v>
      </c>
      <c r="N76" s="2">
        <v>70.766250158558904</v>
      </c>
      <c r="O76" s="2" t="s">
        <v>16</v>
      </c>
    </row>
    <row r="77" spans="2:19" ht="14.25" customHeight="1" x14ac:dyDescent="0.3">
      <c r="B77" s="2">
        <v>75</v>
      </c>
      <c r="C77" s="2">
        <v>3.7499999999999999E-2</v>
      </c>
      <c r="D77" s="2">
        <v>2.0681163172838501E-4</v>
      </c>
      <c r="E77" s="2">
        <v>0.72707360908311203</v>
      </c>
      <c r="F77" s="2">
        <v>1.2</v>
      </c>
      <c r="G77" s="2">
        <v>99.228060390483705</v>
      </c>
      <c r="H77" s="11" t="s">
        <v>27</v>
      </c>
      <c r="J77" s="2">
        <v>75</v>
      </c>
      <c r="K77" s="2">
        <v>4.7500000000000001E-2</v>
      </c>
      <c r="L77" s="2">
        <v>2.7516407369026102E-3</v>
      </c>
      <c r="M77" s="2">
        <v>2.0749992518837801</v>
      </c>
      <c r="N77" s="2">
        <v>74.5203740971088</v>
      </c>
      <c r="O77" s="2" t="s">
        <v>17</v>
      </c>
      <c r="S77" s="15"/>
    </row>
    <row r="78" spans="2:19" ht="14.25" customHeight="1" x14ac:dyDescent="0.3">
      <c r="B78" s="2">
        <v>76</v>
      </c>
      <c r="C78" s="2">
        <v>0.04</v>
      </c>
      <c r="D78" s="2">
        <v>1.03125723847029E-3</v>
      </c>
      <c r="E78" s="2">
        <v>0.65513653303305197</v>
      </c>
      <c r="F78" s="2">
        <v>1.165</v>
      </c>
      <c r="G78" s="2">
        <v>99.441985795868504</v>
      </c>
      <c r="H78" s="5" t="s">
        <v>6</v>
      </c>
      <c r="J78" s="2">
        <v>76</v>
      </c>
      <c r="K78" s="2">
        <v>4.7500000000000001E-2</v>
      </c>
      <c r="L78" s="2">
        <v>-6.8554128872308802</v>
      </c>
      <c r="M78" s="2">
        <v>3.1151281444835702E-4</v>
      </c>
      <c r="N78" s="2">
        <v>-6.4420020277750698</v>
      </c>
      <c r="O78" s="2" t="s">
        <v>18</v>
      </c>
    </row>
    <row r="79" spans="2:19" ht="14.25" customHeight="1" x14ac:dyDescent="0.3">
      <c r="B79" s="2">
        <v>77</v>
      </c>
      <c r="C79" s="2">
        <v>0.04</v>
      </c>
      <c r="D79" s="2">
        <v>11.304380277644199</v>
      </c>
      <c r="E79" s="2">
        <v>0.20574472171080699</v>
      </c>
      <c r="F79" s="2">
        <v>1.7789999999999999</v>
      </c>
      <c r="G79" s="2">
        <v>96.093109728406105</v>
      </c>
      <c r="H79" s="2" t="s">
        <v>16</v>
      </c>
      <c r="J79" s="2">
        <v>77</v>
      </c>
      <c r="K79" s="2">
        <v>0.05</v>
      </c>
      <c r="L79" s="2">
        <v>1.0358568163517799E-3</v>
      </c>
      <c r="M79" s="15">
        <v>1.9346671895290899</v>
      </c>
      <c r="N79" s="2">
        <v>73.089868906126895</v>
      </c>
      <c r="O79" s="5" t="s">
        <v>6</v>
      </c>
    </row>
    <row r="80" spans="2:19" ht="14.25" customHeight="1" x14ac:dyDescent="0.3">
      <c r="B80" s="2">
        <v>78</v>
      </c>
      <c r="C80" s="2">
        <v>0.04</v>
      </c>
      <c r="D80" s="2">
        <v>6.6105638872637398E-3</v>
      </c>
      <c r="E80" s="15">
        <v>0.70028523474227</v>
      </c>
      <c r="F80" s="2">
        <v>1.224</v>
      </c>
      <c r="G80" s="2">
        <v>99.294586452871798</v>
      </c>
      <c r="H80" s="2" t="s">
        <v>17</v>
      </c>
      <c r="J80" s="2">
        <v>78</v>
      </c>
      <c r="K80" s="2">
        <v>0.05</v>
      </c>
      <c r="L80" s="2">
        <v>11.3473425227955</v>
      </c>
      <c r="M80" s="2">
        <v>1.8634949317349501</v>
      </c>
      <c r="N80" s="2">
        <v>70.768195337978895</v>
      </c>
      <c r="O80" s="2" t="s">
        <v>16</v>
      </c>
    </row>
    <row r="81" spans="2:19" ht="14.25" customHeight="1" x14ac:dyDescent="0.3">
      <c r="B81" s="2">
        <v>79</v>
      </c>
      <c r="C81" s="2">
        <v>0.04</v>
      </c>
      <c r="D81" s="2">
        <v>-6.8533030307436196</v>
      </c>
      <c r="E81" s="2">
        <v>2.2103963097412398E-2</v>
      </c>
      <c r="F81" s="2">
        <v>0</v>
      </c>
      <c r="G81" s="2">
        <v>-6.4399922306914297</v>
      </c>
      <c r="H81" s="2" t="s">
        <v>18</v>
      </c>
      <c r="J81" s="2">
        <v>79</v>
      </c>
      <c r="K81" s="2">
        <v>0.05</v>
      </c>
      <c r="L81" s="2">
        <v>6.6406653730616298E-3</v>
      </c>
      <c r="M81" s="2">
        <v>2.0140852580453799</v>
      </c>
      <c r="N81" s="2">
        <v>73.9827508597118</v>
      </c>
      <c r="O81" s="2" t="s">
        <v>17</v>
      </c>
      <c r="S81" s="15"/>
    </row>
    <row r="82" spans="2:19" ht="14.25" customHeight="1" x14ac:dyDescent="0.3">
      <c r="B82" s="2">
        <v>80</v>
      </c>
      <c r="C82" s="2">
        <v>0.04</v>
      </c>
      <c r="D82" s="2">
        <v>1.0312572157329301E-3</v>
      </c>
      <c r="E82" s="2">
        <v>0.65513653303307695</v>
      </c>
      <c r="F82" s="2">
        <v>1.165</v>
      </c>
      <c r="G82" s="2">
        <v>99.441985783231104</v>
      </c>
      <c r="H82" s="11" t="s">
        <v>27</v>
      </c>
      <c r="J82" s="2">
        <v>80</v>
      </c>
      <c r="K82" s="2">
        <v>0.05</v>
      </c>
      <c r="L82" s="2">
        <v>-6.8533030305297897</v>
      </c>
      <c r="M82" s="2">
        <v>3.1100010686981998E-4</v>
      </c>
      <c r="N82" s="2">
        <v>-6.4399922305131696</v>
      </c>
      <c r="O82" s="2" t="s">
        <v>18</v>
      </c>
    </row>
    <row r="83" spans="2:19" ht="14.25" customHeight="1" x14ac:dyDescent="0.3">
      <c r="B83" s="2">
        <v>81</v>
      </c>
      <c r="C83" s="2">
        <v>4.2500000000000003E-2</v>
      </c>
      <c r="D83" s="2">
        <v>1.0312572373436901E-3</v>
      </c>
      <c r="E83" s="2">
        <v>0.65513652219838003</v>
      </c>
      <c r="F83" s="2">
        <v>1.165</v>
      </c>
      <c r="G83" s="2">
        <v>99.441986851763801</v>
      </c>
      <c r="H83" s="5" t="s">
        <v>6</v>
      </c>
      <c r="J83" s="2">
        <v>81</v>
      </c>
      <c r="K83" s="2">
        <v>5.2499999999999998E-2</v>
      </c>
      <c r="L83" s="2">
        <v>1.0358568190263801E-3</v>
      </c>
      <c r="M83" s="15">
        <v>1.9346671816790599</v>
      </c>
      <c r="N83" s="2">
        <v>73.089868775212693</v>
      </c>
      <c r="O83" s="5" t="s">
        <v>6</v>
      </c>
    </row>
    <row r="84" spans="2:19" ht="14.25" customHeight="1" x14ac:dyDescent="0.3">
      <c r="B84" s="2">
        <v>82</v>
      </c>
      <c r="C84" s="2">
        <v>4.2500000000000003E-2</v>
      </c>
      <c r="D84" s="2">
        <v>11.3043802776705</v>
      </c>
      <c r="E84" s="2">
        <v>0.20574472100424701</v>
      </c>
      <c r="F84" s="2">
        <v>1.7789999999999999</v>
      </c>
      <c r="G84" s="2">
        <v>96.093109728173602</v>
      </c>
      <c r="H84" s="2" t="s">
        <v>16</v>
      </c>
      <c r="J84" s="2">
        <v>82</v>
      </c>
      <c r="K84" s="2">
        <v>5.2499999999999998E-2</v>
      </c>
      <c r="L84" s="2">
        <v>11.3473425235831</v>
      </c>
      <c r="M84" s="2">
        <v>1.8634949309973301</v>
      </c>
      <c r="N84" s="2">
        <v>70.768195320162704</v>
      </c>
      <c r="O84" s="2" t="s">
        <v>16</v>
      </c>
    </row>
    <row r="85" spans="2:19" ht="14.25" customHeight="1" x14ac:dyDescent="0.3">
      <c r="B85" s="2">
        <v>83</v>
      </c>
      <c r="C85" s="2">
        <v>4.2500000000000003E-2</v>
      </c>
      <c r="D85" s="2">
        <v>6.6105638767498401E-3</v>
      </c>
      <c r="E85" s="15">
        <v>0.70028521460085802</v>
      </c>
      <c r="F85" s="2">
        <v>1.224</v>
      </c>
      <c r="G85" s="2">
        <v>99.294586537077393</v>
      </c>
      <c r="H85" s="2" t="s">
        <v>17</v>
      </c>
      <c r="J85" s="2">
        <v>83</v>
      </c>
      <c r="K85" s="2">
        <v>5.2499999999999998E-2</v>
      </c>
      <c r="L85" s="2">
        <v>6.6406652860215298E-3</v>
      </c>
      <c r="M85" s="2">
        <v>2.0140852594768202</v>
      </c>
      <c r="N85" s="2">
        <v>73.982751238736398</v>
      </c>
      <c r="O85" s="2" t="s">
        <v>17</v>
      </c>
      <c r="S85" s="15"/>
    </row>
    <row r="86" spans="2:19" ht="14.25" customHeight="1" x14ac:dyDescent="0.3">
      <c r="B86" s="2">
        <v>84</v>
      </c>
      <c r="C86" s="2">
        <v>4.2500000000000003E-2</v>
      </c>
      <c r="D86" s="2">
        <v>-6.8533030305532199</v>
      </c>
      <c r="E86" s="2">
        <v>2.21039629481567E-2</v>
      </c>
      <c r="F86" s="2">
        <v>0</v>
      </c>
      <c r="G86" s="2">
        <v>-6.4399922305847799</v>
      </c>
      <c r="H86" s="2" t="s">
        <v>18</v>
      </c>
      <c r="J86" s="2">
        <v>84</v>
      </c>
      <c r="K86" s="2">
        <v>5.2499999999999998E-2</v>
      </c>
      <c r="L86" s="2">
        <v>-6.8533030303818299</v>
      </c>
      <c r="M86" s="2">
        <v>3.1100011019012501E-4</v>
      </c>
      <c r="N86" s="2">
        <v>-6.4399922303562702</v>
      </c>
      <c r="O86" s="2" t="s">
        <v>18</v>
      </c>
    </row>
    <row r="87" spans="2:19" ht="14.25" customHeight="1" x14ac:dyDescent="0.3">
      <c r="B87" s="2">
        <v>85</v>
      </c>
      <c r="C87" s="2">
        <v>4.2500000000000003E-2</v>
      </c>
      <c r="D87" s="2">
        <v>1.0312572373436901E-3</v>
      </c>
      <c r="E87" s="2">
        <v>0.65513652219838003</v>
      </c>
      <c r="F87" s="2">
        <v>1.165</v>
      </c>
      <c r="G87" s="2">
        <v>99.441986851763801</v>
      </c>
      <c r="H87" s="11" t="s">
        <v>27</v>
      </c>
      <c r="J87" s="2">
        <v>85</v>
      </c>
      <c r="K87" s="2">
        <v>5.5E-2</v>
      </c>
      <c r="L87" s="2">
        <v>2.0777446443118099E-4</v>
      </c>
      <c r="M87" s="2">
        <v>2.0286715046728401</v>
      </c>
      <c r="N87" s="2">
        <v>77.373781749026406</v>
      </c>
      <c r="O87" s="5" t="s">
        <v>6</v>
      </c>
    </row>
    <row r="88" spans="2:19" ht="14.25" customHeight="1" x14ac:dyDescent="0.3">
      <c r="B88" s="2">
        <v>86</v>
      </c>
      <c r="C88" s="2">
        <v>4.4999999999999998E-2</v>
      </c>
      <c r="D88" s="2">
        <v>1.0312572373436901E-3</v>
      </c>
      <c r="E88" s="2">
        <v>0.65513652219838003</v>
      </c>
      <c r="F88" s="2">
        <v>1.165</v>
      </c>
      <c r="G88" s="2">
        <v>99.441986851763801</v>
      </c>
      <c r="H88" s="5" t="s">
        <v>6</v>
      </c>
      <c r="J88" s="2">
        <v>86</v>
      </c>
      <c r="K88" s="2">
        <v>5.5E-2</v>
      </c>
      <c r="L88" s="2">
        <v>11.341077174714</v>
      </c>
      <c r="M88" s="2">
        <v>1.8633750638976401</v>
      </c>
      <c r="N88" s="2">
        <v>74.370616912663607</v>
      </c>
      <c r="O88" s="2" t="s">
        <v>16</v>
      </c>
    </row>
    <row r="89" spans="2:19" ht="14.25" customHeight="1" x14ac:dyDescent="0.3">
      <c r="B89" s="2">
        <v>87</v>
      </c>
      <c r="C89" s="2">
        <v>4.4999999999999998E-2</v>
      </c>
      <c r="D89" s="2">
        <v>11.304380277440799</v>
      </c>
      <c r="E89" s="2">
        <v>0.20574472747394601</v>
      </c>
      <c r="F89" s="2">
        <v>1.7789999999999999</v>
      </c>
      <c r="G89" s="2">
        <v>96.093109751203201</v>
      </c>
      <c r="H89" s="2" t="s">
        <v>16</v>
      </c>
      <c r="J89" s="2">
        <v>87</v>
      </c>
      <c r="K89" s="2">
        <v>5.5E-2</v>
      </c>
      <c r="L89" s="2">
        <v>1.76003794634307E-3</v>
      </c>
      <c r="M89" s="2">
        <v>2.1063134684260598</v>
      </c>
      <c r="N89" s="2">
        <v>77.836758365675394</v>
      </c>
      <c r="O89" s="2" t="s">
        <v>17</v>
      </c>
      <c r="S89" s="15"/>
    </row>
    <row r="90" spans="2:19" ht="14.25" customHeight="1" x14ac:dyDescent="0.3">
      <c r="B90" s="2">
        <v>88</v>
      </c>
      <c r="C90" s="2">
        <v>4.4999999999999998E-2</v>
      </c>
      <c r="D90" s="2">
        <v>6.6105639781328098E-3</v>
      </c>
      <c r="E90" s="15">
        <v>0.70028522411475203</v>
      </c>
      <c r="F90" s="2">
        <v>1.224</v>
      </c>
      <c r="G90" s="2">
        <v>99.294586897973005</v>
      </c>
      <c r="H90" s="2" t="s">
        <v>17</v>
      </c>
      <c r="J90" s="2">
        <v>88</v>
      </c>
      <c r="K90" s="2">
        <v>5.5E-2</v>
      </c>
      <c r="L90" s="2">
        <v>-6.8558608187708803</v>
      </c>
      <c r="M90" s="2">
        <v>3.1164153756684302E-4</v>
      </c>
      <c r="N90" s="2">
        <v>-5.92411318454797</v>
      </c>
      <c r="O90" s="2" t="s">
        <v>18</v>
      </c>
    </row>
    <row r="91" spans="2:19" ht="14.25" customHeight="1" x14ac:dyDescent="0.3">
      <c r="B91" s="2">
        <v>89</v>
      </c>
      <c r="C91" s="2">
        <v>4.4999999999999998E-2</v>
      </c>
      <c r="D91" s="2">
        <v>-6.8533030304717304</v>
      </c>
      <c r="E91" s="2">
        <v>2.21039607586851E-2</v>
      </c>
      <c r="F91" s="2">
        <v>0</v>
      </c>
      <c r="G91" s="2">
        <v>-6.4399922304360997</v>
      </c>
      <c r="H91" s="2" t="s">
        <v>18</v>
      </c>
      <c r="J91" s="2">
        <v>89</v>
      </c>
      <c r="K91" s="2">
        <v>5.7500000000000002E-2</v>
      </c>
      <c r="L91" s="2">
        <v>1.0358568183370599E-3</v>
      </c>
      <c r="M91" s="2">
        <v>1.93466719125964</v>
      </c>
      <c r="N91" s="2">
        <v>73.089869971742999</v>
      </c>
      <c r="O91" s="5" t="s">
        <v>6</v>
      </c>
    </row>
    <row r="92" spans="2:19" ht="14.25" customHeight="1" x14ac:dyDescent="0.3">
      <c r="B92" s="2">
        <v>90</v>
      </c>
      <c r="C92" s="2">
        <v>4.4999999999999998E-2</v>
      </c>
      <c r="D92" s="2">
        <v>1.0312572373436901E-3</v>
      </c>
      <c r="E92" s="2">
        <v>0.65513652219838003</v>
      </c>
      <c r="F92" s="2">
        <v>1.165</v>
      </c>
      <c r="G92" s="2">
        <v>99.441986851763801</v>
      </c>
      <c r="H92" s="11" t="s">
        <v>27</v>
      </c>
      <c r="J92" s="2">
        <v>90</v>
      </c>
      <c r="K92" s="2">
        <v>5.7500000000000002E-2</v>
      </c>
      <c r="L92" s="2">
        <v>11.347342522995801</v>
      </c>
      <c r="M92" s="2">
        <v>1.8634949307358899</v>
      </c>
      <c r="N92" s="2">
        <v>70.768195314828901</v>
      </c>
      <c r="O92" s="2" t="s">
        <v>16</v>
      </c>
    </row>
    <row r="93" spans="2:19" ht="14.25" customHeight="1" x14ac:dyDescent="0.3">
      <c r="B93" s="2">
        <v>91</v>
      </c>
      <c r="C93" s="2">
        <v>4.7500000000000001E-2</v>
      </c>
      <c r="D93" s="2">
        <v>3.491577202807E-4</v>
      </c>
      <c r="E93" s="2">
        <v>0.71328098449366295</v>
      </c>
      <c r="F93" s="2">
        <v>1.1870000000000001</v>
      </c>
      <c r="G93" s="2">
        <v>99.191774248141598</v>
      </c>
      <c r="H93" s="5" t="s">
        <v>6</v>
      </c>
      <c r="J93" s="2">
        <v>91</v>
      </c>
      <c r="K93" s="2">
        <v>5.7500000000000002E-2</v>
      </c>
      <c r="L93" s="2">
        <v>6.6406653784752204E-3</v>
      </c>
      <c r="M93" s="2">
        <v>2.0140852654287298</v>
      </c>
      <c r="N93" s="2">
        <v>73.982750851622299</v>
      </c>
      <c r="O93" s="2" t="s">
        <v>17</v>
      </c>
      <c r="S93" s="15"/>
    </row>
    <row r="94" spans="2:19" ht="14.25" customHeight="1" x14ac:dyDescent="0.3">
      <c r="B94" s="2">
        <v>92</v>
      </c>
      <c r="C94" s="2">
        <v>4.7500000000000001E-2</v>
      </c>
      <c r="D94" s="2">
        <v>11.299106034882501</v>
      </c>
      <c r="E94" s="2">
        <v>0.20516453335631901</v>
      </c>
      <c r="F94" s="2">
        <v>1.7789999999999999</v>
      </c>
      <c r="G94" s="2">
        <v>96.090671690014403</v>
      </c>
      <c r="H94" s="2" t="s">
        <v>16</v>
      </c>
      <c r="J94" s="2">
        <v>92</v>
      </c>
      <c r="K94" s="2">
        <v>5.7500000000000002E-2</v>
      </c>
      <c r="L94" s="2">
        <v>-6.8533030306675897</v>
      </c>
      <c r="M94" s="2">
        <v>3.1100010896144601E-4</v>
      </c>
      <c r="N94" s="2">
        <v>-6.4399922306914297</v>
      </c>
      <c r="O94" s="2" t="s">
        <v>18</v>
      </c>
    </row>
    <row r="95" spans="2:19" ht="14.25" customHeight="1" x14ac:dyDescent="0.3">
      <c r="B95" s="2">
        <v>93</v>
      </c>
      <c r="C95" s="2">
        <v>4.7500000000000001E-2</v>
      </c>
      <c r="D95" s="2">
        <v>2.7388676724100498E-3</v>
      </c>
      <c r="E95" s="15">
        <v>0.72356100453188699</v>
      </c>
      <c r="F95" s="2">
        <v>1.2769999999999999</v>
      </c>
      <c r="G95" s="2">
        <v>99.139752433591894</v>
      </c>
      <c r="H95" s="2" t="s">
        <v>17</v>
      </c>
      <c r="J95" s="2">
        <v>93</v>
      </c>
      <c r="K95" s="2">
        <v>0.06</v>
      </c>
      <c r="L95" s="2">
        <v>1.03585681702452E-3</v>
      </c>
      <c r="M95" s="2">
        <v>1.9346671864499401</v>
      </c>
      <c r="N95" s="2">
        <v>73.089868848641203</v>
      </c>
      <c r="O95" s="5" t="s">
        <v>6</v>
      </c>
    </row>
    <row r="96" spans="2:19" ht="14.25" customHeight="1" x14ac:dyDescent="0.3">
      <c r="B96" s="2">
        <v>94</v>
      </c>
      <c r="C96" s="2">
        <v>4.7500000000000001E-2</v>
      </c>
      <c r="D96" s="2">
        <v>-6.8554128872256097</v>
      </c>
      <c r="E96" s="2">
        <v>2.2177580549870402E-2</v>
      </c>
      <c r="F96" s="2">
        <v>0</v>
      </c>
      <c r="G96" s="2">
        <v>-6.4420020277750698</v>
      </c>
      <c r="H96" s="2" t="s">
        <v>18</v>
      </c>
      <c r="J96" s="2">
        <v>94</v>
      </c>
      <c r="K96" s="2">
        <v>0.06</v>
      </c>
      <c r="L96" s="2">
        <v>11.347342523019099</v>
      </c>
      <c r="M96" s="2">
        <v>1.8634949306983399</v>
      </c>
      <c r="N96" s="2">
        <v>70.768195313388503</v>
      </c>
      <c r="O96" s="2" t="s">
        <v>16</v>
      </c>
    </row>
    <row r="97" spans="2:19" ht="14.25" customHeight="1" x14ac:dyDescent="0.3">
      <c r="B97" s="2">
        <v>95</v>
      </c>
      <c r="C97" s="2">
        <v>4.7500000000000001E-2</v>
      </c>
      <c r="D97" s="2">
        <v>3.491577202807E-4</v>
      </c>
      <c r="E97" s="2">
        <v>0.71328098449366295</v>
      </c>
      <c r="F97" s="2">
        <v>1.1870000000000001</v>
      </c>
      <c r="G97" s="2">
        <v>99.191774248141598</v>
      </c>
      <c r="H97" s="11" t="s">
        <v>27</v>
      </c>
      <c r="J97" s="2">
        <v>95</v>
      </c>
      <c r="K97" s="2">
        <v>0.06</v>
      </c>
      <c r="L97" s="2">
        <v>6.6406653673657398E-3</v>
      </c>
      <c r="M97" s="2">
        <v>2.0140852595951402</v>
      </c>
      <c r="N97" s="2">
        <v>73.982750807419606</v>
      </c>
      <c r="O97" s="2" t="s">
        <v>17</v>
      </c>
      <c r="S97" s="15"/>
    </row>
    <row r="98" spans="2:19" ht="14.25" customHeight="1" x14ac:dyDescent="0.3">
      <c r="B98" s="2">
        <v>96</v>
      </c>
      <c r="C98" s="2">
        <v>0.05</v>
      </c>
      <c r="D98" s="2">
        <v>1.0312572366031601E-3</v>
      </c>
      <c r="E98" s="2">
        <v>0.65513651819681695</v>
      </c>
      <c r="F98" s="2">
        <v>1.165</v>
      </c>
      <c r="G98" s="2">
        <v>99.4419859368153</v>
      </c>
      <c r="H98" s="5" t="s">
        <v>6</v>
      </c>
      <c r="J98" s="2">
        <v>96</v>
      </c>
      <c r="K98" s="2">
        <v>0.06</v>
      </c>
      <c r="L98" s="2">
        <v>-6.8533030305532199</v>
      </c>
      <c r="M98" s="2">
        <v>3.1100011427274E-4</v>
      </c>
      <c r="N98" s="2">
        <v>-6.4399922305847799</v>
      </c>
      <c r="O98" s="2" t="s">
        <v>18</v>
      </c>
    </row>
    <row r="99" spans="2:19" ht="14.25" customHeight="1" x14ac:dyDescent="0.3">
      <c r="B99" s="2">
        <v>97</v>
      </c>
      <c r="C99" s="2">
        <v>0.05</v>
      </c>
      <c r="D99" s="2">
        <v>11.3043802773518</v>
      </c>
      <c r="E99" s="2">
        <v>0.20574472778324801</v>
      </c>
      <c r="F99" s="2">
        <v>1.7789999999999999</v>
      </c>
      <c r="G99" s="2">
        <v>96.093109757305996</v>
      </c>
      <c r="H99" s="2" t="s">
        <v>16</v>
      </c>
      <c r="J99" s="2">
        <v>97</v>
      </c>
      <c r="K99" s="2">
        <v>6.25E-2</v>
      </c>
      <c r="L99" s="2">
        <v>1.03585681702452E-3</v>
      </c>
      <c r="M99" s="2">
        <v>1.9346671864499401</v>
      </c>
      <c r="N99" s="2">
        <v>73.089868848641203</v>
      </c>
      <c r="O99" s="5" t="s">
        <v>6</v>
      </c>
    </row>
    <row r="100" spans="2:19" ht="14.25" customHeight="1" x14ac:dyDescent="0.3">
      <c r="B100" s="2">
        <v>98</v>
      </c>
      <c r="C100" s="2">
        <v>0.05</v>
      </c>
      <c r="D100" s="2">
        <v>6.61056388272301E-3</v>
      </c>
      <c r="E100" s="15">
        <v>0.70028522047119002</v>
      </c>
      <c r="F100" s="2">
        <v>1.224</v>
      </c>
      <c r="G100" s="2">
        <v>99.294586495231201</v>
      </c>
      <c r="H100" s="2" t="s">
        <v>17</v>
      </c>
      <c r="J100" s="2">
        <v>98</v>
      </c>
      <c r="K100" s="2">
        <v>6.25E-2</v>
      </c>
      <c r="L100" s="2">
        <v>11.3473425228688</v>
      </c>
      <c r="M100" s="2">
        <v>1.86349493169757</v>
      </c>
      <c r="N100" s="2">
        <v>70.768195335375495</v>
      </c>
      <c r="O100" s="2" t="s">
        <v>16</v>
      </c>
    </row>
    <row r="101" spans="2:19" ht="14.25" customHeight="1" x14ac:dyDescent="0.3">
      <c r="B101" s="2">
        <v>99</v>
      </c>
      <c r="C101" s="2">
        <v>0.05</v>
      </c>
      <c r="D101" s="2">
        <v>-6.8533030304811504</v>
      </c>
      <c r="E101" s="2">
        <v>2.21039704650224E-2</v>
      </c>
      <c r="F101" s="2">
        <v>0</v>
      </c>
      <c r="G101" s="2">
        <v>-6.4399922305131696</v>
      </c>
      <c r="H101" s="2" t="s">
        <v>18</v>
      </c>
      <c r="J101" s="2">
        <v>99</v>
      </c>
      <c r="K101" s="2">
        <v>6.25E-2</v>
      </c>
      <c r="L101" s="2">
        <v>6.6406654683614499E-3</v>
      </c>
      <c r="M101" s="2">
        <v>2.0140852478352298</v>
      </c>
      <c r="N101" s="2">
        <v>73.982750803489395</v>
      </c>
      <c r="O101" s="2" t="s">
        <v>17</v>
      </c>
      <c r="S101" s="15"/>
    </row>
    <row r="102" spans="2:19" ht="14.25" customHeight="1" x14ac:dyDescent="0.3">
      <c r="B102" s="2">
        <v>100</v>
      </c>
      <c r="C102" s="2">
        <v>0.05</v>
      </c>
      <c r="D102" s="2">
        <v>1.0312572366031601E-3</v>
      </c>
      <c r="E102" s="2">
        <v>0.65513651819681695</v>
      </c>
      <c r="F102" s="2">
        <v>1.165</v>
      </c>
      <c r="G102" s="2">
        <v>99.4419859368153</v>
      </c>
      <c r="H102" s="11" t="s">
        <v>27</v>
      </c>
      <c r="J102" s="2">
        <v>100</v>
      </c>
      <c r="K102" s="2">
        <v>6.25E-2</v>
      </c>
      <c r="L102" s="2">
        <v>-6.8533030303203697</v>
      </c>
      <c r="M102" s="2">
        <v>3.1100010963063402E-4</v>
      </c>
      <c r="N102" s="2">
        <v>-6.4399922304360997</v>
      </c>
      <c r="O102" s="2" t="s">
        <v>18</v>
      </c>
    </row>
    <row r="103" spans="2:19" ht="14.25" customHeight="1" x14ac:dyDescent="0.3">
      <c r="B103" s="2">
        <v>101</v>
      </c>
      <c r="C103" s="2">
        <v>5.2499999999999998E-2</v>
      </c>
      <c r="D103" s="2">
        <v>1.0312572392334499E-3</v>
      </c>
      <c r="E103" s="2">
        <v>0.65513656941509602</v>
      </c>
      <c r="F103" s="2">
        <v>1.165</v>
      </c>
      <c r="G103" s="2">
        <v>99.441985931145396</v>
      </c>
      <c r="H103" s="5" t="s">
        <v>6</v>
      </c>
      <c r="J103" s="2">
        <v>101</v>
      </c>
      <c r="K103" s="2">
        <v>6.5000000000000002E-2</v>
      </c>
      <c r="L103" s="2">
        <v>3.5075068319676998E-4</v>
      </c>
      <c r="M103" s="2">
        <v>2.0062961388192502</v>
      </c>
      <c r="N103" s="2">
        <v>73.948767596220506</v>
      </c>
      <c r="O103" s="5" t="s">
        <v>6</v>
      </c>
    </row>
    <row r="104" spans="2:19" ht="14.25" customHeight="1" x14ac:dyDescent="0.3">
      <c r="B104" s="2">
        <v>102</v>
      </c>
      <c r="C104" s="2">
        <v>5.2499999999999998E-2</v>
      </c>
      <c r="D104" s="2">
        <v>11.304380278206599</v>
      </c>
      <c r="E104" s="2">
        <v>0.20574472294679599</v>
      </c>
      <c r="F104" s="2">
        <v>1.7789999999999999</v>
      </c>
      <c r="G104" s="2">
        <v>96.093109735691797</v>
      </c>
      <c r="H104" s="2" t="s">
        <v>16</v>
      </c>
      <c r="J104" s="2">
        <v>102</v>
      </c>
      <c r="K104" s="2">
        <v>6.5000000000000002E-2</v>
      </c>
      <c r="L104" s="2">
        <v>11.342041160360401</v>
      </c>
      <c r="M104" s="2">
        <v>1.86340305179803</v>
      </c>
      <c r="N104" s="2">
        <v>70.766250158558904</v>
      </c>
      <c r="O104" s="2" t="s">
        <v>16</v>
      </c>
    </row>
    <row r="105" spans="2:19" ht="14.25" customHeight="1" x14ac:dyDescent="0.3">
      <c r="B105" s="2">
        <v>103</v>
      </c>
      <c r="C105" s="2">
        <v>5.2499999999999998E-2</v>
      </c>
      <c r="D105" s="2">
        <v>6.6105637962615999E-3</v>
      </c>
      <c r="E105" s="15">
        <v>0.70028522524588499</v>
      </c>
      <c r="F105" s="2">
        <v>1.224</v>
      </c>
      <c r="G105" s="2">
        <v>99.294586665570094</v>
      </c>
      <c r="H105" s="2" t="s">
        <v>17</v>
      </c>
      <c r="J105" s="2">
        <v>103</v>
      </c>
      <c r="K105" s="2">
        <v>6.5000000000000002E-2</v>
      </c>
      <c r="L105" s="2">
        <v>2.7516407369026102E-3</v>
      </c>
      <c r="M105" s="2">
        <v>2.0749992518837801</v>
      </c>
      <c r="N105" s="2">
        <v>74.5203740971088</v>
      </c>
      <c r="O105" s="2" t="s">
        <v>17</v>
      </c>
      <c r="S105" s="15"/>
    </row>
    <row r="106" spans="2:19" ht="14.25" customHeight="1" x14ac:dyDescent="0.3">
      <c r="B106" s="2">
        <v>104</v>
      </c>
      <c r="C106" s="2">
        <v>5.2499999999999998E-2</v>
      </c>
      <c r="D106" s="2">
        <v>-6.85330303029437</v>
      </c>
      <c r="E106" s="2">
        <v>2.2103961971994299E-2</v>
      </c>
      <c r="F106" s="2">
        <v>0</v>
      </c>
      <c r="G106" s="2">
        <v>-6.4399922303562702</v>
      </c>
      <c r="H106" s="2" t="s">
        <v>18</v>
      </c>
      <c r="J106" s="2">
        <v>104</v>
      </c>
      <c r="K106" s="2">
        <v>6.5000000000000002E-2</v>
      </c>
      <c r="L106" s="2">
        <v>-6.8554128872308802</v>
      </c>
      <c r="M106" s="2">
        <v>3.1151281444835702E-4</v>
      </c>
      <c r="N106" s="2">
        <v>-6.4420020277750698</v>
      </c>
      <c r="O106" s="2" t="s">
        <v>18</v>
      </c>
    </row>
    <row r="107" spans="2:19" ht="14.25" customHeight="1" x14ac:dyDescent="0.3">
      <c r="B107" s="2">
        <v>105</v>
      </c>
      <c r="C107" s="2">
        <v>5.2499999999999998E-2</v>
      </c>
      <c r="D107" s="2">
        <v>1.0312572392334499E-3</v>
      </c>
      <c r="E107" s="2">
        <v>0.65513656941509602</v>
      </c>
      <c r="F107" s="2">
        <v>1.165</v>
      </c>
      <c r="G107" s="2">
        <v>99.441985931145396</v>
      </c>
      <c r="H107" s="11" t="s">
        <v>27</v>
      </c>
      <c r="J107" s="2">
        <v>105</v>
      </c>
      <c r="K107" s="2">
        <v>6.7500000000000004E-2</v>
      </c>
      <c r="L107" s="2">
        <v>1.0358568163517799E-3</v>
      </c>
      <c r="M107" s="2">
        <v>1.9346671895290899</v>
      </c>
      <c r="N107" s="2">
        <v>73.089868906126895</v>
      </c>
      <c r="O107" s="5" t="s">
        <v>6</v>
      </c>
    </row>
    <row r="108" spans="2:19" ht="14.25" customHeight="1" x14ac:dyDescent="0.3">
      <c r="B108" s="2">
        <v>106</v>
      </c>
      <c r="C108" s="2">
        <v>5.5E-2</v>
      </c>
      <c r="D108" s="2">
        <v>2.0682320504602901E-4</v>
      </c>
      <c r="E108" s="2">
        <v>0.72707360937814602</v>
      </c>
      <c r="F108" s="2">
        <v>1.2</v>
      </c>
      <c r="G108" s="2">
        <v>99.228057709082407</v>
      </c>
      <c r="H108" s="5" t="s">
        <v>6</v>
      </c>
      <c r="J108" s="2">
        <v>106</v>
      </c>
      <c r="K108" s="2">
        <v>6.7500000000000004E-2</v>
      </c>
      <c r="L108" s="2">
        <v>11.3473425227955</v>
      </c>
      <c r="M108" s="2">
        <v>1.8634949317349501</v>
      </c>
      <c r="N108" s="2">
        <v>70.768195337978895</v>
      </c>
      <c r="O108" s="2" t="s">
        <v>16</v>
      </c>
    </row>
    <row r="109" spans="2:19" ht="14.25" customHeight="1" x14ac:dyDescent="0.3">
      <c r="B109" s="2">
        <v>107</v>
      </c>
      <c r="C109" s="2">
        <v>5.5E-2</v>
      </c>
      <c r="D109" s="2">
        <v>11.298147495457</v>
      </c>
      <c r="E109" s="2">
        <v>0.20501056266456899</v>
      </c>
      <c r="F109" s="2">
        <v>1.7789999999999999</v>
      </c>
      <c r="G109" s="2">
        <v>96.572086455901996</v>
      </c>
      <c r="H109" s="2" t="s">
        <v>16</v>
      </c>
      <c r="J109" s="2">
        <v>107</v>
      </c>
      <c r="K109" s="2">
        <v>6.7500000000000004E-2</v>
      </c>
      <c r="L109" s="2">
        <v>6.6406653730616298E-3</v>
      </c>
      <c r="M109" s="2">
        <v>2.0140852580453799</v>
      </c>
      <c r="N109" s="2">
        <v>73.9827508597118</v>
      </c>
      <c r="O109" s="2" t="s">
        <v>17</v>
      </c>
      <c r="S109" s="15"/>
    </row>
    <row r="110" spans="2:19" ht="14.25" customHeight="1" x14ac:dyDescent="0.3">
      <c r="B110" s="2">
        <v>108</v>
      </c>
      <c r="C110" s="2">
        <v>5.5E-2</v>
      </c>
      <c r="D110" s="2">
        <v>1.75176375881883E-3</v>
      </c>
      <c r="E110" s="15">
        <v>0.73567919213719801</v>
      </c>
      <c r="F110" s="2">
        <v>1.3009999999999999</v>
      </c>
      <c r="G110" s="2">
        <v>99.170640009348205</v>
      </c>
      <c r="H110" s="2" t="s">
        <v>17</v>
      </c>
      <c r="J110" s="2">
        <v>108</v>
      </c>
      <c r="K110" s="2">
        <v>6.7500000000000004E-2</v>
      </c>
      <c r="L110" s="2">
        <v>-6.8533030305297897</v>
      </c>
      <c r="M110" s="2">
        <v>3.1100010686981998E-4</v>
      </c>
      <c r="N110" s="2">
        <v>-6.4399922305131696</v>
      </c>
      <c r="O110" s="2" t="s">
        <v>18</v>
      </c>
    </row>
    <row r="111" spans="2:19" ht="14.25" customHeight="1" x14ac:dyDescent="0.3">
      <c r="B111" s="2">
        <v>109</v>
      </c>
      <c r="C111" s="2">
        <v>5.5E-2</v>
      </c>
      <c r="D111" s="2">
        <v>-6.8558608188118102</v>
      </c>
      <c r="E111" s="15">
        <v>1.14094331615107E-6</v>
      </c>
      <c r="F111" s="2">
        <v>0</v>
      </c>
      <c r="G111" s="2">
        <v>-5.92411318454797</v>
      </c>
      <c r="H111" s="2" t="s">
        <v>18</v>
      </c>
      <c r="J111" s="2">
        <v>109</v>
      </c>
      <c r="K111" s="2">
        <v>7.0000000000000007E-2</v>
      </c>
      <c r="L111" s="2">
        <v>1.0358568190263801E-3</v>
      </c>
      <c r="M111" s="2">
        <v>1.9346671816790599</v>
      </c>
      <c r="N111" s="2">
        <v>73.089868775212693</v>
      </c>
      <c r="O111" s="5" t="s">
        <v>6</v>
      </c>
    </row>
    <row r="112" spans="2:19" ht="14.25" customHeight="1" x14ac:dyDescent="0.3">
      <c r="B112" s="2">
        <v>110</v>
      </c>
      <c r="C112" s="2">
        <v>5.5E-2</v>
      </c>
      <c r="D112" s="2">
        <v>2.0681163172838501E-4</v>
      </c>
      <c r="E112" s="2">
        <v>0.72707360908311203</v>
      </c>
      <c r="F112" s="2">
        <v>1.2</v>
      </c>
      <c r="G112" s="2">
        <v>99.228060390483705</v>
      </c>
      <c r="H112" s="11" t="s">
        <v>27</v>
      </c>
      <c r="J112" s="2">
        <v>110</v>
      </c>
      <c r="K112" s="2">
        <v>7.0000000000000007E-2</v>
      </c>
      <c r="L112" s="2">
        <v>11.3473425235831</v>
      </c>
      <c r="M112" s="2">
        <v>1.8634949309973301</v>
      </c>
      <c r="N112" s="2">
        <v>70.768195320162704</v>
      </c>
      <c r="O112" s="2" t="s">
        <v>16</v>
      </c>
    </row>
    <row r="113" spans="2:19" ht="14.25" customHeight="1" x14ac:dyDescent="0.3">
      <c r="B113" s="2">
        <v>111</v>
      </c>
      <c r="C113" s="2">
        <v>5.7500000000000002E-2</v>
      </c>
      <c r="D113" s="2">
        <v>1.03125723847029E-3</v>
      </c>
      <c r="E113" s="2">
        <v>0.65513653303305197</v>
      </c>
      <c r="F113" s="2">
        <v>1.165</v>
      </c>
      <c r="G113" s="2">
        <v>99.441985795868504</v>
      </c>
      <c r="H113" s="5" t="s">
        <v>6</v>
      </c>
      <c r="J113" s="2">
        <v>111</v>
      </c>
      <c r="K113" s="2">
        <v>7.0000000000000007E-2</v>
      </c>
      <c r="L113" s="2">
        <v>6.6406652860215298E-3</v>
      </c>
      <c r="M113" s="2">
        <v>2.0140852594768202</v>
      </c>
      <c r="N113" s="2">
        <v>73.982751238736398</v>
      </c>
      <c r="O113" s="2" t="s">
        <v>17</v>
      </c>
      <c r="S113" s="15"/>
    </row>
    <row r="114" spans="2:19" ht="14.25" customHeight="1" x14ac:dyDescent="0.3">
      <c r="B114" s="2">
        <v>112</v>
      </c>
      <c r="C114" s="2">
        <v>5.7500000000000002E-2</v>
      </c>
      <c r="D114" s="2">
        <v>11.304380277644199</v>
      </c>
      <c r="E114" s="2">
        <v>0.20574472171080699</v>
      </c>
      <c r="F114" s="2">
        <v>1.7789999999999999</v>
      </c>
      <c r="G114" s="2">
        <v>96.093109728406105</v>
      </c>
      <c r="H114" s="2" t="s">
        <v>16</v>
      </c>
      <c r="J114" s="2">
        <v>112</v>
      </c>
      <c r="K114" s="2">
        <v>7.0000000000000007E-2</v>
      </c>
      <c r="L114" s="2">
        <v>-6.8533030303818299</v>
      </c>
      <c r="M114" s="2">
        <v>3.1100011019012501E-4</v>
      </c>
      <c r="N114" s="2">
        <v>-6.4399922303562702</v>
      </c>
      <c r="O114" s="2" t="s">
        <v>18</v>
      </c>
    </row>
    <row r="115" spans="2:19" ht="14.25" customHeight="1" x14ac:dyDescent="0.3">
      <c r="B115" s="2">
        <v>113</v>
      </c>
      <c r="C115" s="2">
        <v>5.7500000000000002E-2</v>
      </c>
      <c r="D115" s="2">
        <v>6.6105638872637398E-3</v>
      </c>
      <c r="E115" s="15">
        <v>0.70028523474227</v>
      </c>
      <c r="F115" s="2">
        <v>1.224</v>
      </c>
      <c r="G115" s="2">
        <v>99.294586452871798</v>
      </c>
      <c r="H115" s="2" t="s">
        <v>17</v>
      </c>
      <c r="J115" s="2">
        <v>113</v>
      </c>
      <c r="K115" s="2">
        <v>7.2499999999999995E-2</v>
      </c>
      <c r="L115" s="2">
        <v>2.0777446443118099E-4</v>
      </c>
      <c r="M115" s="2">
        <v>2.0286715046728401</v>
      </c>
      <c r="N115" s="2">
        <v>77.373781749026406</v>
      </c>
      <c r="O115" s="5" t="s">
        <v>6</v>
      </c>
    </row>
    <row r="116" spans="2:19" ht="14.25" customHeight="1" x14ac:dyDescent="0.3">
      <c r="B116" s="2">
        <v>114</v>
      </c>
      <c r="C116" s="2">
        <v>5.7500000000000002E-2</v>
      </c>
      <c r="D116" s="2">
        <v>-6.8533030307436196</v>
      </c>
      <c r="E116" s="2">
        <v>2.2103963097412398E-2</v>
      </c>
      <c r="F116" s="2">
        <v>0</v>
      </c>
      <c r="G116" s="2">
        <v>-6.4399922306914297</v>
      </c>
      <c r="H116" s="2" t="s">
        <v>18</v>
      </c>
      <c r="J116" s="2">
        <v>114</v>
      </c>
      <c r="K116" s="2">
        <v>7.2499999999999995E-2</v>
      </c>
      <c r="L116" s="2">
        <v>11.341077174714</v>
      </c>
      <c r="M116" s="2">
        <v>1.8633750638976401</v>
      </c>
      <c r="N116" s="2">
        <v>74.370616912663607</v>
      </c>
      <c r="O116" s="2" t="s">
        <v>16</v>
      </c>
    </row>
    <row r="117" spans="2:19" ht="14.25" customHeight="1" x14ac:dyDescent="0.3">
      <c r="B117" s="2">
        <v>115</v>
      </c>
      <c r="C117" s="2">
        <v>5.7500000000000002E-2</v>
      </c>
      <c r="D117" s="2">
        <v>1.0312572157329301E-3</v>
      </c>
      <c r="E117" s="2">
        <v>0.65513653303307695</v>
      </c>
      <c r="F117" s="2">
        <v>1.165</v>
      </c>
      <c r="G117" s="2">
        <v>99.441985783231104</v>
      </c>
      <c r="H117" s="11" t="s">
        <v>27</v>
      </c>
      <c r="J117" s="2">
        <v>115</v>
      </c>
      <c r="K117" s="2">
        <v>7.2499999999999995E-2</v>
      </c>
      <c r="L117" s="2">
        <v>1.76003794634307E-3</v>
      </c>
      <c r="M117" s="2">
        <v>2.1063134684260598</v>
      </c>
      <c r="N117" s="2">
        <v>77.836758365675394</v>
      </c>
      <c r="O117" s="2" t="s">
        <v>17</v>
      </c>
      <c r="S117" s="15"/>
    </row>
    <row r="118" spans="2:19" ht="14.25" customHeight="1" x14ac:dyDescent="0.3">
      <c r="B118" s="2">
        <v>116</v>
      </c>
      <c r="C118" s="2">
        <v>0.06</v>
      </c>
      <c r="D118" s="2">
        <v>1.0312572373436901E-3</v>
      </c>
      <c r="E118" s="2">
        <v>0.65513652219838003</v>
      </c>
      <c r="F118" s="2">
        <v>1.165</v>
      </c>
      <c r="G118" s="2">
        <v>99.441986851763801</v>
      </c>
      <c r="H118" s="5" t="s">
        <v>6</v>
      </c>
      <c r="J118" s="2">
        <v>116</v>
      </c>
      <c r="K118" s="2">
        <v>7.2499999999999995E-2</v>
      </c>
      <c r="L118" s="2">
        <v>-6.8558608187708803</v>
      </c>
      <c r="M118" s="2">
        <v>3.1164153756684302E-4</v>
      </c>
      <c r="N118" s="2">
        <v>-5.92411318454797</v>
      </c>
      <c r="O118" s="2" t="s">
        <v>18</v>
      </c>
    </row>
    <row r="119" spans="2:19" ht="14.25" customHeight="1" x14ac:dyDescent="0.3">
      <c r="B119" s="2">
        <v>117</v>
      </c>
      <c r="C119" s="2">
        <v>0.06</v>
      </c>
      <c r="D119" s="2">
        <v>11.3043802776705</v>
      </c>
      <c r="E119" s="2">
        <v>0.20574472100424701</v>
      </c>
      <c r="F119" s="2">
        <v>1.7789999999999999</v>
      </c>
      <c r="G119" s="2">
        <v>96.093109728173602</v>
      </c>
      <c r="H119" s="2" t="s">
        <v>16</v>
      </c>
      <c r="J119" s="2">
        <v>117</v>
      </c>
      <c r="K119" s="2">
        <v>7.4999999999999997E-2</v>
      </c>
      <c r="L119" s="2">
        <v>1.0358568183370599E-3</v>
      </c>
      <c r="M119" s="2">
        <v>1.93466719125964</v>
      </c>
      <c r="N119" s="2">
        <v>73.089869971742999</v>
      </c>
      <c r="O119" s="5" t="s">
        <v>6</v>
      </c>
    </row>
    <row r="120" spans="2:19" ht="14.25" customHeight="1" x14ac:dyDescent="0.3">
      <c r="B120" s="2">
        <v>118</v>
      </c>
      <c r="C120" s="2">
        <v>0.06</v>
      </c>
      <c r="D120" s="2">
        <v>6.6105638767498401E-3</v>
      </c>
      <c r="E120" s="15">
        <v>0.70028521460085802</v>
      </c>
      <c r="F120" s="2">
        <v>1.224</v>
      </c>
      <c r="G120" s="2">
        <v>99.294586537077393</v>
      </c>
      <c r="H120" s="2" t="s">
        <v>17</v>
      </c>
      <c r="J120" s="2">
        <v>118</v>
      </c>
      <c r="K120" s="2">
        <v>7.4999999999999997E-2</v>
      </c>
      <c r="L120" s="2">
        <v>11.347342522995801</v>
      </c>
      <c r="M120" s="2">
        <v>1.8634949307358899</v>
      </c>
      <c r="N120" s="2">
        <v>70.768195314828901</v>
      </c>
      <c r="O120" s="2" t="s">
        <v>16</v>
      </c>
    </row>
    <row r="121" spans="2:19" ht="14.25" customHeight="1" x14ac:dyDescent="0.3">
      <c r="B121" s="2">
        <v>119</v>
      </c>
      <c r="C121" s="2">
        <v>0.06</v>
      </c>
      <c r="D121" s="2">
        <v>-6.8533030305532199</v>
      </c>
      <c r="E121" s="2">
        <v>2.21039629481567E-2</v>
      </c>
      <c r="F121" s="2">
        <v>0</v>
      </c>
      <c r="G121" s="2">
        <v>-6.4399922305847799</v>
      </c>
      <c r="H121" s="2" t="s">
        <v>18</v>
      </c>
      <c r="J121" s="2">
        <v>119</v>
      </c>
      <c r="K121" s="2">
        <v>7.4999999999999997E-2</v>
      </c>
      <c r="L121" s="2">
        <v>6.6406653784752204E-3</v>
      </c>
      <c r="M121" s="2">
        <v>2.0140852654287298</v>
      </c>
      <c r="N121" s="2">
        <v>73.982750851622299</v>
      </c>
      <c r="O121" s="2" t="s">
        <v>17</v>
      </c>
      <c r="S121" s="15"/>
    </row>
    <row r="122" spans="2:19" ht="14.25" customHeight="1" x14ac:dyDescent="0.3">
      <c r="B122" s="2">
        <v>120</v>
      </c>
      <c r="C122" s="2">
        <v>0.06</v>
      </c>
      <c r="D122" s="2">
        <v>1.0312572373436901E-3</v>
      </c>
      <c r="E122" s="2">
        <v>0.65513652219838003</v>
      </c>
      <c r="F122" s="2">
        <v>1.165</v>
      </c>
      <c r="G122" s="2">
        <v>99.441986851763801</v>
      </c>
      <c r="H122" s="11" t="s">
        <v>27</v>
      </c>
      <c r="J122" s="2">
        <v>120</v>
      </c>
      <c r="K122" s="2">
        <v>7.4999999999999997E-2</v>
      </c>
      <c r="L122" s="2">
        <v>-6.8533030306675897</v>
      </c>
      <c r="M122" s="2">
        <v>3.1100010896144601E-4</v>
      </c>
      <c r="N122" s="2">
        <v>-6.4399922306914297</v>
      </c>
      <c r="O122" s="2" t="s">
        <v>18</v>
      </c>
    </row>
    <row r="123" spans="2:19" ht="14.25" customHeight="1" x14ac:dyDescent="0.3">
      <c r="B123" s="2">
        <v>121</v>
      </c>
      <c r="C123" s="2">
        <v>6.25E-2</v>
      </c>
      <c r="D123" s="2">
        <v>1.0312572373436901E-3</v>
      </c>
      <c r="E123" s="2">
        <v>0.65513652219838003</v>
      </c>
      <c r="F123" s="2">
        <v>1.165</v>
      </c>
      <c r="G123" s="2">
        <v>99.441986851763801</v>
      </c>
      <c r="H123" s="5" t="s">
        <v>6</v>
      </c>
    </row>
    <row r="124" spans="2:19" ht="14.25" customHeight="1" x14ac:dyDescent="0.3">
      <c r="B124" s="2">
        <v>122</v>
      </c>
      <c r="C124" s="2">
        <v>6.25E-2</v>
      </c>
      <c r="D124" s="2">
        <v>11.304380277440799</v>
      </c>
      <c r="E124" s="2">
        <v>0.20574472747394601</v>
      </c>
      <c r="F124" s="2">
        <v>1.7789999999999999</v>
      </c>
      <c r="G124" s="2">
        <v>96.093109751203201</v>
      </c>
      <c r="H124" s="2" t="s">
        <v>16</v>
      </c>
    </row>
    <row r="125" spans="2:19" ht="14.25" customHeight="1" x14ac:dyDescent="0.3">
      <c r="B125" s="2">
        <v>123</v>
      </c>
      <c r="C125" s="2">
        <v>6.25E-2</v>
      </c>
      <c r="D125" s="2">
        <v>6.6105639781328098E-3</v>
      </c>
      <c r="E125" s="15">
        <v>0.70028522411475203</v>
      </c>
      <c r="F125" s="2">
        <v>1.224</v>
      </c>
      <c r="G125" s="2">
        <v>99.294586897973005</v>
      </c>
      <c r="H125" s="2" t="s">
        <v>17</v>
      </c>
      <c r="S125" s="15"/>
    </row>
    <row r="126" spans="2:19" ht="14.25" customHeight="1" x14ac:dyDescent="0.3">
      <c r="B126" s="2">
        <v>124</v>
      </c>
      <c r="C126" s="2">
        <v>6.25E-2</v>
      </c>
      <c r="D126" s="2">
        <v>-6.8533030304717304</v>
      </c>
      <c r="E126" s="2">
        <v>2.21039607586851E-2</v>
      </c>
      <c r="F126" s="2">
        <v>0</v>
      </c>
      <c r="G126" s="2">
        <v>-6.4399922304360997</v>
      </c>
      <c r="H126" s="2" t="s">
        <v>18</v>
      </c>
    </row>
    <row r="127" spans="2:19" ht="14.25" customHeight="1" x14ac:dyDescent="0.3">
      <c r="B127" s="2">
        <v>125</v>
      </c>
      <c r="C127" s="2">
        <v>6.25E-2</v>
      </c>
      <c r="D127" s="2">
        <v>1.0312572373436901E-3</v>
      </c>
      <c r="E127" s="2">
        <v>0.65513652219838003</v>
      </c>
      <c r="F127" s="2">
        <v>1.165</v>
      </c>
      <c r="G127" s="2">
        <v>99.441986851763801</v>
      </c>
      <c r="H127" s="11" t="s">
        <v>27</v>
      </c>
    </row>
    <row r="128" spans="2:19" ht="14.25" customHeight="1" x14ac:dyDescent="0.3">
      <c r="B128" s="2">
        <v>126</v>
      </c>
      <c r="C128" s="2">
        <v>6.5000000000000002E-2</v>
      </c>
      <c r="D128" s="2">
        <v>3.491577202807E-4</v>
      </c>
      <c r="E128" s="2">
        <v>0.71328098449366295</v>
      </c>
      <c r="F128" s="2">
        <v>1.1870000000000001</v>
      </c>
      <c r="G128" s="2">
        <v>99.191774248141598</v>
      </c>
      <c r="H128" s="5" t="s">
        <v>6</v>
      </c>
    </row>
    <row r="129" spans="2:19" ht="14.25" customHeight="1" x14ac:dyDescent="0.3">
      <c r="B129" s="2">
        <v>127</v>
      </c>
      <c r="C129" s="2">
        <v>6.5000000000000002E-2</v>
      </c>
      <c r="D129" s="2">
        <v>11.299106034882501</v>
      </c>
      <c r="E129" s="2">
        <v>0.20516453335631901</v>
      </c>
      <c r="F129" s="2">
        <v>1.7789999999999999</v>
      </c>
      <c r="G129" s="2">
        <v>96.090671690014403</v>
      </c>
      <c r="H129" s="2" t="s">
        <v>16</v>
      </c>
      <c r="S129" s="15"/>
    </row>
    <row r="130" spans="2:19" ht="14.25" customHeight="1" x14ac:dyDescent="0.3">
      <c r="B130" s="2">
        <v>128</v>
      </c>
      <c r="C130" s="2">
        <v>6.5000000000000002E-2</v>
      </c>
      <c r="D130" s="2">
        <v>2.7388676724100498E-3</v>
      </c>
      <c r="E130" s="15">
        <v>0.72356100453188699</v>
      </c>
      <c r="F130" s="2">
        <v>1.2769999999999999</v>
      </c>
      <c r="G130" s="2">
        <v>99.139752433591894</v>
      </c>
      <c r="H130" s="2" t="s">
        <v>17</v>
      </c>
    </row>
    <row r="131" spans="2:19" ht="14.25" customHeight="1" x14ac:dyDescent="0.3">
      <c r="B131" s="2">
        <v>129</v>
      </c>
      <c r="C131" s="2">
        <v>6.5000000000000002E-2</v>
      </c>
      <c r="D131" s="2">
        <v>-6.8554128872256097</v>
      </c>
      <c r="E131" s="2">
        <v>2.2177580549870402E-2</v>
      </c>
      <c r="F131" s="2">
        <v>0</v>
      </c>
      <c r="G131" s="2">
        <v>-6.4420020277750698</v>
      </c>
      <c r="H131" s="2" t="s">
        <v>18</v>
      </c>
    </row>
    <row r="132" spans="2:19" ht="14.25" customHeight="1" x14ac:dyDescent="0.3">
      <c r="B132" s="2">
        <v>130</v>
      </c>
      <c r="C132" s="2">
        <v>6.5000000000000002E-2</v>
      </c>
      <c r="D132" s="2">
        <v>3.491577202807E-4</v>
      </c>
      <c r="E132" s="2">
        <v>0.71328098449366295</v>
      </c>
      <c r="F132" s="2">
        <v>1.1870000000000001</v>
      </c>
      <c r="G132" s="2">
        <v>99.191774248141598</v>
      </c>
      <c r="H132" s="11" t="s">
        <v>27</v>
      </c>
    </row>
    <row r="133" spans="2:19" ht="14.25" customHeight="1" x14ac:dyDescent="0.3">
      <c r="B133" s="2">
        <v>131</v>
      </c>
      <c r="C133" s="2">
        <v>6.7500000000000004E-2</v>
      </c>
      <c r="D133" s="2">
        <v>1.0312572366031601E-3</v>
      </c>
      <c r="E133" s="2">
        <v>0.65513651819681695</v>
      </c>
      <c r="F133" s="2">
        <v>1.165</v>
      </c>
      <c r="G133" s="2">
        <v>99.4419859368153</v>
      </c>
      <c r="H133" s="5" t="s">
        <v>6</v>
      </c>
      <c r="S133" s="15"/>
    </row>
    <row r="134" spans="2:19" ht="14.25" customHeight="1" x14ac:dyDescent="0.3">
      <c r="B134" s="2">
        <v>132</v>
      </c>
      <c r="C134" s="2">
        <v>6.7500000000000004E-2</v>
      </c>
      <c r="D134" s="2">
        <v>11.3043802773518</v>
      </c>
      <c r="E134" s="2">
        <v>0.20574472778324801</v>
      </c>
      <c r="F134" s="2">
        <v>1.7789999999999999</v>
      </c>
      <c r="G134" s="2">
        <v>96.093109757305996</v>
      </c>
      <c r="H134" s="2" t="s">
        <v>16</v>
      </c>
    </row>
    <row r="135" spans="2:19" ht="14.25" customHeight="1" x14ac:dyDescent="0.3">
      <c r="B135" s="2">
        <v>133</v>
      </c>
      <c r="C135" s="2">
        <v>6.7500000000000004E-2</v>
      </c>
      <c r="D135" s="2">
        <v>6.61056388272301E-3</v>
      </c>
      <c r="E135" s="15">
        <v>0.70028522047119002</v>
      </c>
      <c r="F135" s="2">
        <v>1.224</v>
      </c>
      <c r="G135" s="2">
        <v>99.294586495231201</v>
      </c>
      <c r="H135" s="2" t="s">
        <v>17</v>
      </c>
    </row>
    <row r="136" spans="2:19" ht="14.25" customHeight="1" x14ac:dyDescent="0.3">
      <c r="B136" s="2">
        <v>134</v>
      </c>
      <c r="C136" s="2">
        <v>6.7500000000000004E-2</v>
      </c>
      <c r="D136" s="2">
        <v>-6.8533030304811504</v>
      </c>
      <c r="E136" s="2">
        <v>2.21039704650224E-2</v>
      </c>
      <c r="F136" s="2">
        <v>0</v>
      </c>
      <c r="G136" s="2">
        <v>-6.4399922305131696</v>
      </c>
      <c r="H136" s="2" t="s">
        <v>18</v>
      </c>
    </row>
    <row r="137" spans="2:19" ht="14.25" customHeight="1" x14ac:dyDescent="0.3">
      <c r="B137" s="2">
        <v>135</v>
      </c>
      <c r="C137" s="2">
        <v>6.7500000000000004E-2</v>
      </c>
      <c r="D137" s="2">
        <v>1.0312572366031601E-3</v>
      </c>
      <c r="E137" s="2">
        <v>0.65513651819681695</v>
      </c>
      <c r="F137" s="2">
        <v>1.165</v>
      </c>
      <c r="G137" s="2">
        <v>99.4419859368153</v>
      </c>
      <c r="H137" s="11" t="s">
        <v>27</v>
      </c>
      <c r="S137" s="15"/>
    </row>
    <row r="138" spans="2:19" ht="14.25" customHeight="1" x14ac:dyDescent="0.3">
      <c r="B138" s="2">
        <v>136</v>
      </c>
      <c r="C138" s="2">
        <v>7.0000000000000007E-2</v>
      </c>
      <c r="D138" s="2">
        <v>1.0312572392334499E-3</v>
      </c>
      <c r="E138" s="2">
        <v>0.65513656941509602</v>
      </c>
      <c r="F138" s="2">
        <v>1.165</v>
      </c>
      <c r="G138" s="2">
        <v>99.441985931145396</v>
      </c>
      <c r="H138" s="5" t="s">
        <v>6</v>
      </c>
    </row>
    <row r="139" spans="2:19" ht="14.25" customHeight="1" x14ac:dyDescent="0.3">
      <c r="B139" s="2">
        <v>137</v>
      </c>
      <c r="C139" s="2">
        <v>7.0000000000000007E-2</v>
      </c>
      <c r="D139" s="2">
        <v>11.304380278206599</v>
      </c>
      <c r="E139" s="2">
        <v>0.20574472294679599</v>
      </c>
      <c r="F139" s="2">
        <v>1.7789999999999999</v>
      </c>
      <c r="G139" s="2">
        <v>96.093109735691797</v>
      </c>
      <c r="H139" s="2" t="s">
        <v>16</v>
      </c>
    </row>
    <row r="140" spans="2:19" ht="14.25" customHeight="1" x14ac:dyDescent="0.3">
      <c r="B140" s="2">
        <v>138</v>
      </c>
      <c r="C140" s="2">
        <v>7.0000000000000007E-2</v>
      </c>
      <c r="D140" s="2">
        <v>6.6105637962615999E-3</v>
      </c>
      <c r="E140" s="15">
        <v>0.70028522524588499</v>
      </c>
      <c r="F140" s="2">
        <v>1.224</v>
      </c>
      <c r="G140" s="2">
        <v>99.294586665570094</v>
      </c>
      <c r="H140" s="2" t="s">
        <v>17</v>
      </c>
    </row>
    <row r="141" spans="2:19" ht="14.25" customHeight="1" x14ac:dyDescent="0.3">
      <c r="B141" s="2">
        <v>139</v>
      </c>
      <c r="C141" s="2">
        <v>7.0000000000000007E-2</v>
      </c>
      <c r="D141" s="2">
        <v>-6.85330303029437</v>
      </c>
      <c r="E141" s="2">
        <v>2.2103961971994299E-2</v>
      </c>
      <c r="F141" s="2">
        <v>0</v>
      </c>
      <c r="G141" s="2">
        <v>-6.4399922303562702</v>
      </c>
      <c r="H141" s="2" t="s">
        <v>18</v>
      </c>
      <c r="S141" s="15"/>
    </row>
    <row r="142" spans="2:19" ht="14.25" customHeight="1" x14ac:dyDescent="0.3">
      <c r="B142" s="2">
        <v>140</v>
      </c>
      <c r="C142" s="2">
        <v>7.0000000000000007E-2</v>
      </c>
      <c r="D142" s="2">
        <v>1.0312572392334499E-3</v>
      </c>
      <c r="E142" s="2">
        <v>0.65513656941509602</v>
      </c>
      <c r="F142" s="2">
        <v>1.165</v>
      </c>
      <c r="G142" s="2">
        <v>99.441985931145396</v>
      </c>
      <c r="H142" s="11" t="s">
        <v>27</v>
      </c>
    </row>
    <row r="143" spans="2:19" ht="14.25" customHeight="1" x14ac:dyDescent="0.3">
      <c r="B143" s="2">
        <v>141</v>
      </c>
      <c r="C143" s="2">
        <v>7.2499999999999995E-2</v>
      </c>
      <c r="D143" s="2">
        <v>2.0682320504602901E-4</v>
      </c>
      <c r="E143" s="2">
        <v>0.72707360937814602</v>
      </c>
      <c r="F143" s="2">
        <v>1.2</v>
      </c>
      <c r="G143" s="2">
        <v>99.228057709082407</v>
      </c>
      <c r="H143" s="5" t="s">
        <v>6</v>
      </c>
    </row>
    <row r="144" spans="2:19" ht="14.25" customHeight="1" x14ac:dyDescent="0.3">
      <c r="B144" s="2">
        <v>142</v>
      </c>
      <c r="C144" s="2">
        <v>7.2499999999999995E-2</v>
      </c>
      <c r="D144" s="2">
        <v>11.298147495457</v>
      </c>
      <c r="E144" s="2">
        <v>0.20501056266456899</v>
      </c>
      <c r="F144" s="2">
        <v>1.7789999999999999</v>
      </c>
      <c r="G144" s="2">
        <v>96.572086455901996</v>
      </c>
      <c r="H144" s="2" t="s">
        <v>16</v>
      </c>
    </row>
    <row r="145" spans="2:19" ht="14.25" customHeight="1" x14ac:dyDescent="0.3">
      <c r="B145" s="2">
        <v>143</v>
      </c>
      <c r="C145" s="2">
        <v>7.2499999999999995E-2</v>
      </c>
      <c r="D145" s="2">
        <v>1.75176375881883E-3</v>
      </c>
      <c r="E145" s="15">
        <v>0.73567919213719801</v>
      </c>
      <c r="F145" s="2">
        <v>1.3009999999999999</v>
      </c>
      <c r="G145" s="2">
        <v>99.170640009348205</v>
      </c>
      <c r="H145" s="2" t="s">
        <v>17</v>
      </c>
      <c r="S145" s="15"/>
    </row>
    <row r="146" spans="2:19" ht="14.25" customHeight="1" x14ac:dyDescent="0.3">
      <c r="B146" s="2">
        <v>144</v>
      </c>
      <c r="C146" s="2">
        <v>7.2499999999999995E-2</v>
      </c>
      <c r="D146" s="2">
        <v>-6.8558608188118102</v>
      </c>
      <c r="E146" s="15">
        <v>1.14094331615107E-6</v>
      </c>
      <c r="F146" s="2">
        <v>0</v>
      </c>
      <c r="G146" s="2">
        <v>-5.92411318454797</v>
      </c>
      <c r="H146" s="2" t="s">
        <v>18</v>
      </c>
    </row>
    <row r="147" spans="2:19" ht="14.25" customHeight="1" x14ac:dyDescent="0.3">
      <c r="B147" s="2">
        <v>145</v>
      </c>
      <c r="C147" s="2">
        <v>7.2499999999999995E-2</v>
      </c>
      <c r="D147" s="2">
        <v>2.0681163172838501E-4</v>
      </c>
      <c r="E147" s="2">
        <v>0.72707360908311203</v>
      </c>
      <c r="F147" s="2">
        <v>1.2</v>
      </c>
      <c r="G147" s="2">
        <v>99.228060390483705</v>
      </c>
      <c r="H147" s="11" t="s">
        <v>27</v>
      </c>
    </row>
    <row r="148" spans="2:19" ht="14.25" customHeight="1" x14ac:dyDescent="0.3">
      <c r="B148" s="2">
        <v>146</v>
      </c>
      <c r="C148" s="2">
        <v>7.4999999999999997E-2</v>
      </c>
      <c r="D148" s="2">
        <v>1.03125723847029E-3</v>
      </c>
      <c r="E148" s="2">
        <v>0.65513653303305197</v>
      </c>
      <c r="F148" s="2">
        <v>1.165</v>
      </c>
      <c r="G148" s="2">
        <v>99.441985795868504</v>
      </c>
      <c r="H148" s="5" t="s">
        <v>6</v>
      </c>
    </row>
    <row r="149" spans="2:19" ht="14.25" customHeight="1" x14ac:dyDescent="0.3">
      <c r="B149" s="2">
        <v>147</v>
      </c>
      <c r="C149" s="2">
        <v>7.4999999999999997E-2</v>
      </c>
      <c r="D149" s="2">
        <v>11.304380277644199</v>
      </c>
      <c r="E149" s="2">
        <v>0.20574472171080699</v>
      </c>
      <c r="F149" s="2">
        <v>1.7789999999999999</v>
      </c>
      <c r="G149" s="2">
        <v>96.093109728406105</v>
      </c>
      <c r="H149" s="2" t="s">
        <v>16</v>
      </c>
      <c r="S149" s="15"/>
    </row>
    <row r="150" spans="2:19" ht="14.25" customHeight="1" x14ac:dyDescent="0.3">
      <c r="B150" s="2">
        <v>148</v>
      </c>
      <c r="C150" s="2">
        <v>7.4999999999999997E-2</v>
      </c>
      <c r="D150" s="2">
        <v>6.6105638872637398E-3</v>
      </c>
      <c r="E150" s="15">
        <v>0.70028523474227</v>
      </c>
      <c r="F150" s="2">
        <v>1.224</v>
      </c>
      <c r="G150" s="2">
        <v>99.294586452871798</v>
      </c>
      <c r="H150" s="2" t="s">
        <v>17</v>
      </c>
    </row>
    <row r="151" spans="2:19" ht="14.25" customHeight="1" x14ac:dyDescent="0.3">
      <c r="B151" s="2">
        <v>149</v>
      </c>
      <c r="C151" s="2">
        <v>7.4999999999999997E-2</v>
      </c>
      <c r="D151" s="2">
        <v>-6.8533030307436196</v>
      </c>
      <c r="E151" s="2">
        <v>2.2103963097412398E-2</v>
      </c>
      <c r="F151" s="2">
        <v>0</v>
      </c>
      <c r="G151" s="2">
        <v>-6.4399922306914297</v>
      </c>
      <c r="H151" s="2" t="s">
        <v>18</v>
      </c>
    </row>
    <row r="152" spans="2:19" ht="14.25" customHeight="1" x14ac:dyDescent="0.3">
      <c r="B152" s="2">
        <v>150</v>
      </c>
      <c r="C152" s="2">
        <v>7.4999999999999997E-2</v>
      </c>
      <c r="D152" s="2">
        <v>1.0312572157329301E-3</v>
      </c>
      <c r="E152" s="2">
        <v>0.65513653303307695</v>
      </c>
      <c r="F152" s="2">
        <v>1.165</v>
      </c>
      <c r="G152" s="2">
        <v>99.441985783231104</v>
      </c>
      <c r="H152" s="11" t="s">
        <v>27</v>
      </c>
    </row>
    <row r="153" spans="2:19" ht="14.25" customHeight="1" x14ac:dyDescent="0.3">
      <c r="H153" s="5"/>
      <c r="S153" s="15"/>
    </row>
    <row r="154" spans="2:19" ht="14.25" customHeight="1" x14ac:dyDescent="0.3"/>
    <row r="155" spans="2:19" ht="14.25" customHeight="1" x14ac:dyDescent="0.3">
      <c r="B155" s="52" t="s">
        <v>20</v>
      </c>
      <c r="C155" s="53"/>
      <c r="D155" s="53"/>
      <c r="E155" s="53"/>
      <c r="F155" s="53"/>
      <c r="G155" s="53"/>
      <c r="H155" s="53"/>
    </row>
    <row r="156" spans="2:19" ht="14.25" customHeight="1" x14ac:dyDescent="0.3">
      <c r="B156" s="2" t="s">
        <v>23</v>
      </c>
      <c r="C156" s="2" t="s">
        <v>24</v>
      </c>
      <c r="D156" s="2" t="s">
        <v>11</v>
      </c>
      <c r="E156" s="2" t="s">
        <v>12</v>
      </c>
      <c r="F156" s="2" t="s">
        <v>13</v>
      </c>
      <c r="G156" s="2" t="s">
        <v>25</v>
      </c>
      <c r="H156" s="2" t="s">
        <v>26</v>
      </c>
    </row>
    <row r="157" spans="2:19" ht="14.25" customHeight="1" x14ac:dyDescent="0.3">
      <c r="B157" s="2">
        <v>1</v>
      </c>
      <c r="C157" s="2">
        <v>2.5000000000000001E-3</v>
      </c>
      <c r="H157" s="5" t="s">
        <v>6</v>
      </c>
    </row>
    <row r="158" spans="2:19" ht="14.25" customHeight="1" x14ac:dyDescent="0.3">
      <c r="B158" s="2">
        <v>2</v>
      </c>
      <c r="C158" s="2">
        <v>2.5000000000000001E-3</v>
      </c>
      <c r="H158" s="2" t="s">
        <v>16</v>
      </c>
    </row>
    <row r="159" spans="2:19" ht="14.25" customHeight="1" x14ac:dyDescent="0.3">
      <c r="B159" s="2">
        <v>3</v>
      </c>
      <c r="C159" s="2">
        <v>2.5000000000000001E-3</v>
      </c>
      <c r="H159" s="2" t="s">
        <v>17</v>
      </c>
    </row>
    <row r="160" spans="2:19" ht="14.25" customHeight="1" x14ac:dyDescent="0.3">
      <c r="B160" s="2">
        <v>4</v>
      </c>
      <c r="C160" s="2">
        <v>2.5000000000000001E-3</v>
      </c>
      <c r="H160" s="2" t="s">
        <v>18</v>
      </c>
    </row>
    <row r="161" spans="2:8" ht="14.25" customHeight="1" x14ac:dyDescent="0.3">
      <c r="B161" s="2">
        <v>5</v>
      </c>
      <c r="C161" s="2">
        <v>2.5000000000000001E-3</v>
      </c>
      <c r="H161" s="11" t="s">
        <v>27</v>
      </c>
    </row>
    <row r="162" spans="2:8" ht="14.25" customHeight="1" x14ac:dyDescent="0.3">
      <c r="B162" s="2">
        <v>6</v>
      </c>
      <c r="C162" s="2">
        <v>5.0000000000000001E-3</v>
      </c>
      <c r="D162" s="2">
        <v>1.7460089495323E-4</v>
      </c>
      <c r="E162" s="2">
        <v>0.87594054452557701</v>
      </c>
      <c r="F162" s="2">
        <v>1.153</v>
      </c>
      <c r="G162" s="2">
        <v>99.329581181808706</v>
      </c>
      <c r="H162" s="5" t="s">
        <v>6</v>
      </c>
    </row>
    <row r="163" spans="2:8" ht="14.25" customHeight="1" x14ac:dyDescent="0.3">
      <c r="B163" s="2">
        <v>7</v>
      </c>
      <c r="C163" s="2">
        <v>5.0000000000000001E-3</v>
      </c>
      <c r="D163" s="2">
        <v>11.3159997433821</v>
      </c>
      <c r="E163" s="2">
        <v>0.43127092453683602</v>
      </c>
      <c r="F163" s="2">
        <v>1.623</v>
      </c>
      <c r="G163" s="2">
        <v>97.136820462341106</v>
      </c>
      <c r="H163" s="2" t="s">
        <v>16</v>
      </c>
    </row>
    <row r="164" spans="2:8" ht="14.25" customHeight="1" x14ac:dyDescent="0.3">
      <c r="B164" s="2">
        <v>8</v>
      </c>
      <c r="C164" s="2">
        <v>5.0000000000000001E-3</v>
      </c>
      <c r="D164" s="2">
        <v>1.3694521584831801E-3</v>
      </c>
      <c r="E164" s="15">
        <v>0.90183676678959601</v>
      </c>
      <c r="F164" s="2">
        <v>1.2410000000000001</v>
      </c>
      <c r="G164" s="2">
        <v>99.134149992876203</v>
      </c>
      <c r="H164" s="2" t="s">
        <v>17</v>
      </c>
    </row>
    <row r="165" spans="2:8" ht="14.25" customHeight="1" x14ac:dyDescent="0.3">
      <c r="B165" s="2">
        <v>9</v>
      </c>
      <c r="C165" s="2">
        <v>5.0000000000000001E-3</v>
      </c>
      <c r="D165" s="2">
        <v>-6.9137152653561698</v>
      </c>
      <c r="E165" s="15">
        <v>7.2552687012334296E-10</v>
      </c>
      <c r="F165" s="2">
        <v>0</v>
      </c>
      <c r="G165" s="2">
        <v>-6.4970820012782999</v>
      </c>
      <c r="H165" s="2" t="s">
        <v>18</v>
      </c>
    </row>
    <row r="166" spans="2:8" ht="14.25" customHeight="1" x14ac:dyDescent="0.3">
      <c r="B166" s="2">
        <v>10</v>
      </c>
      <c r="C166" s="2">
        <v>5.0000000000000001E-3</v>
      </c>
      <c r="D166" s="2">
        <v>1.7564697790641199E-3</v>
      </c>
      <c r="E166" s="2">
        <v>2.1069303168919502</v>
      </c>
      <c r="F166" s="2">
        <v>0</v>
      </c>
      <c r="G166" s="2">
        <v>74.759553658945705</v>
      </c>
      <c r="H166" s="11" t="s">
        <v>27</v>
      </c>
    </row>
    <row r="167" spans="2:8" ht="14.25" customHeight="1" x14ac:dyDescent="0.3">
      <c r="B167" s="2">
        <v>11</v>
      </c>
      <c r="C167" s="2">
        <v>7.4999999999999997E-3</v>
      </c>
      <c r="D167" s="2">
        <v>3.4376863826817301E-4</v>
      </c>
      <c r="E167" s="2">
        <v>0.98269601319900401</v>
      </c>
      <c r="F167" s="2">
        <v>1.0920000000000001</v>
      </c>
      <c r="G167" s="2">
        <v>99.285114449223698</v>
      </c>
      <c r="H167" s="5" t="s">
        <v>6</v>
      </c>
    </row>
    <row r="168" spans="2:8" ht="14.25" customHeight="1" x14ac:dyDescent="0.3">
      <c r="B168" s="2">
        <v>12</v>
      </c>
      <c r="C168" s="2">
        <v>7.4999999999999997E-3</v>
      </c>
      <c r="D168" s="2">
        <v>11.3438138657192</v>
      </c>
      <c r="E168" s="2">
        <v>0.60174555510542405</v>
      </c>
      <c r="F168" s="2">
        <v>1.581</v>
      </c>
      <c r="G168" s="2">
        <v>97.2418095933497</v>
      </c>
      <c r="H168" s="2" t="s">
        <v>16</v>
      </c>
    </row>
    <row r="169" spans="2:8" ht="14.25" customHeight="1" x14ac:dyDescent="0.3">
      <c r="B169" s="2">
        <v>13</v>
      </c>
      <c r="C169" s="2">
        <v>7.4999999999999997E-3</v>
      </c>
      <c r="D169" s="2">
        <v>2.2034188400584399E-3</v>
      </c>
      <c r="E169" s="15">
        <v>1.0726920660131001</v>
      </c>
      <c r="F169" s="2">
        <v>1.147</v>
      </c>
      <c r="G169" s="2">
        <v>98.9611611033706</v>
      </c>
      <c r="H169" s="2" t="s">
        <v>17</v>
      </c>
    </row>
    <row r="170" spans="2:8" ht="14.25" customHeight="1" x14ac:dyDescent="0.3">
      <c r="B170" s="2">
        <v>14</v>
      </c>
      <c r="C170" s="2">
        <v>7.4999999999999997E-3</v>
      </c>
      <c r="D170" s="2">
        <v>-6.95549925041876</v>
      </c>
      <c r="E170" s="2">
        <v>5.97402828219591E-3</v>
      </c>
      <c r="F170" s="2">
        <v>0</v>
      </c>
      <c r="G170" s="2">
        <v>-6.5240048945160796</v>
      </c>
      <c r="H170" s="2" t="s">
        <v>18</v>
      </c>
    </row>
    <row r="171" spans="2:8" ht="14.25" customHeight="1" x14ac:dyDescent="0.3">
      <c r="B171" s="2">
        <v>15</v>
      </c>
      <c r="C171" s="2">
        <v>7.4999999999999997E-3</v>
      </c>
      <c r="D171" s="2">
        <v>1.3759765449892099E-3</v>
      </c>
      <c r="E171" s="2">
        <v>2.2294634591289602</v>
      </c>
      <c r="F171" s="2">
        <v>0</v>
      </c>
      <c r="G171" s="2">
        <v>76.017092984344899</v>
      </c>
      <c r="H171" s="11" t="s">
        <v>27</v>
      </c>
    </row>
    <row r="172" spans="2:8" ht="14.25" customHeight="1" x14ac:dyDescent="0.3">
      <c r="B172" s="2">
        <v>16</v>
      </c>
      <c r="C172" s="2">
        <v>0.01</v>
      </c>
      <c r="D172" s="15">
        <v>5.1801808742385297E-5</v>
      </c>
      <c r="E172" s="2">
        <v>1.86780900053821</v>
      </c>
      <c r="F172" s="2">
        <v>1.379</v>
      </c>
      <c r="G172" s="2">
        <v>94.863106094747195</v>
      </c>
      <c r="H172" s="5" t="s">
        <v>6</v>
      </c>
    </row>
    <row r="173" spans="2:8" ht="14.25" customHeight="1" x14ac:dyDescent="0.3">
      <c r="B173" s="2">
        <v>17</v>
      </c>
      <c r="C173" s="2">
        <v>0.01</v>
      </c>
      <c r="D173" s="2">
        <v>11.380431009462001</v>
      </c>
      <c r="E173" s="2">
        <v>1.4545598734184999</v>
      </c>
      <c r="F173" s="2">
        <v>1.7290000000000001</v>
      </c>
      <c r="G173" s="2">
        <v>93.214833466636804</v>
      </c>
      <c r="H173" s="2" t="s">
        <v>16</v>
      </c>
    </row>
    <row r="174" spans="2:8" ht="14.25" customHeight="1" x14ac:dyDescent="0.3">
      <c r="B174" s="2">
        <v>18</v>
      </c>
      <c r="C174" s="2">
        <v>0.01</v>
      </c>
      <c r="D174" s="2">
        <v>4.3880613817463902E-4</v>
      </c>
      <c r="E174" s="15">
        <v>1.93455543045709</v>
      </c>
      <c r="F174" s="2">
        <v>1.544</v>
      </c>
      <c r="G174" s="2">
        <v>94.033640584338301</v>
      </c>
      <c r="H174" s="2" t="s">
        <v>17</v>
      </c>
    </row>
    <row r="175" spans="2:8" ht="14.25" customHeight="1" x14ac:dyDescent="0.3">
      <c r="B175" s="2">
        <v>19</v>
      </c>
      <c r="C175" s="2">
        <v>0.01</v>
      </c>
      <c r="D175" s="2">
        <v>-5.8059985134741599</v>
      </c>
      <c r="E175" s="2">
        <v>0.163664310238441</v>
      </c>
      <c r="F175" s="2">
        <v>0.41699999999999998</v>
      </c>
      <c r="G175" s="2">
        <v>-7.1476409509864096</v>
      </c>
      <c r="H175" s="2" t="s">
        <v>18</v>
      </c>
    </row>
    <row r="176" spans="2:8" ht="14.25" customHeight="1" x14ac:dyDescent="0.3">
      <c r="B176" s="2">
        <v>20</v>
      </c>
      <c r="C176" s="2">
        <v>0.01</v>
      </c>
      <c r="D176" s="2">
        <v>2.21359929278499E-3</v>
      </c>
      <c r="E176" s="2">
        <v>2.3267813625919098</v>
      </c>
      <c r="F176" s="2">
        <v>0</v>
      </c>
      <c r="G176" s="2">
        <v>77.108621612995094</v>
      </c>
      <c r="H176" s="11" t="s">
        <v>27</v>
      </c>
    </row>
    <row r="177" spans="2:8" ht="14.25" customHeight="1" x14ac:dyDescent="0.3">
      <c r="B177" s="2">
        <v>21</v>
      </c>
      <c r="C177" s="2">
        <v>1.2500000000000001E-2</v>
      </c>
      <c r="D177" s="15">
        <v>4.1460901604514503E-5</v>
      </c>
      <c r="E177" s="2">
        <v>2.1787420282559302</v>
      </c>
      <c r="F177" s="2">
        <v>1.357</v>
      </c>
      <c r="G177" s="2">
        <v>94.389403944203806</v>
      </c>
      <c r="H177" s="5" t="s">
        <v>6</v>
      </c>
    </row>
    <row r="178" spans="2:8" ht="14.25" customHeight="1" x14ac:dyDescent="0.3">
      <c r="B178" s="2">
        <v>22</v>
      </c>
      <c r="C178" s="2">
        <v>1.2500000000000001E-2</v>
      </c>
      <c r="D178" s="2">
        <v>11.411806326414601</v>
      </c>
      <c r="E178" s="2">
        <v>1.7190202413162099</v>
      </c>
      <c r="F178" s="2">
        <v>1.752</v>
      </c>
      <c r="G178" s="2">
        <v>93.510274756048204</v>
      </c>
      <c r="H178" s="2" t="s">
        <v>16</v>
      </c>
    </row>
    <row r="179" spans="2:8" ht="14.25" customHeight="1" x14ac:dyDescent="0.3">
      <c r="B179" s="2">
        <v>23</v>
      </c>
      <c r="C179" s="2">
        <v>1.2500000000000001E-2</v>
      </c>
      <c r="D179" s="2">
        <v>3.5124251952751398E-4</v>
      </c>
      <c r="E179" s="15">
        <v>2.2550377632932999</v>
      </c>
      <c r="F179" s="2">
        <v>1.5449999999999999</v>
      </c>
      <c r="G179" s="2">
        <v>93.530350797882306</v>
      </c>
      <c r="H179" s="2" t="s">
        <v>17</v>
      </c>
    </row>
    <row r="180" spans="2:8" ht="14.25" customHeight="1" x14ac:dyDescent="0.3">
      <c r="B180" s="2">
        <v>24</v>
      </c>
      <c r="C180" s="2">
        <v>1.2500000000000001E-2</v>
      </c>
      <c r="D180" s="2">
        <v>-7.2673708203343699</v>
      </c>
      <c r="E180" s="2">
        <v>2.0742046933598002E-3</v>
      </c>
      <c r="F180" s="2">
        <v>0</v>
      </c>
      <c r="G180" s="2">
        <v>-5.96815493954883</v>
      </c>
      <c r="H180" s="2" t="s">
        <v>18</v>
      </c>
    </row>
    <row r="181" spans="2:8" ht="14.25" customHeight="1" x14ac:dyDescent="0.3">
      <c r="B181" s="2">
        <v>25</v>
      </c>
      <c r="C181" s="2">
        <v>1.2500000000000001E-2</v>
      </c>
      <c r="D181" s="2">
        <v>4.4119729317596999E-4</v>
      </c>
      <c r="E181" s="2">
        <v>3.52701063825553</v>
      </c>
      <c r="F181" s="2">
        <v>0</v>
      </c>
      <c r="G181" s="2">
        <v>80.512859220474496</v>
      </c>
      <c r="H181" s="11" t="s">
        <v>27</v>
      </c>
    </row>
    <row r="182" spans="2:8" ht="14.25" customHeight="1" x14ac:dyDescent="0.3">
      <c r="B182" s="2">
        <v>26</v>
      </c>
      <c r="C182" s="2">
        <v>1.4999999999999999E-2</v>
      </c>
      <c r="D182" s="2">
        <v>1.7221593092321899E-4</v>
      </c>
      <c r="E182" s="2">
        <v>2.1339335414687302</v>
      </c>
      <c r="F182" s="2">
        <v>1.252</v>
      </c>
      <c r="G182" s="2">
        <v>94.635527430220606</v>
      </c>
      <c r="H182" s="5" t="s">
        <v>6</v>
      </c>
    </row>
    <row r="183" spans="2:8" ht="14.25" customHeight="1" x14ac:dyDescent="0.3">
      <c r="B183" s="2">
        <v>27</v>
      </c>
      <c r="C183" s="2">
        <v>1.4999999999999999E-2</v>
      </c>
      <c r="D183" s="2">
        <v>11.444985612523601</v>
      </c>
      <c r="E183" s="2">
        <v>1.85027945507041</v>
      </c>
      <c r="F183" s="2">
        <v>1.7989999999999999</v>
      </c>
      <c r="G183" s="2">
        <v>91.644040700564503</v>
      </c>
      <c r="H183" s="2" t="s">
        <v>16</v>
      </c>
    </row>
    <row r="184" spans="2:8" ht="14.25" customHeight="1" x14ac:dyDescent="0.3">
      <c r="B184" s="2">
        <v>28</v>
      </c>
      <c r="C184" s="2">
        <v>1.4999999999999999E-2</v>
      </c>
      <c r="D184" s="2">
        <v>1.1043901170993699E-3</v>
      </c>
      <c r="E184" s="15">
        <v>2.3068358159179301</v>
      </c>
      <c r="F184" s="2">
        <v>1.371</v>
      </c>
      <c r="G184" s="2">
        <v>93.333013818843497</v>
      </c>
      <c r="H184" s="2" t="s">
        <v>17</v>
      </c>
    </row>
    <row r="185" spans="2:8" ht="14.25" customHeight="1" x14ac:dyDescent="0.3">
      <c r="B185" s="2">
        <v>29</v>
      </c>
      <c r="C185" s="2">
        <v>1.4999999999999999E-2</v>
      </c>
      <c r="D185" s="2">
        <v>-6.1576983648979997</v>
      </c>
      <c r="E185" s="2">
        <v>0.173705999700173</v>
      </c>
      <c r="F185" s="2">
        <v>0.27600000000000002</v>
      </c>
      <c r="G185" s="2">
        <v>-7.3159976036335097</v>
      </c>
      <c r="H185" s="2" t="s">
        <v>18</v>
      </c>
    </row>
    <row r="186" spans="2:8" ht="14.25" customHeight="1" x14ac:dyDescent="0.3">
      <c r="B186" s="2">
        <v>30</v>
      </c>
      <c r="C186" s="2">
        <v>1.4999999999999999E-2</v>
      </c>
      <c r="D186" s="2">
        <v>3.5319770078085601E-4</v>
      </c>
      <c r="E186" s="2">
        <v>3.84833475981655</v>
      </c>
      <c r="F186" s="2">
        <v>0</v>
      </c>
      <c r="G186" s="2">
        <v>81.131703779517295</v>
      </c>
      <c r="H186" s="11" t="s">
        <v>27</v>
      </c>
    </row>
    <row r="187" spans="2:8" ht="14.25" customHeight="1" x14ac:dyDescent="0.3">
      <c r="B187" s="2">
        <v>31</v>
      </c>
      <c r="C187" s="2">
        <v>1.7500000000000002E-2</v>
      </c>
      <c r="D187" s="2">
        <v>1.4758488833560901E-4</v>
      </c>
      <c r="E187" s="2">
        <v>2.1510116450574199</v>
      </c>
      <c r="F187" s="2">
        <v>1.31</v>
      </c>
      <c r="G187" s="2">
        <v>95.328737083778407</v>
      </c>
      <c r="H187" s="5" t="s">
        <v>6</v>
      </c>
    </row>
    <row r="188" spans="2:8" ht="14.25" customHeight="1" x14ac:dyDescent="0.3">
      <c r="B188" s="2">
        <v>32</v>
      </c>
      <c r="C188" s="2">
        <v>1.7500000000000002E-2</v>
      </c>
      <c r="D188" s="2">
        <v>11.4740313638305</v>
      </c>
      <c r="E188" s="2">
        <v>1.8563811830549299</v>
      </c>
      <c r="F188" s="2">
        <v>1.8560000000000001</v>
      </c>
      <c r="G188" s="2">
        <v>90.196924890940195</v>
      </c>
      <c r="H188" s="2" t="s">
        <v>16</v>
      </c>
    </row>
    <row r="189" spans="2:8" ht="14.25" customHeight="1" x14ac:dyDescent="0.3">
      <c r="B189" s="2">
        <v>33</v>
      </c>
      <c r="C189" s="2">
        <v>1.7500000000000002E-2</v>
      </c>
      <c r="D189" s="2">
        <v>9.4632219538069099E-4</v>
      </c>
      <c r="E189" s="15">
        <v>2.3395007428324801</v>
      </c>
      <c r="F189" s="2">
        <v>1.419</v>
      </c>
      <c r="G189" s="2">
        <v>94.410539301173799</v>
      </c>
      <c r="H189" s="2" t="s">
        <v>17</v>
      </c>
    </row>
    <row r="190" spans="2:8" ht="14.25" customHeight="1" x14ac:dyDescent="0.3">
      <c r="B190" s="2">
        <v>34</v>
      </c>
      <c r="C190" s="2">
        <v>1.7500000000000002E-2</v>
      </c>
      <c r="D190" s="2">
        <v>-6.1705551220629697</v>
      </c>
      <c r="E190" s="2">
        <v>0.171172750015364</v>
      </c>
      <c r="F190" s="2">
        <v>0.22</v>
      </c>
      <c r="G190" s="2">
        <v>-7.29202249333611</v>
      </c>
      <c r="H190" s="2" t="s">
        <v>18</v>
      </c>
    </row>
    <row r="191" spans="2:8" ht="14.25" customHeight="1" x14ac:dyDescent="0.3">
      <c r="B191" s="2">
        <v>35</v>
      </c>
      <c r="C191" s="2">
        <v>1.7500000000000002E-2</v>
      </c>
      <c r="D191" s="2">
        <v>1.1099621753221699E-3</v>
      </c>
      <c r="E191" s="2">
        <v>3.7228190398391101</v>
      </c>
      <c r="F191" s="2">
        <v>0</v>
      </c>
      <c r="G191" s="2">
        <v>80.721458333586</v>
      </c>
      <c r="H191" s="11" t="s">
        <v>27</v>
      </c>
    </row>
    <row r="192" spans="2:8" ht="14.25" customHeight="1" x14ac:dyDescent="0.3">
      <c r="B192" s="2">
        <v>36</v>
      </c>
      <c r="C192" s="2">
        <v>0.02</v>
      </c>
      <c r="D192" s="2">
        <v>1.29198168231214E-4</v>
      </c>
      <c r="E192" s="2">
        <v>2.3590188991880501</v>
      </c>
      <c r="F192" s="2">
        <v>1.2949999999999999</v>
      </c>
      <c r="G192" s="2">
        <v>94.268522013727207</v>
      </c>
      <c r="H192" s="5" t="s">
        <v>6</v>
      </c>
    </row>
    <row r="193" spans="2:8" ht="14.25" customHeight="1" x14ac:dyDescent="0.3">
      <c r="B193" s="2">
        <v>37</v>
      </c>
      <c r="C193" s="2">
        <v>0.02</v>
      </c>
      <c r="D193" s="2">
        <v>11.507287011787</v>
      </c>
      <c r="E193" s="2">
        <v>2.0804749769775399</v>
      </c>
      <c r="F193" s="2">
        <v>1.879</v>
      </c>
      <c r="G193" s="2">
        <v>90.050410414197202</v>
      </c>
      <c r="H193" s="2" t="s">
        <v>16</v>
      </c>
    </row>
    <row r="194" spans="2:8" ht="14.25" customHeight="1" x14ac:dyDescent="0.3">
      <c r="B194" s="2">
        <v>38</v>
      </c>
      <c r="C194" s="2">
        <v>0.02</v>
      </c>
      <c r="D194" s="2">
        <v>8.2854301935395805E-4</v>
      </c>
      <c r="E194" s="15">
        <v>2.5537108162942199</v>
      </c>
      <c r="F194" s="2">
        <v>1.4219999999999999</v>
      </c>
      <c r="G194" s="2">
        <v>93.023803063148904</v>
      </c>
      <c r="H194" s="2" t="s">
        <v>17</v>
      </c>
    </row>
    <row r="195" spans="2:8" ht="14.25" customHeight="1" x14ac:dyDescent="0.3">
      <c r="B195" s="2">
        <v>39</v>
      </c>
      <c r="C195" s="2">
        <v>0.02</v>
      </c>
      <c r="D195" s="2">
        <v>-6.1861081743043904</v>
      </c>
      <c r="E195" s="15">
        <v>0.174563797076218</v>
      </c>
      <c r="F195" s="2">
        <v>0.22600000000000001</v>
      </c>
      <c r="G195" s="2">
        <v>-7.3309335120575403</v>
      </c>
      <c r="H195" s="2" t="s">
        <v>18</v>
      </c>
    </row>
    <row r="196" spans="2:8" ht="14.25" customHeight="1" x14ac:dyDescent="0.3">
      <c r="B196" s="2">
        <v>40</v>
      </c>
      <c r="C196" s="2">
        <v>0.02</v>
      </c>
      <c r="D196" s="2">
        <v>9.5128244205666397E-4</v>
      </c>
      <c r="E196" s="2">
        <v>3.8131564931704802</v>
      </c>
      <c r="F196" s="2">
        <v>0</v>
      </c>
      <c r="G196" s="2">
        <v>80.918980899886407</v>
      </c>
      <c r="H196" s="11" t="s">
        <v>27</v>
      </c>
    </row>
    <row r="197" spans="2:8" ht="14.25" customHeight="1" x14ac:dyDescent="0.3">
      <c r="B197" s="2">
        <v>41</v>
      </c>
      <c r="C197" s="2">
        <v>2.2499999999999999E-2</v>
      </c>
      <c r="D197" s="2">
        <v>1.14831577305183E-4</v>
      </c>
      <c r="E197" s="2">
        <v>2.3774976346847998</v>
      </c>
      <c r="F197" s="2">
        <v>1.335</v>
      </c>
      <c r="G197" s="2">
        <v>95.153585045432493</v>
      </c>
      <c r="H197" s="5" t="s">
        <v>6</v>
      </c>
    </row>
    <row r="198" spans="2:8" ht="14.25" customHeight="1" x14ac:dyDescent="0.3">
      <c r="B198" s="2">
        <v>42</v>
      </c>
      <c r="C198" s="2">
        <v>2.2499999999999999E-2</v>
      </c>
      <c r="D198" s="2">
        <v>11.517215726638501</v>
      </c>
      <c r="E198" s="2">
        <v>1.5273219543033201</v>
      </c>
      <c r="F198" s="2">
        <v>2.5129999999999999</v>
      </c>
      <c r="G198" s="2">
        <v>91.952072970418001</v>
      </c>
      <c r="H198" s="2" t="s">
        <v>16</v>
      </c>
    </row>
    <row r="199" spans="2:8" ht="14.25" customHeight="1" x14ac:dyDescent="0.3">
      <c r="B199" s="2">
        <v>43</v>
      </c>
      <c r="C199" s="2">
        <v>2.2499999999999999E-2</v>
      </c>
      <c r="D199" s="2">
        <v>7.36391220092199E-4</v>
      </c>
      <c r="E199" s="15">
        <v>2.5875859445514702</v>
      </c>
      <c r="F199" s="2">
        <v>1.454</v>
      </c>
      <c r="G199" s="2">
        <v>94.143734502775303</v>
      </c>
      <c r="H199" s="2" t="s">
        <v>17</v>
      </c>
    </row>
    <row r="200" spans="2:8" ht="14.25" customHeight="1" x14ac:dyDescent="0.3">
      <c r="B200" s="2">
        <v>44</v>
      </c>
      <c r="C200" s="2">
        <v>2.2499999999999999E-2</v>
      </c>
      <c r="D200" s="2">
        <v>-6.1980430291303499</v>
      </c>
      <c r="E200" s="2">
        <v>0.16917459945514701</v>
      </c>
      <c r="F200" s="2">
        <v>0.154</v>
      </c>
      <c r="G200" s="2">
        <v>-7.3298123499221202</v>
      </c>
      <c r="H200" s="2" t="s">
        <v>18</v>
      </c>
    </row>
    <row r="201" spans="2:8" ht="14.25" customHeight="1" x14ac:dyDescent="0.3">
      <c r="B201" s="2">
        <v>45</v>
      </c>
      <c r="C201" s="2">
        <v>2.2499999999999999E-2</v>
      </c>
      <c r="D201" s="2">
        <v>8.3285409123932995E-4</v>
      </c>
      <c r="E201" s="2">
        <v>4.0208468032570499</v>
      </c>
      <c r="F201" s="2">
        <v>0</v>
      </c>
      <c r="G201" s="2">
        <v>80.954103677572604</v>
      </c>
      <c r="H201" s="11" t="s">
        <v>27</v>
      </c>
    </row>
    <row r="202" spans="2:8" ht="14.25" customHeight="1" x14ac:dyDescent="0.3">
      <c r="B202" s="2">
        <v>46</v>
      </c>
      <c r="C202" s="2">
        <v>2.5000000000000001E-2</v>
      </c>
      <c r="D202" s="15">
        <v>2.0747433216685201E-5</v>
      </c>
      <c r="E202" s="2">
        <v>2.7541636671724001</v>
      </c>
      <c r="F202" s="2">
        <v>1.496</v>
      </c>
      <c r="G202" s="2">
        <v>92.323301520278306</v>
      </c>
      <c r="H202" s="5" t="s">
        <v>6</v>
      </c>
    </row>
    <row r="203" spans="2:8" ht="14.25" customHeight="1" x14ac:dyDescent="0.3">
      <c r="B203" s="2">
        <v>47</v>
      </c>
      <c r="C203" s="2">
        <v>2.5000000000000001E-2</v>
      </c>
      <c r="D203" s="2">
        <v>11.5509603094873</v>
      </c>
      <c r="E203" s="2">
        <v>1.75834487220681</v>
      </c>
      <c r="F203" s="2">
        <v>2.5089999999999999</v>
      </c>
      <c r="G203" s="2">
        <v>91.203186397422002</v>
      </c>
      <c r="H203" s="2" t="s">
        <v>16</v>
      </c>
    </row>
    <row r="204" spans="2:8" ht="14.25" customHeight="1" x14ac:dyDescent="0.3">
      <c r="B204" s="2">
        <v>48</v>
      </c>
      <c r="C204" s="2">
        <v>2.5000000000000001E-2</v>
      </c>
      <c r="D204" s="2">
        <v>1.7564399388674299E-4</v>
      </c>
      <c r="E204" s="15">
        <v>2.8645319272338199</v>
      </c>
      <c r="F204" s="2">
        <v>1.72</v>
      </c>
      <c r="G204" s="2">
        <v>91.259443114017699</v>
      </c>
      <c r="H204" s="2" t="s">
        <v>17</v>
      </c>
    </row>
    <row r="205" spans="2:8" ht="14.25" customHeight="1" x14ac:dyDescent="0.3">
      <c r="B205" s="2">
        <v>49</v>
      </c>
      <c r="C205" s="2">
        <v>2.5000000000000001E-2</v>
      </c>
      <c r="D205" s="2">
        <v>-6.2151974507605701</v>
      </c>
      <c r="E205" s="2">
        <v>0.17515501618704701</v>
      </c>
      <c r="F205" s="2">
        <v>0.20399999999999999</v>
      </c>
      <c r="G205" s="2">
        <v>-7.3491055078881899</v>
      </c>
      <c r="H205" s="2" t="s">
        <v>18</v>
      </c>
    </row>
    <row r="206" spans="2:8" ht="14.25" customHeight="1" x14ac:dyDescent="0.3">
      <c r="B206" s="2">
        <v>50</v>
      </c>
      <c r="C206" s="2">
        <v>2.5000000000000001E-2</v>
      </c>
      <c r="D206" s="2">
        <v>7.4038160457349795E-4</v>
      </c>
      <c r="E206" s="2">
        <v>4.0955370698910301</v>
      </c>
      <c r="F206" s="2">
        <v>0</v>
      </c>
      <c r="G206" s="2">
        <v>81.240397156070102</v>
      </c>
      <c r="H206" s="11" t="s">
        <v>27</v>
      </c>
    </row>
    <row r="207" spans="2:8" ht="14.25" customHeight="1" x14ac:dyDescent="0.3">
      <c r="B207" s="2">
        <v>51</v>
      </c>
      <c r="C207" s="2">
        <v>2.75E-2</v>
      </c>
      <c r="D207" s="15">
        <v>1.88617674585113E-5</v>
      </c>
      <c r="E207" s="2">
        <v>2.7696538736505301</v>
      </c>
      <c r="F207" s="2">
        <v>1.5249999999999999</v>
      </c>
      <c r="G207" s="2">
        <v>93.012823325228993</v>
      </c>
      <c r="H207" s="5" t="s">
        <v>6</v>
      </c>
    </row>
    <row r="208" spans="2:8" ht="14.25" customHeight="1" x14ac:dyDescent="0.3">
      <c r="B208" s="2">
        <v>52</v>
      </c>
      <c r="C208" s="2">
        <v>2.75E-2</v>
      </c>
      <c r="D208" s="2">
        <v>11.5774829276787</v>
      </c>
      <c r="E208" s="2">
        <v>1.70528509604152</v>
      </c>
      <c r="F208" s="2">
        <v>2.5670000000000002</v>
      </c>
      <c r="G208" s="2">
        <v>92.266531464736801</v>
      </c>
      <c r="H208" s="2" t="s">
        <v>16</v>
      </c>
    </row>
    <row r="209" spans="2:8" ht="14.25" customHeight="1" x14ac:dyDescent="0.3">
      <c r="B209" s="2">
        <v>53</v>
      </c>
      <c r="C209" s="2">
        <v>2.75E-2</v>
      </c>
      <c r="D209" s="2">
        <v>1.5964885438551001E-4</v>
      </c>
      <c r="E209" s="15">
        <v>2.88172594101579</v>
      </c>
      <c r="F209" s="2">
        <v>1.748</v>
      </c>
      <c r="G209" s="2">
        <v>91.898117508385397</v>
      </c>
      <c r="H209" s="2" t="s">
        <v>17</v>
      </c>
    </row>
    <row r="210" spans="2:8" ht="14.25" customHeight="1" x14ac:dyDescent="0.3">
      <c r="B210" s="2">
        <v>54</v>
      </c>
      <c r="C210" s="2">
        <v>2.75E-2</v>
      </c>
      <c r="D210" s="2">
        <v>-6.2266282175050298</v>
      </c>
      <c r="E210" s="2">
        <v>0.16367493741113201</v>
      </c>
      <c r="F210" s="2">
        <v>0.108</v>
      </c>
      <c r="G210" s="2">
        <v>-7.3694303167117603</v>
      </c>
      <c r="H210" s="2" t="s">
        <v>18</v>
      </c>
    </row>
    <row r="211" spans="2:8" ht="14.25" customHeight="1" x14ac:dyDescent="0.3">
      <c r="B211" s="2">
        <v>55</v>
      </c>
      <c r="C211" s="2">
        <v>2.75E-2</v>
      </c>
      <c r="D211" s="2">
        <v>1.7672377595529001E-4</v>
      </c>
      <c r="E211" s="2">
        <v>4.6406017567167197</v>
      </c>
      <c r="F211" s="2">
        <v>0</v>
      </c>
      <c r="G211" s="2">
        <v>78.565072897442505</v>
      </c>
      <c r="H211" s="11" t="s">
        <v>27</v>
      </c>
    </row>
    <row r="212" spans="2:8" ht="14.25" customHeight="1" x14ac:dyDescent="0.3">
      <c r="B212" s="2">
        <v>56</v>
      </c>
      <c r="C212" s="2">
        <v>0.03</v>
      </c>
      <c r="D212" s="15">
        <v>8.6199158569635496E-5</v>
      </c>
      <c r="E212" s="2">
        <v>2.6481234151061899</v>
      </c>
      <c r="F212" s="2">
        <v>1.3779999999999999</v>
      </c>
      <c r="G212" s="2">
        <v>94.351924468627004</v>
      </c>
      <c r="H212" s="5" t="s">
        <v>6</v>
      </c>
    </row>
    <row r="213" spans="2:8" ht="14.25" customHeight="1" x14ac:dyDescent="0.3">
      <c r="B213" s="2">
        <v>57</v>
      </c>
      <c r="C213" s="2">
        <v>0.03</v>
      </c>
      <c r="D213" s="2">
        <v>11.6089440621487</v>
      </c>
      <c r="E213" s="2">
        <v>1.78953166655366</v>
      </c>
      <c r="F213" s="2">
        <v>2.593</v>
      </c>
      <c r="G213" s="2">
        <v>92.307728214948099</v>
      </c>
      <c r="H213" s="2" t="s">
        <v>16</v>
      </c>
    </row>
    <row r="214" spans="2:8" ht="14.25" customHeight="1" x14ac:dyDescent="0.3">
      <c r="B214" s="2">
        <v>58</v>
      </c>
      <c r="C214" s="2">
        <v>0.03</v>
      </c>
      <c r="D214" s="2">
        <v>5.5282602734124295E-4</v>
      </c>
      <c r="E214" s="15">
        <v>2.8732718504438499</v>
      </c>
      <c r="F214" s="2">
        <v>1.5109999999999999</v>
      </c>
      <c r="G214" s="2">
        <v>93.038744112057302</v>
      </c>
      <c r="H214" s="2" t="s">
        <v>17</v>
      </c>
    </row>
    <row r="215" spans="2:8" ht="14.25" customHeight="1" x14ac:dyDescent="0.3">
      <c r="B215" s="2">
        <v>59</v>
      </c>
      <c r="C215" s="2">
        <v>0.03</v>
      </c>
      <c r="D215" s="2">
        <v>-6.2409554439694599</v>
      </c>
      <c r="E215" s="2">
        <v>0.159809766872407</v>
      </c>
      <c r="F215" s="2">
        <v>8.5999999999999993E-2</v>
      </c>
      <c r="G215" s="2">
        <v>-7.3885143780220801</v>
      </c>
      <c r="H215" s="2" t="s">
        <v>18</v>
      </c>
    </row>
    <row r="216" spans="2:8" ht="14.25" customHeight="1" x14ac:dyDescent="0.3">
      <c r="B216" s="2">
        <v>60</v>
      </c>
      <c r="C216" s="2">
        <v>0.03</v>
      </c>
      <c r="D216" s="2">
        <v>1.60669833391755E-4</v>
      </c>
      <c r="E216" s="2">
        <v>4.6916082966054198</v>
      </c>
      <c r="F216" s="2">
        <v>0</v>
      </c>
      <c r="G216" s="2">
        <v>78.588750334393396</v>
      </c>
      <c r="H216" s="11" t="s">
        <v>27</v>
      </c>
    </row>
    <row r="217" spans="2:8" ht="14.25" customHeight="1" x14ac:dyDescent="0.3">
      <c r="B217" s="2">
        <v>61</v>
      </c>
      <c r="C217" s="2">
        <v>3.2500000000000001E-2</v>
      </c>
      <c r="D217" s="15">
        <v>2.6998731201928299E-5</v>
      </c>
      <c r="E217" s="2">
        <v>3.0014909506582601</v>
      </c>
      <c r="F217" s="2">
        <v>1.496</v>
      </c>
      <c r="G217" s="2">
        <v>92.513547509991696</v>
      </c>
      <c r="H217" s="5" t="s">
        <v>6</v>
      </c>
    </row>
    <row r="218" spans="2:8" ht="14.25" customHeight="1" x14ac:dyDescent="0.3">
      <c r="B218" s="2">
        <v>62</v>
      </c>
      <c r="C218" s="2">
        <v>3.2500000000000001E-2</v>
      </c>
      <c r="D218" s="2">
        <v>11.6433881513743</v>
      </c>
      <c r="E218" s="2">
        <v>1.98397331215539</v>
      </c>
      <c r="F218" s="2">
        <v>2.6059999999999999</v>
      </c>
      <c r="G218" s="2">
        <v>90.968689852545694</v>
      </c>
      <c r="H218" s="2" t="s">
        <v>16</v>
      </c>
    </row>
    <row r="219" spans="2:8" ht="14.25" customHeight="1" x14ac:dyDescent="0.3">
      <c r="B219" s="2">
        <v>63</v>
      </c>
      <c r="C219" s="2">
        <v>3.2500000000000001E-2</v>
      </c>
      <c r="D219" s="2">
        <v>2.11651359374197E-4</v>
      </c>
      <c r="E219" s="15">
        <v>3.1347029576457999</v>
      </c>
      <c r="F219" s="2">
        <v>1.698</v>
      </c>
      <c r="G219" s="2">
        <v>91.5521387744284</v>
      </c>
      <c r="H219" s="2" t="s">
        <v>17</v>
      </c>
    </row>
    <row r="220" spans="2:8" ht="14.25" customHeight="1" x14ac:dyDescent="0.3">
      <c r="B220" s="2">
        <v>64</v>
      </c>
      <c r="C220" s="2">
        <v>3.2500000000000001E-2</v>
      </c>
      <c r="D220" s="2">
        <v>-6.2590611344090101</v>
      </c>
      <c r="E220" s="2">
        <v>0.17225909790256699</v>
      </c>
      <c r="F220" s="2">
        <v>0.151</v>
      </c>
      <c r="G220" s="2">
        <v>-7.4057359639844202</v>
      </c>
      <c r="H220" s="2" t="s">
        <v>18</v>
      </c>
    </row>
    <row r="221" spans="2:8" ht="14.25" customHeight="1" x14ac:dyDescent="0.3">
      <c r="B221" s="2">
        <v>65</v>
      </c>
      <c r="C221" s="2">
        <v>3.2500000000000001E-2</v>
      </c>
      <c r="D221" s="2">
        <v>5.5592241571287995E-4</v>
      </c>
      <c r="E221" s="2">
        <v>4.4331320624430601</v>
      </c>
      <c r="F221" s="2">
        <v>0</v>
      </c>
      <c r="G221" s="2">
        <v>81.061764283473394</v>
      </c>
      <c r="H221" s="11" t="s">
        <v>27</v>
      </c>
    </row>
    <row r="222" spans="2:8" ht="14.25" customHeight="1" x14ac:dyDescent="0.3">
      <c r="B222" s="2">
        <v>66</v>
      </c>
      <c r="C222" s="2">
        <v>3.5000000000000003E-2</v>
      </c>
      <c r="D222" s="15">
        <v>1.48263282150166E-5</v>
      </c>
      <c r="E222" s="2">
        <v>3.1340160757309898</v>
      </c>
      <c r="F222" s="2">
        <v>1.5609999999999999</v>
      </c>
      <c r="G222" s="2">
        <v>91.930246385354195</v>
      </c>
      <c r="H222" s="5" t="s">
        <v>6</v>
      </c>
    </row>
    <row r="223" spans="2:8" ht="14.25" customHeight="1" x14ac:dyDescent="0.3">
      <c r="B223" s="2">
        <v>67</v>
      </c>
      <c r="C223" s="2">
        <v>3.5000000000000003E-2</v>
      </c>
      <c r="D223" s="2">
        <v>11.6743156901481</v>
      </c>
      <c r="E223" s="2">
        <v>2.0552081710862899</v>
      </c>
      <c r="F223" s="2">
        <v>2.6349999999999998</v>
      </c>
      <c r="G223" s="2">
        <v>90.885917420834502</v>
      </c>
      <c r="H223" s="2" t="s">
        <v>16</v>
      </c>
    </row>
    <row r="224" spans="2:8" ht="14.25" customHeight="1" x14ac:dyDescent="0.3">
      <c r="B224" s="2">
        <v>68</v>
      </c>
      <c r="C224" s="2">
        <v>3.5000000000000003E-2</v>
      </c>
      <c r="D224" s="2">
        <v>1.2540321513639501E-4</v>
      </c>
      <c r="E224" s="15">
        <v>3.2638211978265401</v>
      </c>
      <c r="F224" s="2">
        <v>1.8109999999999999</v>
      </c>
      <c r="G224" s="2">
        <v>90.731903993732999</v>
      </c>
      <c r="H224" s="2" t="s">
        <v>17</v>
      </c>
    </row>
    <row r="225" spans="2:8" ht="14.25" customHeight="1" x14ac:dyDescent="0.3">
      <c r="B225" s="2">
        <v>69</v>
      </c>
      <c r="C225" s="2">
        <v>3.5000000000000003E-2</v>
      </c>
      <c r="D225" s="2">
        <v>-6.2740325533232104</v>
      </c>
      <c r="E225" s="2">
        <v>0.16972134067591799</v>
      </c>
      <c r="F225" s="2">
        <v>0.13500000000000001</v>
      </c>
      <c r="G225" s="2">
        <v>-7.4236104304469901</v>
      </c>
      <c r="H225" s="2" t="s">
        <v>18</v>
      </c>
    </row>
    <row r="226" spans="2:8" ht="14.25" customHeight="1" x14ac:dyDescent="0.3">
      <c r="B226" s="2">
        <v>70</v>
      </c>
      <c r="C226" s="2">
        <v>3.5000000000000003E-2</v>
      </c>
      <c r="D226" s="2">
        <v>2.12966614359248E-4</v>
      </c>
      <c r="E226" s="2">
        <v>4.8907422882617304</v>
      </c>
      <c r="F226" s="2">
        <v>0</v>
      </c>
      <c r="G226" s="2">
        <v>79.524736501117999</v>
      </c>
      <c r="H226" s="11" t="s">
        <v>27</v>
      </c>
    </row>
    <row r="227" spans="2:8" ht="14.25" customHeight="1" x14ac:dyDescent="0.3">
      <c r="B227" s="2">
        <v>71</v>
      </c>
      <c r="C227" s="2">
        <v>3.7499999999999999E-2</v>
      </c>
      <c r="D227" s="15">
        <v>1.3838883118422999E-5</v>
      </c>
      <c r="E227" s="2">
        <v>3.1047384408221301</v>
      </c>
      <c r="F227" s="2">
        <v>1.595</v>
      </c>
      <c r="G227" s="2">
        <v>91.453489325210498</v>
      </c>
      <c r="H227" s="5" t="s">
        <v>6</v>
      </c>
    </row>
    <row r="228" spans="2:8" ht="14.25" customHeight="1" x14ac:dyDescent="0.3">
      <c r="B228" s="2">
        <v>72</v>
      </c>
      <c r="C228" s="2">
        <v>3.7499999999999999E-2</v>
      </c>
      <c r="D228" s="2">
        <v>11.702974835853601</v>
      </c>
      <c r="E228" s="2">
        <v>2.0379157626663198</v>
      </c>
      <c r="F228" s="2">
        <v>2.6619999999999999</v>
      </c>
      <c r="G228" s="2">
        <v>92.065132064379299</v>
      </c>
      <c r="H228" s="2" t="s">
        <v>16</v>
      </c>
    </row>
    <row r="229" spans="2:8" ht="14.25" customHeight="1" x14ac:dyDescent="0.3">
      <c r="B229" s="2">
        <v>73</v>
      </c>
      <c r="C229" s="2">
        <v>3.7499999999999999E-2</v>
      </c>
      <c r="D229" s="2">
        <v>1.17024464174846E-4</v>
      </c>
      <c r="E229" s="15">
        <v>3.2262693959609599</v>
      </c>
      <c r="F229" s="2">
        <v>1.841</v>
      </c>
      <c r="G229" s="2">
        <v>90.149393827288804</v>
      </c>
      <c r="H229" s="2" t="s">
        <v>17</v>
      </c>
    </row>
    <row r="230" spans="2:8" ht="14.25" customHeight="1" x14ac:dyDescent="0.3">
      <c r="B230" s="2">
        <v>74</v>
      </c>
      <c r="C230" s="2">
        <v>3.7499999999999999E-2</v>
      </c>
      <c r="D230" s="2">
        <v>-6.2885216375987598</v>
      </c>
      <c r="E230" s="15">
        <v>0.17251092017700401</v>
      </c>
      <c r="F230" s="2">
        <v>0.14499999999999999</v>
      </c>
      <c r="G230" s="2">
        <v>-7.4532409810873101</v>
      </c>
      <c r="H230" s="2" t="s">
        <v>18</v>
      </c>
    </row>
    <row r="231" spans="2:8" ht="14.25" customHeight="1" x14ac:dyDescent="0.3">
      <c r="B231" s="2">
        <v>75</v>
      </c>
      <c r="C231" s="2">
        <v>3.7499999999999999E-2</v>
      </c>
      <c r="D231" s="2">
        <v>1.2623367861842001E-4</v>
      </c>
      <c r="E231" s="2">
        <v>5.13883602889846</v>
      </c>
      <c r="F231" s="2">
        <v>0</v>
      </c>
      <c r="G231" s="2">
        <v>78.446543674394704</v>
      </c>
      <c r="H231" s="11" t="s">
        <v>27</v>
      </c>
    </row>
    <row r="232" spans="2:8" ht="14.25" customHeight="1" x14ac:dyDescent="0.3">
      <c r="B232" s="2">
        <v>76</v>
      </c>
      <c r="C232" s="2">
        <v>0.04</v>
      </c>
      <c r="D232" s="15">
        <v>6.47094196807629E-5</v>
      </c>
      <c r="E232" s="2">
        <v>3.0496292948860302</v>
      </c>
      <c r="F232" s="2">
        <v>1.403</v>
      </c>
      <c r="G232" s="2">
        <v>93.452019893450796</v>
      </c>
      <c r="H232" s="5" t="s">
        <v>6</v>
      </c>
    </row>
    <row r="233" spans="2:8" ht="14.25" customHeight="1" x14ac:dyDescent="0.3">
      <c r="B233" s="2">
        <v>77</v>
      </c>
      <c r="C233" s="2">
        <v>0.04</v>
      </c>
      <c r="D233" s="2">
        <v>11.737207328929699</v>
      </c>
      <c r="E233" s="2">
        <v>2.1925754226585301</v>
      </c>
      <c r="F233" s="2">
        <v>2.6859999999999999</v>
      </c>
      <c r="G233" s="2">
        <v>90.713691967658804</v>
      </c>
      <c r="H233" s="2" t="s">
        <v>16</v>
      </c>
    </row>
    <row r="234" spans="2:8" ht="14.25" customHeight="1" x14ac:dyDescent="0.3">
      <c r="B234" s="2">
        <v>78</v>
      </c>
      <c r="C234" s="2">
        <v>0.04</v>
      </c>
      <c r="D234" s="2">
        <v>4.15006111183959E-4</v>
      </c>
      <c r="E234" s="15">
        <v>3.3055734040305298</v>
      </c>
      <c r="F234" s="2">
        <v>1.556</v>
      </c>
      <c r="G234" s="2">
        <v>92.046694027919102</v>
      </c>
      <c r="H234" s="2" t="s">
        <v>17</v>
      </c>
    </row>
    <row r="235" spans="2:8" ht="14.25" customHeight="1" x14ac:dyDescent="0.3">
      <c r="B235" s="2">
        <v>79</v>
      </c>
      <c r="C235" s="2">
        <v>0.04</v>
      </c>
      <c r="D235" s="2">
        <v>-6.3046360181313998</v>
      </c>
      <c r="E235" s="2">
        <v>0.16575333563920799</v>
      </c>
      <c r="F235" s="2">
        <v>0.09</v>
      </c>
      <c r="G235" s="2">
        <v>-7.4585595507447904</v>
      </c>
      <c r="H235" s="2" t="s">
        <v>18</v>
      </c>
    </row>
    <row r="236" spans="2:8" ht="14.25" customHeight="1" x14ac:dyDescent="0.3">
      <c r="B236" s="2">
        <v>80</v>
      </c>
      <c r="C236" s="2">
        <v>0.04</v>
      </c>
      <c r="D236" s="2">
        <v>1.17801494397496E-4</v>
      </c>
      <c r="E236" s="2">
        <v>5.1287727615410104</v>
      </c>
      <c r="F236" s="2">
        <v>0</v>
      </c>
      <c r="G236" s="2">
        <v>77.798935929414597</v>
      </c>
      <c r="H236" s="11" t="s">
        <v>27</v>
      </c>
    </row>
    <row r="237" spans="2:8" ht="14.25" customHeight="1" x14ac:dyDescent="0.3">
      <c r="B237" s="2">
        <v>81</v>
      </c>
      <c r="C237" s="2">
        <v>4.2500000000000003E-2</v>
      </c>
      <c r="D237" s="15">
        <v>2.0683380149394299E-5</v>
      </c>
      <c r="E237" s="2">
        <v>3.30851726587525</v>
      </c>
      <c r="F237" s="2">
        <v>1.556</v>
      </c>
      <c r="G237" s="2">
        <v>91.721182810541293</v>
      </c>
      <c r="H237" s="5" t="s">
        <v>6</v>
      </c>
    </row>
    <row r="238" spans="2:8" ht="14.25" customHeight="1" x14ac:dyDescent="0.3">
      <c r="B238" s="2">
        <v>82</v>
      </c>
      <c r="C238" s="2">
        <v>4.2500000000000003E-2</v>
      </c>
      <c r="D238" s="2">
        <v>11.768402659046499</v>
      </c>
      <c r="E238" s="2">
        <v>2.2586919702971402</v>
      </c>
      <c r="F238" s="2">
        <v>2.7109999999999999</v>
      </c>
      <c r="G238" s="2">
        <v>90.618810559756696</v>
      </c>
      <c r="H238" s="2" t="s">
        <v>16</v>
      </c>
    </row>
    <row r="239" spans="2:8" ht="14.25" customHeight="1" x14ac:dyDescent="0.3">
      <c r="B239" s="2">
        <v>83</v>
      </c>
      <c r="C239" s="2">
        <v>4.2500000000000003E-2</v>
      </c>
      <c r="D239" s="2">
        <v>1.6206483504934099E-4</v>
      </c>
      <c r="E239" s="15">
        <v>3.4514834290693299</v>
      </c>
      <c r="F239" s="2">
        <v>1.7769999999999999</v>
      </c>
      <c r="G239" s="2">
        <v>90.574822141806195</v>
      </c>
      <c r="H239" s="2" t="s">
        <v>17</v>
      </c>
    </row>
    <row r="240" spans="2:8" ht="14.25" customHeight="1" x14ac:dyDescent="0.3">
      <c r="B240" s="2">
        <v>84</v>
      </c>
      <c r="C240" s="2">
        <v>4.2500000000000003E-2</v>
      </c>
      <c r="D240" s="2">
        <v>-7.7846116133111298</v>
      </c>
      <c r="E240" s="2">
        <v>7.4691686908386398E-3</v>
      </c>
      <c r="F240" s="2">
        <v>0</v>
      </c>
      <c r="G240" s="2">
        <v>-6.3635482448911604</v>
      </c>
      <c r="H240" s="2" t="s">
        <v>18</v>
      </c>
    </row>
    <row r="241" spans="2:8" ht="14.25" customHeight="1" x14ac:dyDescent="0.3">
      <c r="B241" s="2">
        <v>85</v>
      </c>
      <c r="C241" s="2">
        <v>4.2500000000000003E-2</v>
      </c>
      <c r="D241" s="2">
        <v>4.1740316785106101E-4</v>
      </c>
      <c r="E241" s="2">
        <v>4.91040752759511</v>
      </c>
      <c r="F241" s="2">
        <v>0</v>
      </c>
      <c r="G241" s="2">
        <v>81.254812801504798</v>
      </c>
      <c r="H241" s="11" t="s">
        <v>27</v>
      </c>
    </row>
    <row r="242" spans="2:8" ht="14.25" customHeight="1" x14ac:dyDescent="0.3">
      <c r="B242" s="2">
        <v>86</v>
      </c>
      <c r="C242" s="2">
        <v>4.4999999999999998E-2</v>
      </c>
      <c r="D242" s="15">
        <v>5.7691610366319702E-5</v>
      </c>
      <c r="E242" s="2">
        <v>3.9989948848576899</v>
      </c>
      <c r="F242" s="2">
        <v>1.9359999999999999</v>
      </c>
      <c r="G242" s="2">
        <v>88.977396378391006</v>
      </c>
      <c r="H242" s="5" t="s">
        <v>6</v>
      </c>
    </row>
    <row r="243" spans="2:8" ht="14.25" customHeight="1" x14ac:dyDescent="0.3">
      <c r="B243" s="2">
        <v>87</v>
      </c>
      <c r="C243" s="2">
        <v>4.4999999999999998E-2</v>
      </c>
      <c r="D243" s="2">
        <v>11.7902524803623</v>
      </c>
      <c r="E243" s="2">
        <v>1.9958669097933801</v>
      </c>
      <c r="F243" s="2">
        <v>4.5170000000000003</v>
      </c>
      <c r="G243" s="2">
        <v>91.900122651024901</v>
      </c>
      <c r="H243" s="2" t="s">
        <v>16</v>
      </c>
    </row>
    <row r="244" spans="2:8" ht="14.25" customHeight="1" x14ac:dyDescent="0.3">
      <c r="B244" s="2">
        <v>88</v>
      </c>
      <c r="C244" s="2">
        <v>4.4999999999999998E-2</v>
      </c>
      <c r="D244" s="2">
        <v>3.69359600536476E-4</v>
      </c>
      <c r="E244" s="15">
        <v>3.7404975907307101</v>
      </c>
      <c r="F244" s="2">
        <v>2.6680000000000001</v>
      </c>
      <c r="G244" s="2">
        <v>89.6299462368994</v>
      </c>
      <c r="H244" s="2" t="s">
        <v>17</v>
      </c>
    </row>
    <row r="245" spans="2:8" ht="14.25" customHeight="1" x14ac:dyDescent="0.3">
      <c r="B245" s="2">
        <v>89</v>
      </c>
      <c r="C245" s="2">
        <v>4.4999999999999998E-2</v>
      </c>
      <c r="D245" s="2">
        <v>-6.21933630413813</v>
      </c>
      <c r="E245" s="2">
        <v>0.175491396769268</v>
      </c>
      <c r="F245" s="2">
        <v>0.63800000000000001</v>
      </c>
      <c r="G245" s="2">
        <v>-8.1610131003867004</v>
      </c>
      <c r="H245" s="2" t="s">
        <v>18</v>
      </c>
    </row>
    <row r="246" spans="2:8" ht="14.25" customHeight="1" x14ac:dyDescent="0.3">
      <c r="B246" s="2">
        <v>90</v>
      </c>
      <c r="C246" s="2">
        <v>4.4999999999999998E-2</v>
      </c>
      <c r="D246" s="2">
        <v>1.6312393327883799E-4</v>
      </c>
      <c r="E246" s="2">
        <v>5.2867005508437597</v>
      </c>
      <c r="F246" s="2">
        <v>0</v>
      </c>
      <c r="G246" s="2">
        <v>79.071676124822204</v>
      </c>
      <c r="H246" s="11" t="s">
        <v>27</v>
      </c>
    </row>
    <row r="247" spans="2:8" ht="14.25" customHeight="1" x14ac:dyDescent="0.3">
      <c r="B247" s="2">
        <v>91</v>
      </c>
      <c r="C247" s="2">
        <v>4.7500000000000001E-2</v>
      </c>
      <c r="D247" s="15">
        <v>5.4669998530407503E-5</v>
      </c>
      <c r="E247" s="2">
        <v>4.0791750736288099</v>
      </c>
      <c r="F247" s="2">
        <v>1.9510000000000001</v>
      </c>
      <c r="G247" s="2">
        <v>88.904622193387496</v>
      </c>
      <c r="H247" s="5" t="s">
        <v>6</v>
      </c>
    </row>
    <row r="248" spans="2:8" ht="14.25" customHeight="1" x14ac:dyDescent="0.3">
      <c r="B248" s="2">
        <v>92</v>
      </c>
      <c r="C248" s="2">
        <v>4.7500000000000001E-2</v>
      </c>
      <c r="D248" s="2">
        <v>11.7938632013753</v>
      </c>
      <c r="E248" s="2">
        <v>0.973965288962645</v>
      </c>
      <c r="F248" s="2">
        <v>6.1029999999999998</v>
      </c>
      <c r="G248" s="2">
        <v>79.116866496183604</v>
      </c>
      <c r="H248" s="2" t="s">
        <v>16</v>
      </c>
    </row>
    <row r="249" spans="2:8" ht="14.25" customHeight="1" x14ac:dyDescent="0.3">
      <c r="B249" s="2">
        <v>93</v>
      </c>
      <c r="C249" s="2">
        <v>4.7500000000000001E-2</v>
      </c>
      <c r="D249" s="2">
        <v>3.50016584558527E-4</v>
      </c>
      <c r="E249" s="15">
        <v>3.8259265512261602</v>
      </c>
      <c r="F249" s="2">
        <v>2.6850000000000001</v>
      </c>
      <c r="G249" s="2">
        <v>89.541584250052793</v>
      </c>
      <c r="H249" s="2" t="s">
        <v>17</v>
      </c>
    </row>
    <row r="250" spans="2:8" ht="14.25" customHeight="1" x14ac:dyDescent="0.3">
      <c r="B250" s="2">
        <v>94</v>
      </c>
      <c r="C250" s="2">
        <v>4.7500000000000001E-2</v>
      </c>
      <c r="D250" s="2">
        <v>-6.2321236395895001</v>
      </c>
      <c r="E250" s="2">
        <v>0.17414966268534399</v>
      </c>
      <c r="F250" s="2">
        <v>0.66800000000000004</v>
      </c>
      <c r="G250" s="2">
        <v>-8.2747002607074904</v>
      </c>
      <c r="H250" s="2" t="s">
        <v>18</v>
      </c>
    </row>
    <row r="251" spans="2:8" ht="14.25" customHeight="1" x14ac:dyDescent="0.3">
      <c r="B251" s="2">
        <v>95</v>
      </c>
      <c r="C251" s="2">
        <v>4.7500000000000001E-2</v>
      </c>
      <c r="D251" s="2">
        <v>3.7295101825286802E-4</v>
      </c>
      <c r="E251" s="2">
        <v>6.4875303413470098</v>
      </c>
      <c r="F251" s="2">
        <v>0</v>
      </c>
      <c r="G251" s="2">
        <v>76.527799857322293</v>
      </c>
      <c r="H251" s="11" t="s">
        <v>27</v>
      </c>
    </row>
    <row r="252" spans="2:8" ht="14.25" customHeight="1" x14ac:dyDescent="0.3">
      <c r="B252" s="2">
        <v>96</v>
      </c>
      <c r="C252" s="2">
        <v>0.05</v>
      </c>
      <c r="D252" s="15">
        <v>1.03957440842968E-5</v>
      </c>
      <c r="E252" s="2">
        <v>3.8965857028556501</v>
      </c>
      <c r="F252" s="2">
        <v>2.742</v>
      </c>
      <c r="G252" s="2">
        <v>88.936231812536704</v>
      </c>
      <c r="H252" s="5" t="s">
        <v>6</v>
      </c>
    </row>
    <row r="253" spans="2:8" ht="14.25" customHeight="1" x14ac:dyDescent="0.3">
      <c r="B253" s="2">
        <v>97</v>
      </c>
      <c r="C253" s="2">
        <v>0.05</v>
      </c>
      <c r="D253" s="2">
        <v>11.824403248282</v>
      </c>
      <c r="E253" s="2">
        <v>1.04724748945568</v>
      </c>
      <c r="F253" s="2">
        <v>6.093</v>
      </c>
      <c r="G253" s="2">
        <v>80.180734452250903</v>
      </c>
      <c r="H253" s="2" t="s">
        <v>16</v>
      </c>
    </row>
    <row r="254" spans="2:8" ht="14.25" customHeight="1" x14ac:dyDescent="0.3">
      <c r="B254" s="2">
        <v>98</v>
      </c>
      <c r="C254" s="2">
        <v>0.05</v>
      </c>
      <c r="D254" s="15">
        <v>8.7628231585925399E-5</v>
      </c>
      <c r="E254" s="15">
        <v>3.4364424911586702</v>
      </c>
      <c r="F254" s="2">
        <v>3.6709999999999998</v>
      </c>
      <c r="G254" s="2">
        <v>90.292839330411795</v>
      </c>
      <c r="H254" s="2" t="s">
        <v>17</v>
      </c>
    </row>
    <row r="255" spans="2:8" ht="14.25" customHeight="1" x14ac:dyDescent="0.3">
      <c r="B255" s="2">
        <v>99</v>
      </c>
      <c r="C255" s="2">
        <v>0.05</v>
      </c>
      <c r="D255" s="2">
        <v>-6.2469277985126102</v>
      </c>
      <c r="E255" s="2">
        <v>0.16981157337417699</v>
      </c>
      <c r="F255" s="2">
        <v>0.71499999999999997</v>
      </c>
      <c r="G255" s="2">
        <v>-8.4517952259064195</v>
      </c>
      <c r="H255" s="2" t="s">
        <v>18</v>
      </c>
    </row>
    <row r="256" spans="2:8" ht="14.25" customHeight="1" x14ac:dyDescent="0.3">
      <c r="B256" s="2">
        <v>100</v>
      </c>
      <c r="C256" s="2">
        <v>0.05</v>
      </c>
      <c r="D256" s="2">
        <v>3.5346391743910801E-4</v>
      </c>
      <c r="E256" s="2">
        <v>6.5937965784371704</v>
      </c>
      <c r="F256" s="2">
        <v>0</v>
      </c>
      <c r="G256" s="2">
        <v>76.491114668307901</v>
      </c>
      <c r="H256" s="11" t="s">
        <v>27</v>
      </c>
    </row>
    <row r="257" spans="2:8" ht="14.25" customHeight="1" x14ac:dyDescent="0.3">
      <c r="B257" s="2">
        <v>101</v>
      </c>
      <c r="C257" s="2">
        <v>5.2499999999999998E-2</v>
      </c>
      <c r="D257" s="15">
        <v>4.9438175997527699E-5</v>
      </c>
      <c r="E257" s="2">
        <v>3.9800142146134898</v>
      </c>
      <c r="F257" s="2">
        <v>2.544</v>
      </c>
      <c r="G257" s="2">
        <v>88.627190294120197</v>
      </c>
      <c r="H257" s="5" t="s">
        <v>6</v>
      </c>
    </row>
    <row r="258" spans="2:8" ht="14.25" customHeight="1" x14ac:dyDescent="0.3">
      <c r="B258" s="2">
        <v>102</v>
      </c>
      <c r="C258" s="2">
        <v>5.2499999999999998E-2</v>
      </c>
      <c r="D258" s="2">
        <v>11.852823258928501</v>
      </c>
      <c r="E258" s="2">
        <v>0.78328375626878199</v>
      </c>
      <c r="F258" s="2">
        <v>7.0990000000000002</v>
      </c>
      <c r="G258" s="2">
        <v>74.690949566197304</v>
      </c>
      <c r="H258" s="2" t="s">
        <v>16</v>
      </c>
    </row>
    <row r="259" spans="2:8" ht="14.25" customHeight="1" x14ac:dyDescent="0.3">
      <c r="B259" s="2">
        <v>103</v>
      </c>
      <c r="C259" s="2">
        <v>5.2499999999999998E-2</v>
      </c>
      <c r="D259" s="2">
        <v>3.1708046152648198E-4</v>
      </c>
      <c r="E259" s="15">
        <v>4.2511525581678304</v>
      </c>
      <c r="F259" s="2">
        <v>2.7639999999999998</v>
      </c>
      <c r="G259" s="2">
        <v>87.812606155438601</v>
      </c>
      <c r="H259" s="2" t="s">
        <v>17</v>
      </c>
    </row>
    <row r="260" spans="2:8" ht="14.25" customHeight="1" x14ac:dyDescent="0.3">
      <c r="B260" s="2">
        <v>104</v>
      </c>
      <c r="C260" s="2">
        <v>5.2499999999999998E-2</v>
      </c>
      <c r="D260" s="2">
        <v>-6.2907469744945201</v>
      </c>
      <c r="E260" s="2">
        <v>0.16056068462838899</v>
      </c>
      <c r="F260" s="2">
        <v>0.745</v>
      </c>
      <c r="G260" s="2">
        <v>-8.5812577005217605</v>
      </c>
      <c r="H260" s="2" t="s">
        <v>18</v>
      </c>
    </row>
    <row r="261" spans="2:8" ht="14.25" customHeight="1" x14ac:dyDescent="0.3">
      <c r="B261" s="2">
        <v>105</v>
      </c>
      <c r="C261" s="2">
        <v>5.2499999999999998E-2</v>
      </c>
      <c r="D261" s="15">
        <v>8.8834818376350597E-5</v>
      </c>
      <c r="E261" s="2">
        <v>7.2659919578777696</v>
      </c>
      <c r="F261" s="2">
        <v>0</v>
      </c>
      <c r="G261" s="2">
        <v>72.861145795634499</v>
      </c>
      <c r="H261" s="11" t="s">
        <v>27</v>
      </c>
    </row>
    <row r="262" spans="2:8" ht="14.25" customHeight="1" x14ac:dyDescent="0.3">
      <c r="B262" s="2">
        <v>106</v>
      </c>
      <c r="C262" s="2">
        <v>5.5E-2</v>
      </c>
      <c r="D262" s="15">
        <v>1.6043569353519401E-5</v>
      </c>
      <c r="E262" s="2">
        <v>4.2576371474399597</v>
      </c>
      <c r="F262" s="2">
        <v>2.7519999999999998</v>
      </c>
      <c r="G262" s="2">
        <v>87.616266492721905</v>
      </c>
      <c r="H262" s="5" t="s">
        <v>6</v>
      </c>
    </row>
    <row r="263" spans="2:8" ht="14.25" customHeight="1" x14ac:dyDescent="0.3">
      <c r="B263" s="2">
        <v>107</v>
      </c>
      <c r="C263" s="2">
        <v>5.5E-2</v>
      </c>
      <c r="D263" s="2">
        <v>11.883275941528</v>
      </c>
      <c r="E263" s="2">
        <v>0.84306752550485697</v>
      </c>
      <c r="F263" s="2">
        <v>7.0789999999999997</v>
      </c>
      <c r="G263" s="2">
        <v>75.740623736655394</v>
      </c>
      <c r="H263" s="2" t="s">
        <v>16</v>
      </c>
    </row>
    <row r="264" spans="2:8" ht="14.25" customHeight="1" x14ac:dyDescent="0.3">
      <c r="B264" s="2">
        <v>108</v>
      </c>
      <c r="C264" s="2">
        <v>5.5E-2</v>
      </c>
      <c r="D264" s="2">
        <v>1.2514182532466901E-4</v>
      </c>
      <c r="E264" s="15">
        <v>3.20888544736045</v>
      </c>
      <c r="F264" s="2">
        <v>4.33</v>
      </c>
      <c r="G264" s="2">
        <v>88.376108727391497</v>
      </c>
      <c r="H264" s="2" t="s">
        <v>17</v>
      </c>
    </row>
    <row r="265" spans="2:8" ht="14.25" customHeight="1" x14ac:dyDescent="0.3">
      <c r="B265" s="2">
        <v>109</v>
      </c>
      <c r="C265" s="2">
        <v>5.5E-2</v>
      </c>
      <c r="D265" s="2">
        <v>-8.6249060278909901</v>
      </c>
      <c r="E265" s="15">
        <v>4.2470020648205502E-5</v>
      </c>
      <c r="F265" s="2">
        <v>0</v>
      </c>
      <c r="G265" s="2">
        <v>-5.5093092708798697</v>
      </c>
      <c r="H265" s="2" t="s">
        <v>18</v>
      </c>
    </row>
    <row r="266" spans="2:8" ht="14.25" customHeight="1" x14ac:dyDescent="0.3">
      <c r="B266" s="2">
        <v>110</v>
      </c>
      <c r="C266" s="2">
        <v>5.5E-2</v>
      </c>
      <c r="D266" s="2">
        <v>3.2028841129625102E-4</v>
      </c>
      <c r="E266" s="2">
        <v>7.1027269587018198</v>
      </c>
      <c r="F266" s="2">
        <v>0</v>
      </c>
      <c r="G266" s="2">
        <v>75.803216960888605</v>
      </c>
      <c r="H266" s="11" t="s">
        <v>27</v>
      </c>
    </row>
    <row r="267" spans="2:8" ht="14.25" customHeight="1" x14ac:dyDescent="0.3">
      <c r="B267" s="2">
        <v>111</v>
      </c>
      <c r="C267" s="2">
        <v>5.7500000000000002E-2</v>
      </c>
      <c r="D267" s="15">
        <v>4.5125031123003201E-5</v>
      </c>
      <c r="E267" s="2">
        <v>3.8512513442306502</v>
      </c>
      <c r="F267" s="2">
        <v>2.544</v>
      </c>
      <c r="G267" s="2">
        <v>89.837435250317498</v>
      </c>
      <c r="H267" s="5" t="s">
        <v>6</v>
      </c>
    </row>
    <row r="268" spans="2:8" ht="14.25" customHeight="1" x14ac:dyDescent="0.3">
      <c r="B268" s="2">
        <v>112</v>
      </c>
      <c r="C268" s="2">
        <v>5.7500000000000002E-2</v>
      </c>
      <c r="D268" s="2">
        <v>11.9513894074835</v>
      </c>
      <c r="E268" s="2">
        <v>2.3523689739237299</v>
      </c>
      <c r="F268" s="2">
        <v>4.6559999999999997</v>
      </c>
      <c r="G268" s="2">
        <v>91.532826041206704</v>
      </c>
      <c r="H268" s="2" t="s">
        <v>16</v>
      </c>
    </row>
    <row r="269" spans="2:8" ht="14.25" customHeight="1" x14ac:dyDescent="0.3">
      <c r="B269" s="2">
        <v>113</v>
      </c>
      <c r="C269" s="2">
        <v>5.7500000000000002E-2</v>
      </c>
      <c r="D269" s="2">
        <v>2.8940850937520299E-4</v>
      </c>
      <c r="E269" s="15">
        <v>4.1312134967949197</v>
      </c>
      <c r="F269" s="2">
        <v>2.7509999999999999</v>
      </c>
      <c r="G269" s="2">
        <v>88.889556751374997</v>
      </c>
      <c r="H269" s="2" t="s">
        <v>17</v>
      </c>
    </row>
    <row r="270" spans="2:8" ht="14.25" customHeight="1" x14ac:dyDescent="0.3">
      <c r="B270" s="2">
        <v>114</v>
      </c>
      <c r="C270" s="2">
        <v>5.7500000000000002E-2</v>
      </c>
      <c r="D270" s="2">
        <v>-6.2937736926522501</v>
      </c>
      <c r="E270" s="2">
        <v>0.19167887066539199</v>
      </c>
      <c r="F270" s="2">
        <v>0.26100000000000001</v>
      </c>
      <c r="G270" s="2">
        <v>-7.8197335298391799</v>
      </c>
      <c r="H270" s="2" t="s">
        <v>18</v>
      </c>
    </row>
    <row r="271" spans="2:8" ht="14.25" customHeight="1" x14ac:dyDescent="0.3">
      <c r="B271" s="2">
        <v>115</v>
      </c>
      <c r="C271" s="2">
        <v>5.7500000000000002E-2</v>
      </c>
      <c r="D271" s="2">
        <v>1.2708436868698799E-4</v>
      </c>
      <c r="E271" s="2">
        <v>7.6137842811472396</v>
      </c>
      <c r="F271" s="2">
        <v>0</v>
      </c>
      <c r="G271" s="2">
        <v>73.258117078654706</v>
      </c>
      <c r="H271" s="11" t="s">
        <v>27</v>
      </c>
    </row>
    <row r="272" spans="2:8" ht="14.25" customHeight="1" x14ac:dyDescent="0.3">
      <c r="B272" s="2">
        <v>116</v>
      </c>
      <c r="C272" s="2">
        <v>0.06</v>
      </c>
      <c r="D272" s="15">
        <v>8.6664857382501793E-6</v>
      </c>
      <c r="E272" s="2">
        <v>4.1995896439068403</v>
      </c>
      <c r="F272" s="2">
        <v>2.806</v>
      </c>
      <c r="G272" s="2">
        <v>88.2980083354404</v>
      </c>
      <c r="H272" s="5" t="s">
        <v>6</v>
      </c>
    </row>
    <row r="273" spans="2:8" ht="14.25" customHeight="1" x14ac:dyDescent="0.3">
      <c r="B273" s="2">
        <v>117</v>
      </c>
      <c r="C273" s="2">
        <v>0.06</v>
      </c>
      <c r="D273" s="2">
        <v>11.9839388808536</v>
      </c>
      <c r="E273" s="2">
        <v>2.4201482336601701</v>
      </c>
      <c r="F273" s="2">
        <v>4.681</v>
      </c>
      <c r="G273" s="2">
        <v>91.422921316300503</v>
      </c>
      <c r="H273" s="2" t="s">
        <v>16</v>
      </c>
    </row>
    <row r="274" spans="2:8" ht="14.25" customHeight="1" x14ac:dyDescent="0.3">
      <c r="B274" s="2">
        <v>118</v>
      </c>
      <c r="C274" s="2">
        <v>0.06</v>
      </c>
      <c r="D274" s="15">
        <v>7.2976683111213998E-5</v>
      </c>
      <c r="E274" s="15">
        <v>3.7449969709424602</v>
      </c>
      <c r="F274" s="2">
        <v>3.754</v>
      </c>
      <c r="G274" s="2">
        <v>89.516180781558006</v>
      </c>
      <c r="H274" s="2" t="s">
        <v>17</v>
      </c>
    </row>
    <row r="275" spans="2:8" ht="14.25" customHeight="1" x14ac:dyDescent="0.3">
      <c r="B275" s="2">
        <v>119</v>
      </c>
      <c r="C275" s="2">
        <v>0.06</v>
      </c>
      <c r="D275" s="2">
        <v>-8.6364964396361792</v>
      </c>
      <c r="E275" s="2">
        <v>3.2890253079051498E-3</v>
      </c>
      <c r="F275" s="2">
        <v>0</v>
      </c>
      <c r="G275" s="2">
        <v>-5.4755503815114599</v>
      </c>
      <c r="H275" s="2" t="s">
        <v>18</v>
      </c>
    </row>
    <row r="276" spans="2:8" ht="14.25" customHeight="1" x14ac:dyDescent="0.3">
      <c r="B276" s="2">
        <v>120</v>
      </c>
      <c r="C276" s="2">
        <v>0.06</v>
      </c>
      <c r="D276" s="2">
        <v>2.9233433928209498E-4</v>
      </c>
      <c r="E276" s="2">
        <v>6.9765760394034197</v>
      </c>
      <c r="F276" s="2">
        <v>0</v>
      </c>
      <c r="G276" s="2">
        <v>76.175952651145494</v>
      </c>
      <c r="H276" s="11" t="s">
        <v>27</v>
      </c>
    </row>
    <row r="277" spans="2:8" ht="14.25" customHeight="1" x14ac:dyDescent="0.3">
      <c r="B277" s="2">
        <v>121</v>
      </c>
      <c r="C277" s="2">
        <v>6.25E-2</v>
      </c>
      <c r="D277" s="15">
        <v>4.1566122132720802E-5</v>
      </c>
      <c r="E277" s="2">
        <v>4.2444324025752298</v>
      </c>
      <c r="F277" s="2">
        <v>2.5990000000000002</v>
      </c>
      <c r="G277" s="2">
        <v>88.601683017606703</v>
      </c>
      <c r="H277" s="5" t="s">
        <v>6</v>
      </c>
    </row>
    <row r="278" spans="2:8" ht="14.25" customHeight="1" x14ac:dyDescent="0.3">
      <c r="B278" s="2">
        <v>122</v>
      </c>
      <c r="C278" s="2">
        <v>6.25E-2</v>
      </c>
      <c r="D278" s="2">
        <v>11.977107705374401</v>
      </c>
      <c r="E278" s="2">
        <v>1.0252672522453601</v>
      </c>
      <c r="F278" s="2">
        <v>7.0339999999999998</v>
      </c>
      <c r="G278" s="2">
        <v>78.526218739682307</v>
      </c>
      <c r="H278" s="2" t="s">
        <v>16</v>
      </c>
    </row>
    <row r="279" spans="2:8" ht="14.25" customHeight="1" x14ac:dyDescent="0.3">
      <c r="B279" s="2">
        <v>123</v>
      </c>
      <c r="C279" s="2">
        <v>6.25E-2</v>
      </c>
      <c r="D279" s="2">
        <v>2.6609073171318502E-4</v>
      </c>
      <c r="E279" s="15">
        <v>3.9570176329459201</v>
      </c>
      <c r="F279" s="2">
        <v>3.448</v>
      </c>
      <c r="G279" s="2">
        <v>88.177273222648395</v>
      </c>
      <c r="H279" s="2" t="s">
        <v>17</v>
      </c>
    </row>
    <row r="280" spans="2:8" ht="14.25" customHeight="1" x14ac:dyDescent="0.3">
      <c r="B280" s="2">
        <v>124</v>
      </c>
      <c r="C280" s="2">
        <v>6.25E-2</v>
      </c>
      <c r="D280" s="2">
        <v>-6.3171530761133203</v>
      </c>
      <c r="E280" s="2">
        <v>0.189037056781689</v>
      </c>
      <c r="F280" s="2">
        <v>0.54400000000000004</v>
      </c>
      <c r="G280" s="2">
        <v>-8.2920987699445696</v>
      </c>
      <c r="H280" s="2" t="s">
        <v>18</v>
      </c>
    </row>
    <row r="281" spans="2:8" ht="14.25" customHeight="1" x14ac:dyDescent="0.3">
      <c r="B281" s="2">
        <v>125</v>
      </c>
      <c r="C281" s="2">
        <v>6.25E-2</v>
      </c>
      <c r="D281" s="15">
        <v>7.4010078949284303E-5</v>
      </c>
      <c r="E281" s="2">
        <v>7.6804100402535402</v>
      </c>
      <c r="F281" s="2">
        <v>0</v>
      </c>
      <c r="G281" s="2">
        <v>72.472330074295897</v>
      </c>
      <c r="H281" s="11" t="s">
        <v>27</v>
      </c>
    </row>
    <row r="282" spans="2:8" ht="14.25" customHeight="1" x14ac:dyDescent="0.3">
      <c r="B282" s="2">
        <v>126</v>
      </c>
      <c r="C282" s="2">
        <v>6.5000000000000002E-2</v>
      </c>
      <c r="D282" s="15">
        <v>8.0004825255046393E-6</v>
      </c>
      <c r="E282" s="2">
        <v>4.3418009158623603</v>
      </c>
      <c r="F282" s="2">
        <v>2.835</v>
      </c>
      <c r="G282" s="2">
        <v>88.072112227595397</v>
      </c>
      <c r="H282" s="5" t="s">
        <v>6</v>
      </c>
    </row>
    <row r="283" spans="2:8" ht="14.25" customHeight="1" x14ac:dyDescent="0.3">
      <c r="B283" s="2">
        <v>127</v>
      </c>
      <c r="C283" s="2">
        <v>6.5000000000000002E-2</v>
      </c>
      <c r="D283" s="2">
        <v>12.0490571153485</v>
      </c>
      <c r="E283" s="2">
        <v>2.5517160676502</v>
      </c>
      <c r="F283" s="2">
        <v>4.7279999999999998</v>
      </c>
      <c r="G283" s="2">
        <v>91.191327259117998</v>
      </c>
      <c r="H283" s="2" t="s">
        <v>16</v>
      </c>
    </row>
    <row r="284" spans="2:8" ht="14.25" customHeight="1" x14ac:dyDescent="0.3">
      <c r="B284" s="2">
        <v>128</v>
      </c>
      <c r="C284" s="2">
        <v>6.5000000000000002E-2</v>
      </c>
      <c r="D284" s="15">
        <v>6.7333151441790505E-5</v>
      </c>
      <c r="E284" s="15">
        <v>3.8916754920041901</v>
      </c>
      <c r="F284" s="2">
        <v>3.79</v>
      </c>
      <c r="G284" s="2">
        <v>89.2420565478333</v>
      </c>
      <c r="H284" s="2" t="s">
        <v>17</v>
      </c>
    </row>
    <row r="285" spans="2:8" ht="14.25" customHeight="1" x14ac:dyDescent="0.3">
      <c r="B285" s="2">
        <v>129</v>
      </c>
      <c r="C285" s="2">
        <v>6.5000000000000002E-2</v>
      </c>
      <c r="D285" s="2">
        <v>-6.3255121876805704</v>
      </c>
      <c r="E285" s="2">
        <v>0.18445465082463</v>
      </c>
      <c r="F285" s="2">
        <v>0.57499999999999996</v>
      </c>
      <c r="G285" s="2">
        <v>-8.18291921557155</v>
      </c>
      <c r="H285" s="2" t="s">
        <v>18</v>
      </c>
    </row>
    <row r="286" spans="2:8" ht="14.25" customHeight="1" x14ac:dyDescent="0.3">
      <c r="B286" s="2">
        <v>130</v>
      </c>
      <c r="C286" s="2">
        <v>6.5000000000000002E-2</v>
      </c>
      <c r="D286" s="2">
        <v>2.6943139085852598E-4</v>
      </c>
      <c r="E286" s="2">
        <v>7.4717562985433696</v>
      </c>
      <c r="F286" s="2">
        <v>0</v>
      </c>
      <c r="G286" s="2">
        <v>75.665368636176197</v>
      </c>
      <c r="H286" s="11" t="s">
        <v>27</v>
      </c>
    </row>
    <row r="287" spans="2:8" ht="14.25" customHeight="1" x14ac:dyDescent="0.3">
      <c r="B287" s="2">
        <v>131</v>
      </c>
      <c r="C287" s="2">
        <v>6.7500000000000004E-2</v>
      </c>
      <c r="D287" s="15">
        <v>7.7126188889152796E-6</v>
      </c>
      <c r="E287" s="2">
        <v>4.6556774991547396</v>
      </c>
      <c r="F287" s="2">
        <v>2.9039999999999999</v>
      </c>
      <c r="G287" s="2">
        <v>86.883328524201403</v>
      </c>
      <c r="H287" s="5" t="s">
        <v>6</v>
      </c>
    </row>
    <row r="288" spans="2:8" ht="14.25" customHeight="1" x14ac:dyDescent="0.3">
      <c r="B288" s="2">
        <v>132</v>
      </c>
      <c r="C288" s="2">
        <v>6.7500000000000004E-2</v>
      </c>
      <c r="D288" s="2">
        <v>12.0406132196195</v>
      </c>
      <c r="E288" s="2">
        <v>1.1450937108366599</v>
      </c>
      <c r="F288" s="2">
        <v>7.0149999999999997</v>
      </c>
      <c r="G288" s="2">
        <v>80.094161464089595</v>
      </c>
      <c r="H288" s="2" t="s">
        <v>16</v>
      </c>
    </row>
    <row r="289" spans="2:8" ht="14.25" customHeight="1" x14ac:dyDescent="0.3">
      <c r="B289" s="2">
        <v>133</v>
      </c>
      <c r="C289" s="2">
        <v>6.7500000000000004E-2</v>
      </c>
      <c r="D289" s="15">
        <v>6.4758725407895894E-5</v>
      </c>
      <c r="E289" s="15">
        <v>3.5745745486470999</v>
      </c>
      <c r="F289" s="2">
        <v>4.5430000000000001</v>
      </c>
      <c r="G289" s="2">
        <v>89.290411806273298</v>
      </c>
      <c r="H289" s="2" t="s">
        <v>17</v>
      </c>
    </row>
    <row r="290" spans="2:8" ht="14.25" customHeight="1" x14ac:dyDescent="0.3">
      <c r="B290" s="2">
        <v>134</v>
      </c>
      <c r="C290" s="2">
        <v>6.7500000000000004E-2</v>
      </c>
      <c r="D290" s="2">
        <v>-8.8556375817795896</v>
      </c>
      <c r="E290" s="15">
        <v>1.1004239760753901E-5</v>
      </c>
      <c r="F290" s="2">
        <v>0</v>
      </c>
      <c r="G290" s="2">
        <v>-5.42492452274195</v>
      </c>
      <c r="H290" s="2" t="s">
        <v>18</v>
      </c>
    </row>
    <row r="291" spans="2:8" ht="14.25" customHeight="1" x14ac:dyDescent="0.3">
      <c r="B291" s="2">
        <v>135</v>
      </c>
      <c r="C291" s="2">
        <v>6.7500000000000004E-2</v>
      </c>
      <c r="D291" s="15">
        <v>6.82888481794095E-5</v>
      </c>
      <c r="E291" s="2">
        <v>7.8724542299333997</v>
      </c>
      <c r="F291" s="2">
        <v>0</v>
      </c>
      <c r="G291" s="2">
        <v>72.363999283765594</v>
      </c>
      <c r="H291" s="11" t="s">
        <v>27</v>
      </c>
    </row>
    <row r="292" spans="2:8" ht="14.25" customHeight="1" x14ac:dyDescent="0.3">
      <c r="B292" s="2">
        <v>136</v>
      </c>
      <c r="C292" s="2">
        <v>7.0000000000000007E-2</v>
      </c>
      <c r="D292" s="15">
        <v>1.2615482830762001E-5</v>
      </c>
      <c r="E292" s="2">
        <v>4.0701616008336599</v>
      </c>
      <c r="F292" s="2">
        <v>3.4630000000000001</v>
      </c>
      <c r="G292" s="2">
        <v>87.768400226458894</v>
      </c>
      <c r="H292" s="5" t="s">
        <v>6</v>
      </c>
    </row>
    <row r="293" spans="2:8" ht="14.25" customHeight="1" x14ac:dyDescent="0.3">
      <c r="B293" s="2">
        <v>137</v>
      </c>
      <c r="C293" s="2">
        <v>7.0000000000000007E-2</v>
      </c>
      <c r="D293" s="2">
        <v>12.072929480421401</v>
      </c>
      <c r="E293" s="2">
        <v>1.20349610486741</v>
      </c>
      <c r="F293" s="2">
        <v>7.0090000000000003</v>
      </c>
      <c r="G293" s="2">
        <v>80.798649406889496</v>
      </c>
      <c r="H293" s="2" t="s">
        <v>16</v>
      </c>
    </row>
    <row r="294" spans="2:8" ht="14.25" customHeight="1" x14ac:dyDescent="0.3">
      <c r="B294" s="2">
        <v>138</v>
      </c>
      <c r="C294" s="2">
        <v>7.0000000000000007E-2</v>
      </c>
      <c r="D294" s="15">
        <v>9.8495463318525701E-5</v>
      </c>
      <c r="E294" s="15">
        <v>3.6087384334062702</v>
      </c>
      <c r="F294" s="2">
        <v>4.4210000000000003</v>
      </c>
      <c r="G294" s="2">
        <v>88.552414890197994</v>
      </c>
      <c r="H294" s="2" t="s">
        <v>17</v>
      </c>
    </row>
    <row r="295" spans="2:8" ht="14.25" customHeight="1" x14ac:dyDescent="0.3">
      <c r="B295" s="2">
        <v>139</v>
      </c>
      <c r="C295" s="2">
        <v>7.0000000000000007E-2</v>
      </c>
      <c r="D295" s="2">
        <v>-6.3607190276153496</v>
      </c>
      <c r="E295" s="2">
        <v>0.18949055929098299</v>
      </c>
      <c r="F295" s="2">
        <v>0.45800000000000002</v>
      </c>
      <c r="G295" s="2">
        <v>-8.2526270900420897</v>
      </c>
      <c r="H295" s="2" t="s">
        <v>18</v>
      </c>
    </row>
    <row r="296" spans="2:8" ht="14.25" customHeight="1" x14ac:dyDescent="0.3">
      <c r="B296" s="2">
        <v>140</v>
      </c>
      <c r="C296" s="2">
        <v>7.0000000000000007E-2</v>
      </c>
      <c r="D296" s="15">
        <v>6.5880102348007496E-5</v>
      </c>
      <c r="E296" s="2">
        <v>8.3100667700167392</v>
      </c>
      <c r="F296" s="2">
        <v>0</v>
      </c>
      <c r="G296" s="2">
        <v>71.660965255571099</v>
      </c>
      <c r="H296" s="11" t="s">
        <v>27</v>
      </c>
    </row>
    <row r="297" spans="2:8" ht="14.25" customHeight="1" x14ac:dyDescent="0.3">
      <c r="B297" s="2">
        <v>141</v>
      </c>
      <c r="C297" s="2">
        <v>7.2499999999999995E-2</v>
      </c>
      <c r="D297" s="15">
        <v>7.1805555505670202E-6</v>
      </c>
      <c r="E297" s="2">
        <v>4.7829046104670097</v>
      </c>
      <c r="F297" s="2">
        <v>2.9319999999999999</v>
      </c>
      <c r="G297" s="2">
        <v>86.762197973151203</v>
      </c>
      <c r="H297" s="5" t="s">
        <v>6</v>
      </c>
    </row>
    <row r="298" spans="2:8" ht="14.25" customHeight="1" x14ac:dyDescent="0.3">
      <c r="B298" s="2">
        <v>142</v>
      </c>
      <c r="C298" s="2">
        <v>7.2499999999999995E-2</v>
      </c>
      <c r="D298" s="2">
        <v>12.1054967347927</v>
      </c>
      <c r="E298" s="2">
        <v>1.2610565672398999</v>
      </c>
      <c r="F298" s="2">
        <v>7.0039999999999996</v>
      </c>
      <c r="G298" s="2">
        <v>81.475632059165406</v>
      </c>
      <c r="H298" s="2" t="s">
        <v>16</v>
      </c>
    </row>
    <row r="299" spans="2:8" ht="14.25" customHeight="1" x14ac:dyDescent="0.3">
      <c r="B299" s="2">
        <v>143</v>
      </c>
      <c r="C299" s="2">
        <v>7.2499999999999995E-2</v>
      </c>
      <c r="D299" s="15">
        <v>6.0257810126038799E-5</v>
      </c>
      <c r="E299" s="15">
        <v>3.70622215125355</v>
      </c>
      <c r="F299" s="2">
        <v>4.5730000000000004</v>
      </c>
      <c r="G299" s="2">
        <v>89.239566366015396</v>
      </c>
      <c r="H299" s="2" t="s">
        <v>17</v>
      </c>
    </row>
    <row r="300" spans="2:8" ht="14.25" customHeight="1" x14ac:dyDescent="0.3">
      <c r="B300" s="2">
        <v>144</v>
      </c>
      <c r="C300" s="2">
        <v>7.2499999999999995E-2</v>
      </c>
      <c r="D300" s="2">
        <v>-6.3696708835365499</v>
      </c>
      <c r="E300" s="15">
        <v>0.182381749733322</v>
      </c>
      <c r="F300" s="2">
        <v>0.60899999999999999</v>
      </c>
      <c r="G300" s="2">
        <v>-8.4642733562870802</v>
      </c>
      <c r="H300" s="2" t="s">
        <v>18</v>
      </c>
    </row>
    <row r="301" spans="2:8" ht="14.25" customHeight="1" x14ac:dyDescent="0.3">
      <c r="B301" s="2">
        <v>145</v>
      </c>
      <c r="C301" s="2">
        <v>7.2499999999999995E-2</v>
      </c>
      <c r="D301" s="2">
        <v>1.00122399780631E-4</v>
      </c>
      <c r="E301" s="2">
        <v>8.16130194665282</v>
      </c>
      <c r="F301" s="2">
        <v>0</v>
      </c>
      <c r="G301" s="2">
        <v>72.815133913575295</v>
      </c>
      <c r="H301" s="11" t="s">
        <v>27</v>
      </c>
    </row>
    <row r="302" spans="2:8" ht="14.25" customHeight="1" x14ac:dyDescent="0.3">
      <c r="B302" s="2">
        <v>146</v>
      </c>
      <c r="C302" s="2">
        <v>7.4999999999999997E-2</v>
      </c>
      <c r="D302" s="15">
        <v>1.17944347660173E-5</v>
      </c>
      <c r="E302" s="2">
        <v>4.5075437308553603</v>
      </c>
      <c r="F302" s="2">
        <v>2.819</v>
      </c>
      <c r="G302" s="2">
        <v>87.9458301050458</v>
      </c>
      <c r="H302" s="5" t="s">
        <v>6</v>
      </c>
    </row>
    <row r="303" spans="2:8" ht="14.25" customHeight="1" x14ac:dyDescent="0.3">
      <c r="B303" s="2">
        <v>147</v>
      </c>
      <c r="C303" s="2">
        <v>7.4999999999999997E-2</v>
      </c>
      <c r="D303" s="2">
        <v>12.1829816664223</v>
      </c>
      <c r="E303" s="2">
        <v>2.7811971300644198</v>
      </c>
      <c r="F303" s="2">
        <v>4.8170000000000002</v>
      </c>
      <c r="G303" s="2">
        <v>90.559589220427796</v>
      </c>
      <c r="H303" s="2" t="s">
        <v>16</v>
      </c>
    </row>
    <row r="304" spans="2:8" ht="14.25" customHeight="1" x14ac:dyDescent="0.3">
      <c r="B304" s="2">
        <v>148</v>
      </c>
      <c r="C304" s="2">
        <v>7.4999999999999997E-2</v>
      </c>
      <c r="D304" s="15">
        <v>9.1920070318347595E-5</v>
      </c>
      <c r="E304" s="15">
        <v>3.5932546948161499</v>
      </c>
      <c r="F304" s="2">
        <v>4.2699999999999996</v>
      </c>
      <c r="G304" s="2">
        <v>88.525878376775594</v>
      </c>
      <c r="H304" s="2" t="s">
        <v>17</v>
      </c>
    </row>
    <row r="305" spans="2:8" ht="14.25" customHeight="1" x14ac:dyDescent="0.3">
      <c r="B305" s="2">
        <v>149</v>
      </c>
      <c r="C305" s="2">
        <v>7.4999999999999997E-2</v>
      </c>
      <c r="D305" s="2">
        <v>-6.46906564010105</v>
      </c>
      <c r="E305" s="2">
        <v>0.133118982511678</v>
      </c>
      <c r="F305" s="2">
        <v>0.79800000000000004</v>
      </c>
      <c r="G305" s="2">
        <v>-8.5991952023404004</v>
      </c>
      <c r="H305" s="2" t="s">
        <v>18</v>
      </c>
    </row>
    <row r="306" spans="2:8" ht="14.25" customHeight="1" x14ac:dyDescent="0.3">
      <c r="B306" s="2">
        <v>150</v>
      </c>
      <c r="C306" s="2">
        <v>7.4999999999999997E-2</v>
      </c>
      <c r="D306" s="15">
        <v>6.1303919842205096E-5</v>
      </c>
      <c r="E306" s="2">
        <v>8.4876228566822505</v>
      </c>
      <c r="F306" s="2">
        <v>0</v>
      </c>
      <c r="G306" s="2">
        <v>71.610156651841294</v>
      </c>
      <c r="H306" s="11" t="s">
        <v>27</v>
      </c>
    </row>
    <row r="307" spans="2:8" ht="14.25" customHeight="1" x14ac:dyDescent="0.3"/>
    <row r="308" spans="2:8" ht="14.25" customHeight="1" x14ac:dyDescent="0.3"/>
    <row r="309" spans="2:8" ht="14.25" customHeight="1" x14ac:dyDescent="0.3"/>
    <row r="310" spans="2:8" ht="14.25" customHeight="1" x14ac:dyDescent="0.3"/>
    <row r="311" spans="2:8" ht="14.25" customHeight="1" x14ac:dyDescent="0.3"/>
    <row r="312" spans="2:8" ht="14.25" customHeight="1" x14ac:dyDescent="0.3"/>
    <row r="313" spans="2:8" ht="14.25" customHeight="1" x14ac:dyDescent="0.3"/>
    <row r="314" spans="2:8" ht="14.25" customHeight="1" x14ac:dyDescent="0.3"/>
    <row r="315" spans="2:8" ht="14.25" customHeight="1" x14ac:dyDescent="0.3"/>
    <row r="316" spans="2:8" ht="14.25" customHeight="1" x14ac:dyDescent="0.3"/>
    <row r="317" spans="2:8" ht="14.25" customHeight="1" x14ac:dyDescent="0.3"/>
    <row r="318" spans="2:8" ht="14.25" customHeight="1" x14ac:dyDescent="0.3"/>
    <row r="319" spans="2:8" ht="14.25" customHeight="1" x14ac:dyDescent="0.3"/>
    <row r="320" spans="2:8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4">
    <mergeCell ref="B1:H1"/>
    <mergeCell ref="J1:O1"/>
    <mergeCell ref="Q1:V1"/>
    <mergeCell ref="B155:H155"/>
  </mergeCells>
  <conditionalFormatting sqref="G3:G10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57:G30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8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5E0B3"/>
  </sheetPr>
  <dimension ref="A1:S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9" ht="14.25" customHeight="1" x14ac:dyDescent="0.3">
      <c r="A1" s="2" t="s">
        <v>29</v>
      </c>
      <c r="D1" s="2" t="s">
        <v>30</v>
      </c>
      <c r="G1" s="2" t="s">
        <v>31</v>
      </c>
      <c r="K1" s="2" t="s">
        <v>32</v>
      </c>
      <c r="N1" s="2" t="s">
        <v>33</v>
      </c>
      <c r="Q1" s="2" t="s">
        <v>34</v>
      </c>
    </row>
    <row r="2" spans="1:19" ht="14.25" customHeight="1" x14ac:dyDescent="0.3">
      <c r="A2" s="2">
        <v>1</v>
      </c>
      <c r="B2" s="2" t="b">
        <f>'Variar Nominales h112'!$G3&gt;80</f>
        <v>0</v>
      </c>
      <c r="C2" s="2" t="b">
        <f>'Variar Nominales h112'!$N3&gt;80</f>
        <v>0</v>
      </c>
      <c r="E2" s="2" t="b">
        <f>'Variar Nominales h211'!$G3&gt;80</f>
        <v>1</v>
      </c>
      <c r="F2" s="2" t="b">
        <f>'Variar Nominales h211'!$N3&gt;80</f>
        <v>0</v>
      </c>
      <c r="H2" s="2" t="b">
        <f>'Variar Nominales h222'!$G3&gt;80</f>
        <v>1</v>
      </c>
      <c r="I2" s="2" t="b">
        <f>'Variar Nominales h222'!$N3&gt;80</f>
        <v>0</v>
      </c>
      <c r="K2" s="2">
        <v>1</v>
      </c>
      <c r="L2" s="2" t="b">
        <f>'Variar Nominales c112'!$G3&gt;80</f>
        <v>1</v>
      </c>
      <c r="M2" s="2" t="b">
        <f>'Variar Nominales c112'!$N3&gt;80</f>
        <v>0</v>
      </c>
      <c r="O2" s="2" t="b">
        <f>'Variar Nominales c211'!$G3&gt;80</f>
        <v>1</v>
      </c>
      <c r="P2" s="2" t="b">
        <f>'Variar Nominales c211'!$N3&gt;80</f>
        <v>0</v>
      </c>
      <c r="R2" s="2" t="b">
        <f>'Variar Nominales c222'!$G3&gt;80</f>
        <v>1</v>
      </c>
      <c r="S2" s="2" t="b">
        <f>'Variar Nominales c222'!$N3&gt;80</f>
        <v>0</v>
      </c>
    </row>
    <row r="3" spans="1:19" ht="14.25" customHeight="1" x14ac:dyDescent="0.3">
      <c r="A3" s="2">
        <v>2</v>
      </c>
      <c r="B3" s="2" t="b">
        <f>'Variar Nominales h112'!$G4&gt;80</f>
        <v>1</v>
      </c>
      <c r="C3" s="2" t="b">
        <f>'Variar Nominales h112'!$N4&gt;80</f>
        <v>1</v>
      </c>
      <c r="E3" s="2" t="b">
        <f>'Variar Nominales h211'!$G4&gt;80</f>
        <v>0</v>
      </c>
      <c r="F3" s="2" t="b">
        <f>'Variar Nominales h211'!$N4&gt;80</f>
        <v>0</v>
      </c>
      <c r="H3" s="2" t="b">
        <f>'Variar Nominales h222'!$G4&gt;80</f>
        <v>0</v>
      </c>
      <c r="I3" s="2" t="b">
        <f>'Variar Nominales h222'!$N4&gt;80</f>
        <v>0</v>
      </c>
      <c r="K3" s="2">
        <v>2</v>
      </c>
      <c r="L3" s="2" t="b">
        <f>'Variar Nominales c112'!$G4&gt;80</f>
        <v>0</v>
      </c>
      <c r="M3" s="2" t="b">
        <f>'Variar Nominales c112'!$N4&gt;80</f>
        <v>0</v>
      </c>
      <c r="O3" s="2" t="b">
        <f>'Variar Nominales c211'!$G4&gt;80</f>
        <v>1</v>
      </c>
      <c r="P3" s="2" t="b">
        <f>'Variar Nominales c211'!$N4&gt;80</f>
        <v>1</v>
      </c>
      <c r="R3" s="2" t="b">
        <f>'Variar Nominales c222'!$G4&gt;80</f>
        <v>1</v>
      </c>
      <c r="S3" s="2" t="b">
        <f>'Variar Nominales c222'!$N4&gt;80</f>
        <v>0</v>
      </c>
    </row>
    <row r="4" spans="1:19" ht="14.25" customHeight="1" x14ac:dyDescent="0.3">
      <c r="A4" s="2">
        <v>3</v>
      </c>
      <c r="B4" s="2" t="b">
        <f>'Variar Nominales h112'!$G5&gt;80</f>
        <v>1</v>
      </c>
      <c r="C4" s="2" t="b">
        <f>'Variar Nominales h112'!$N5&gt;80</f>
        <v>1</v>
      </c>
      <c r="E4" s="2" t="b">
        <f>'Variar Nominales h211'!$G5&gt;80</f>
        <v>1</v>
      </c>
      <c r="F4" s="2" t="b">
        <f>'Variar Nominales h211'!$N5&gt;80</f>
        <v>0</v>
      </c>
      <c r="H4" s="2" t="b">
        <f>'Variar Nominales h222'!$G5&gt;80</f>
        <v>1</v>
      </c>
      <c r="I4" s="2" t="b">
        <f>'Variar Nominales h222'!$N5&gt;80</f>
        <v>0</v>
      </c>
      <c r="K4" s="2">
        <v>3</v>
      </c>
      <c r="L4" s="2" t="b">
        <f>'Variar Nominales c112'!$G5&gt;80</f>
        <v>0</v>
      </c>
      <c r="M4" s="2" t="b">
        <f>'Variar Nominales c112'!$N5&gt;80</f>
        <v>0</v>
      </c>
      <c r="O4" s="2" t="b">
        <f>'Variar Nominales c211'!$G5&gt;80</f>
        <v>0</v>
      </c>
      <c r="P4" s="2" t="b">
        <f>'Variar Nominales c211'!$N5&gt;80</f>
        <v>0</v>
      </c>
      <c r="R4" s="2" t="b">
        <f>'Variar Nominales c222'!$G5&gt;80</f>
        <v>1</v>
      </c>
      <c r="S4" s="2" t="b">
        <f>'Variar Nominales c222'!$N5&gt;80</f>
        <v>0</v>
      </c>
    </row>
    <row r="5" spans="1:19" ht="14.25" customHeight="1" x14ac:dyDescent="0.3">
      <c r="A5" s="2">
        <v>4</v>
      </c>
      <c r="B5" s="2" t="b">
        <f>'Variar Nominales h112'!$G6&gt;80</f>
        <v>1</v>
      </c>
      <c r="C5" s="2" t="b">
        <f>'Variar Nominales h112'!$N6&gt;80</f>
        <v>1</v>
      </c>
      <c r="E5" s="2" t="b">
        <f>'Variar Nominales h211'!$G6&gt;80</f>
        <v>0</v>
      </c>
      <c r="F5" s="2" t="b">
        <f>'Variar Nominales h211'!$N6&gt;80</f>
        <v>0</v>
      </c>
      <c r="H5" s="2" t="b">
        <f>'Variar Nominales h222'!$G6&gt;80</f>
        <v>0</v>
      </c>
      <c r="I5" s="2" t="b">
        <f>'Variar Nominales h222'!$N6&gt;80</f>
        <v>0</v>
      </c>
      <c r="K5" s="2">
        <v>4</v>
      </c>
      <c r="L5" s="2" t="b">
        <f>'Variar Nominales c112'!$G6&gt;80</f>
        <v>0</v>
      </c>
      <c r="M5" s="2" t="b">
        <f>'Variar Nominales c112'!$N6&gt;80</f>
        <v>0</v>
      </c>
      <c r="O5" s="2" t="b">
        <f>'Variar Nominales c211'!$G6&gt;80</f>
        <v>1</v>
      </c>
      <c r="P5" s="2" t="b">
        <f>'Variar Nominales c211'!$N6&gt;80</f>
        <v>1</v>
      </c>
      <c r="R5" s="2" t="b">
        <f>'Variar Nominales c222'!$G6&gt;80</f>
        <v>0</v>
      </c>
      <c r="S5" s="2" t="b">
        <f>'Variar Nominales c222'!$N6&gt;80</f>
        <v>0</v>
      </c>
    </row>
    <row r="6" spans="1:19" ht="14.25" customHeight="1" x14ac:dyDescent="0.3">
      <c r="A6" s="2">
        <v>5</v>
      </c>
      <c r="B6" s="2" t="b">
        <f>'Variar Nominales h112'!$G7&gt;80</f>
        <v>1</v>
      </c>
      <c r="C6" s="2" t="b">
        <f>'Variar Nominales h112'!$N7&gt;80</f>
        <v>0</v>
      </c>
      <c r="E6" s="2" t="b">
        <f>'Variar Nominales h211'!$G7&gt;80</f>
        <v>1</v>
      </c>
      <c r="F6" s="2" t="b">
        <f>'Variar Nominales h211'!$N7&gt;80</f>
        <v>0</v>
      </c>
      <c r="H6" s="2" t="b">
        <f>'Variar Nominales h222'!$G7&gt;80</f>
        <v>1</v>
      </c>
      <c r="I6" s="2" t="b">
        <f>'Variar Nominales h222'!$N7&gt;80</f>
        <v>0</v>
      </c>
      <c r="K6" s="2">
        <v>5</v>
      </c>
      <c r="L6" s="2" t="b">
        <f>'Variar Nominales c112'!$G7&gt;80</f>
        <v>1</v>
      </c>
      <c r="M6" s="2" t="b">
        <f>'Variar Nominales c112'!$N7&gt;80</f>
        <v>0</v>
      </c>
      <c r="O6" s="2" t="b">
        <f>'Variar Nominales c211'!$G7&gt;80</f>
        <v>1</v>
      </c>
      <c r="P6" s="2" t="b">
        <f>'Variar Nominales c211'!$N7&gt;80</f>
        <v>0</v>
      </c>
      <c r="R6" s="2" t="b">
        <f>'Variar Nominales c222'!$G7&gt;80</f>
        <v>1</v>
      </c>
      <c r="S6" s="2" t="b">
        <f>'Variar Nominales c222'!$N7&gt;80</f>
        <v>0</v>
      </c>
    </row>
    <row r="7" spans="1:19" ht="14.25" customHeight="1" x14ac:dyDescent="0.3">
      <c r="A7" s="2">
        <v>6</v>
      </c>
      <c r="B7" s="2" t="b">
        <f>'Variar Nominales h112'!$G8&gt;80</f>
        <v>0</v>
      </c>
      <c r="C7" s="2" t="b">
        <f>'Variar Nominales h112'!$N8&gt;80</f>
        <v>1</v>
      </c>
      <c r="E7" s="2" t="b">
        <f>'Variar Nominales h211'!$G8&gt;80</f>
        <v>1</v>
      </c>
      <c r="F7" s="2" t="b">
        <f>'Variar Nominales h211'!$N8&gt;80</f>
        <v>0</v>
      </c>
      <c r="H7" s="2" t="b">
        <f>'Variar Nominales h222'!$G8&gt;80</f>
        <v>1</v>
      </c>
      <c r="I7" s="2" t="b">
        <f>'Variar Nominales h222'!$N8&gt;80</f>
        <v>0</v>
      </c>
      <c r="K7" s="2">
        <v>6</v>
      </c>
      <c r="L7" s="2" t="b">
        <f>'Variar Nominales c112'!$G8&gt;80</f>
        <v>1</v>
      </c>
      <c r="M7" s="2" t="b">
        <f>'Variar Nominales c112'!$N8&gt;80</f>
        <v>0</v>
      </c>
      <c r="O7" s="2" t="b">
        <f>'Variar Nominales c211'!$G8&gt;80</f>
        <v>1</v>
      </c>
      <c r="P7" s="2" t="b">
        <f>'Variar Nominales c211'!$N8&gt;80</f>
        <v>0</v>
      </c>
      <c r="R7" s="2" t="b">
        <f>'Variar Nominales c222'!$G8&gt;80</f>
        <v>1</v>
      </c>
      <c r="S7" s="2" t="b">
        <f>'Variar Nominales c222'!$N8&gt;80</f>
        <v>0</v>
      </c>
    </row>
    <row r="8" spans="1:19" ht="14.25" customHeight="1" x14ac:dyDescent="0.3">
      <c r="A8" s="2">
        <v>7</v>
      </c>
      <c r="B8" s="2" t="b">
        <f>'Variar Nominales h112'!$G9&gt;80</f>
        <v>1</v>
      </c>
      <c r="C8" s="2" t="b">
        <f>'Variar Nominales h112'!$N9&gt;80</f>
        <v>1</v>
      </c>
      <c r="E8" s="2" t="b">
        <f>'Variar Nominales h211'!$G9&gt;80</f>
        <v>0</v>
      </c>
      <c r="F8" s="2" t="b">
        <f>'Variar Nominales h211'!$N9&gt;80</f>
        <v>0</v>
      </c>
      <c r="H8" s="2" t="b">
        <f>'Variar Nominales h222'!$G9&gt;80</f>
        <v>0</v>
      </c>
      <c r="I8" s="2" t="b">
        <f>'Variar Nominales h222'!$N9&gt;80</f>
        <v>0</v>
      </c>
      <c r="K8" s="2">
        <v>7</v>
      </c>
      <c r="L8" s="2" t="b">
        <f>'Variar Nominales c112'!$G9&gt;80</f>
        <v>0</v>
      </c>
      <c r="M8" s="2" t="b">
        <f>'Variar Nominales c112'!$N9&gt;80</f>
        <v>0</v>
      </c>
      <c r="O8" s="2" t="b">
        <f>'Variar Nominales c211'!$G9&gt;80</f>
        <v>1</v>
      </c>
      <c r="P8" s="2" t="b">
        <f>'Variar Nominales c211'!$N9&gt;80</f>
        <v>0</v>
      </c>
      <c r="R8" s="2" t="b">
        <f>'Variar Nominales c222'!$G9&gt;80</f>
        <v>1</v>
      </c>
      <c r="S8" s="2" t="b">
        <f>'Variar Nominales c222'!$N9&gt;80</f>
        <v>0</v>
      </c>
    </row>
    <row r="9" spans="1:19" ht="14.25" customHeight="1" x14ac:dyDescent="0.3">
      <c r="A9" s="2">
        <v>8</v>
      </c>
      <c r="B9" s="2" t="b">
        <f>'Variar Nominales h112'!$G10&gt;80</f>
        <v>1</v>
      </c>
      <c r="C9" s="2" t="b">
        <f>'Variar Nominales h112'!$N10&gt;80</f>
        <v>1</v>
      </c>
      <c r="E9" s="2" t="b">
        <f>'Variar Nominales h211'!$G10&gt;80</f>
        <v>1</v>
      </c>
      <c r="F9" s="2" t="b">
        <f>'Variar Nominales h211'!$N10&gt;80</f>
        <v>0</v>
      </c>
      <c r="H9" s="2" t="b">
        <f>'Variar Nominales h222'!$G10&gt;80</f>
        <v>1</v>
      </c>
      <c r="I9" s="2" t="b">
        <f>'Variar Nominales h222'!$N10&gt;80</f>
        <v>0</v>
      </c>
      <c r="K9" s="2">
        <v>8</v>
      </c>
      <c r="L9" s="2" t="b">
        <f>'Variar Nominales c112'!$G10&gt;80</f>
        <v>0</v>
      </c>
      <c r="M9" s="2" t="b">
        <f>'Variar Nominales c112'!$N10&gt;80</f>
        <v>0</v>
      </c>
      <c r="O9" s="2" t="b">
        <f>'Variar Nominales c211'!$G10&gt;80</f>
        <v>0</v>
      </c>
      <c r="P9" s="2" t="b">
        <f>'Variar Nominales c211'!$N10&gt;80</f>
        <v>0</v>
      </c>
      <c r="R9" s="2" t="b">
        <f>'Variar Nominales c222'!$G10&gt;80</f>
        <v>1</v>
      </c>
      <c r="S9" s="2" t="b">
        <f>'Variar Nominales c222'!$N10&gt;80</f>
        <v>0</v>
      </c>
    </row>
    <row r="10" spans="1:19" ht="14.25" customHeight="1" x14ac:dyDescent="0.3">
      <c r="A10" s="2">
        <v>9</v>
      </c>
      <c r="B10" s="2" t="b">
        <f>'Variar Nominales h112'!$G11&gt;80</f>
        <v>1</v>
      </c>
      <c r="C10" s="2" t="b">
        <f>'Variar Nominales h112'!$N11&gt;80</f>
        <v>0</v>
      </c>
      <c r="E10" s="2" t="b">
        <f>'Variar Nominales h211'!$G11&gt;80</f>
        <v>0</v>
      </c>
      <c r="F10" s="2" t="b">
        <f>'Variar Nominales h211'!$N11&gt;80</f>
        <v>0</v>
      </c>
      <c r="H10" s="2" t="b">
        <f>'Variar Nominales h222'!$G11&gt;80</f>
        <v>0</v>
      </c>
      <c r="I10" s="2" t="b">
        <f>'Variar Nominales h222'!$N11&gt;80</f>
        <v>0</v>
      </c>
      <c r="K10" s="2">
        <v>9</v>
      </c>
      <c r="L10" s="2" t="b">
        <f>'Variar Nominales c112'!$G11&gt;80</f>
        <v>0</v>
      </c>
      <c r="M10" s="2" t="b">
        <f>'Variar Nominales c112'!$N11&gt;80</f>
        <v>0</v>
      </c>
      <c r="O10" s="2" t="b">
        <f>'Variar Nominales c211'!$G11&gt;80</f>
        <v>1</v>
      </c>
      <c r="P10" s="2" t="b">
        <f>'Variar Nominales c211'!$N11&gt;80</f>
        <v>0</v>
      </c>
      <c r="R10" s="2" t="b">
        <f>'Variar Nominales c222'!$G11&gt;80</f>
        <v>0</v>
      </c>
      <c r="S10" s="2" t="b">
        <f>'Variar Nominales c222'!$N11&gt;80</f>
        <v>0</v>
      </c>
    </row>
    <row r="11" spans="1:19" ht="14.25" customHeight="1" x14ac:dyDescent="0.3">
      <c r="A11" s="2">
        <v>10</v>
      </c>
      <c r="B11" s="2" t="b">
        <f>'Variar Nominales h112'!$G12&gt;80</f>
        <v>1</v>
      </c>
      <c r="C11" s="2" t="b">
        <f>'Variar Nominales h112'!$N12&gt;80</f>
        <v>1</v>
      </c>
      <c r="E11" s="2" t="b">
        <f>'Variar Nominales h211'!$G12&gt;80</f>
        <v>1</v>
      </c>
      <c r="F11" s="2" t="b">
        <f>'Variar Nominales h211'!$N12&gt;80</f>
        <v>0</v>
      </c>
      <c r="H11" s="2" t="b">
        <f>'Variar Nominales h222'!$G12&gt;80</f>
        <v>1</v>
      </c>
      <c r="I11" s="2" t="b">
        <f>'Variar Nominales h222'!$N12&gt;80</f>
        <v>0</v>
      </c>
      <c r="K11" s="2">
        <v>10</v>
      </c>
      <c r="L11" s="2" t="b">
        <f>'Variar Nominales c112'!$G12&gt;80</f>
        <v>1</v>
      </c>
      <c r="M11" s="2" t="b">
        <f>'Variar Nominales c112'!$N12&gt;80</f>
        <v>0</v>
      </c>
      <c r="O11" s="2" t="b">
        <f>'Variar Nominales c211'!$G12&gt;80</f>
        <v>1</v>
      </c>
      <c r="P11" s="2" t="b">
        <f>'Variar Nominales c211'!$N12&gt;80</f>
        <v>0</v>
      </c>
      <c r="R11" s="2" t="b">
        <f>'Variar Nominales c222'!$G12&gt;80</f>
        <v>1</v>
      </c>
      <c r="S11" s="2" t="b">
        <f>'Variar Nominales c222'!$N12&gt;80</f>
        <v>0</v>
      </c>
    </row>
    <row r="12" spans="1:19" ht="14.25" customHeight="1" x14ac:dyDescent="0.3">
      <c r="A12" s="2">
        <v>11</v>
      </c>
      <c r="B12" s="2" t="b">
        <f>'Variar Nominales h112'!$G13&gt;80</f>
        <v>0</v>
      </c>
      <c r="C12" s="2" t="b">
        <f>'Variar Nominales h112'!$N13&gt;80</f>
        <v>1</v>
      </c>
      <c r="E12" s="2" t="b">
        <f>'Variar Nominales h211'!$G13&gt;80</f>
        <v>1</v>
      </c>
      <c r="F12" s="2" t="b">
        <f>'Variar Nominales h211'!$N13&gt;80</f>
        <v>0</v>
      </c>
      <c r="H12" s="2" t="b">
        <f>'Variar Nominales h222'!$G13&gt;80</f>
        <v>1</v>
      </c>
      <c r="I12" s="2" t="b">
        <f>'Variar Nominales h222'!$N13&gt;80</f>
        <v>0</v>
      </c>
      <c r="K12" s="2">
        <v>11</v>
      </c>
      <c r="L12" s="2" t="b">
        <f>'Variar Nominales c112'!$G13&gt;80</f>
        <v>1</v>
      </c>
      <c r="M12" s="2" t="b">
        <f>'Variar Nominales c112'!$N13&gt;80</f>
        <v>0</v>
      </c>
      <c r="O12" s="2" t="b">
        <f>'Variar Nominales c211'!$G13&gt;80</f>
        <v>1</v>
      </c>
      <c r="P12" s="2" t="b">
        <f>'Variar Nominales c211'!$N13&gt;80</f>
        <v>0</v>
      </c>
      <c r="R12" s="2" t="b">
        <f>'Variar Nominales c222'!$G13&gt;80</f>
        <v>1</v>
      </c>
      <c r="S12" s="2" t="b">
        <f>'Variar Nominales c222'!$N13&gt;80</f>
        <v>0</v>
      </c>
    </row>
    <row r="13" spans="1:19" ht="14.25" customHeight="1" x14ac:dyDescent="0.3">
      <c r="A13" s="2">
        <v>12</v>
      </c>
      <c r="B13" s="2" t="b">
        <f>'Variar Nominales h112'!$G14&gt;80</f>
        <v>1</v>
      </c>
      <c r="C13" s="2" t="b">
        <f>'Variar Nominales h112'!$N14&gt;80</f>
        <v>1</v>
      </c>
      <c r="E13" s="2" t="b">
        <f>'Variar Nominales h211'!$G14&gt;80</f>
        <v>0</v>
      </c>
      <c r="F13" s="2" t="b">
        <f>'Variar Nominales h211'!$N14&gt;80</f>
        <v>0</v>
      </c>
      <c r="H13" s="2" t="b">
        <f>'Variar Nominales h222'!$G14&gt;80</f>
        <v>0</v>
      </c>
      <c r="I13" s="2" t="b">
        <f>'Variar Nominales h222'!$N14&gt;80</f>
        <v>0</v>
      </c>
      <c r="K13" s="2">
        <v>12</v>
      </c>
      <c r="L13" s="2" t="b">
        <f>'Variar Nominales c112'!$G14&gt;80</f>
        <v>0</v>
      </c>
      <c r="M13" s="2" t="b">
        <f>'Variar Nominales c112'!$N14&gt;80</f>
        <v>0</v>
      </c>
      <c r="O13" s="2" t="b">
        <f>'Variar Nominales c211'!$G14&gt;80</f>
        <v>1</v>
      </c>
      <c r="P13" s="2" t="b">
        <f>'Variar Nominales c211'!$N14&gt;80</f>
        <v>0</v>
      </c>
      <c r="R13" s="2" t="b">
        <f>'Variar Nominales c222'!$G14&gt;80</f>
        <v>1</v>
      </c>
      <c r="S13" s="2" t="b">
        <f>'Variar Nominales c222'!$N14&gt;80</f>
        <v>0</v>
      </c>
    </row>
    <row r="14" spans="1:19" ht="14.25" customHeight="1" x14ac:dyDescent="0.3">
      <c r="A14" s="2">
        <v>13</v>
      </c>
      <c r="B14" s="2" t="b">
        <f>'Variar Nominales h112'!$G15&gt;80</f>
        <v>1</v>
      </c>
      <c r="C14" s="2" t="b">
        <f>'Variar Nominales h112'!$N15&gt;80</f>
        <v>0</v>
      </c>
      <c r="E14" s="2" t="b">
        <f>'Variar Nominales h211'!$G15&gt;80</f>
        <v>1</v>
      </c>
      <c r="F14" s="2" t="b">
        <f>'Variar Nominales h211'!$N15&gt;80</f>
        <v>0</v>
      </c>
      <c r="H14" s="2" t="b">
        <f>'Variar Nominales h222'!$G15&gt;80</f>
        <v>1</v>
      </c>
      <c r="I14" s="2" t="b">
        <f>'Variar Nominales h222'!$N15&gt;80</f>
        <v>0</v>
      </c>
      <c r="K14" s="2">
        <v>13</v>
      </c>
      <c r="L14" s="2" t="b">
        <f>'Variar Nominales c112'!$G15&gt;80</f>
        <v>0</v>
      </c>
      <c r="M14" s="2" t="b">
        <f>'Variar Nominales c112'!$N15&gt;80</f>
        <v>0</v>
      </c>
      <c r="O14" s="2" t="b">
        <f>'Variar Nominales c211'!$G15&gt;80</f>
        <v>0</v>
      </c>
      <c r="P14" s="2" t="b">
        <f>'Variar Nominales c211'!$N15&gt;80</f>
        <v>0</v>
      </c>
      <c r="R14" s="2" t="b">
        <f>'Variar Nominales c222'!$G15&gt;80</f>
        <v>1</v>
      </c>
      <c r="S14" s="2" t="b">
        <f>'Variar Nominales c222'!$N15&gt;80</f>
        <v>0</v>
      </c>
    </row>
    <row r="15" spans="1:19" ht="14.25" customHeight="1" x14ac:dyDescent="0.3">
      <c r="A15" s="2">
        <v>14</v>
      </c>
      <c r="B15" s="2" t="b">
        <f>'Variar Nominales h112'!$G16&gt;80</f>
        <v>1</v>
      </c>
      <c r="C15" s="2" t="b">
        <f>'Variar Nominales h112'!$N16&gt;80</f>
        <v>1</v>
      </c>
      <c r="E15" s="2" t="b">
        <f>'Variar Nominales h211'!$G16&gt;80</f>
        <v>0</v>
      </c>
      <c r="F15" s="2" t="b">
        <f>'Variar Nominales h211'!$N16&gt;80</f>
        <v>0</v>
      </c>
      <c r="H15" s="2" t="b">
        <f>'Variar Nominales h222'!$G16&gt;80</f>
        <v>0</v>
      </c>
      <c r="I15" s="2" t="b">
        <f>'Variar Nominales h222'!$N16&gt;80</f>
        <v>0</v>
      </c>
      <c r="K15" s="2">
        <v>14</v>
      </c>
      <c r="L15" s="2" t="b">
        <f>'Variar Nominales c112'!$G16&gt;80</f>
        <v>0</v>
      </c>
      <c r="M15" s="2" t="b">
        <f>'Variar Nominales c112'!$N16&gt;80</f>
        <v>0</v>
      </c>
      <c r="O15" s="2" t="b">
        <f>'Variar Nominales c211'!$G16&gt;80</f>
        <v>1</v>
      </c>
      <c r="P15" s="2" t="b">
        <f>'Variar Nominales c211'!$N16&gt;80</f>
        <v>0</v>
      </c>
      <c r="R15" s="2" t="b">
        <f>'Variar Nominales c222'!$G16&gt;80</f>
        <v>0</v>
      </c>
      <c r="S15" s="2" t="b">
        <f>'Variar Nominales c222'!$N16&gt;80</f>
        <v>0</v>
      </c>
    </row>
    <row r="16" spans="1:19" ht="14.25" customHeight="1" x14ac:dyDescent="0.3">
      <c r="A16" s="2">
        <v>15</v>
      </c>
      <c r="B16" s="2" t="b">
        <f>'Variar Nominales h112'!$G17&gt;80</f>
        <v>1</v>
      </c>
      <c r="C16" s="2" t="b">
        <f>'Variar Nominales h112'!$N17&gt;80</f>
        <v>1</v>
      </c>
      <c r="E16" s="2" t="b">
        <f>'Variar Nominales h211'!$G17&gt;80</f>
        <v>1</v>
      </c>
      <c r="F16" s="2" t="b">
        <f>'Variar Nominales h211'!$N17&gt;80</f>
        <v>0</v>
      </c>
      <c r="H16" s="2" t="b">
        <f>'Variar Nominales h222'!$G17&gt;80</f>
        <v>1</v>
      </c>
      <c r="I16" s="2" t="b">
        <f>'Variar Nominales h222'!$N17&gt;80</f>
        <v>0</v>
      </c>
      <c r="K16" s="2">
        <v>15</v>
      </c>
      <c r="L16" s="2" t="b">
        <f>'Variar Nominales c112'!$G17&gt;80</f>
        <v>1</v>
      </c>
      <c r="M16" s="2" t="b">
        <f>'Variar Nominales c112'!$N17&gt;80</f>
        <v>0</v>
      </c>
      <c r="O16" s="2" t="b">
        <f>'Variar Nominales c211'!$G17&gt;80</f>
        <v>1</v>
      </c>
      <c r="P16" s="2" t="b">
        <f>'Variar Nominales c211'!$N17&gt;80</f>
        <v>0</v>
      </c>
      <c r="R16" s="2" t="b">
        <f>'Variar Nominales c222'!$G17&gt;80</f>
        <v>1</v>
      </c>
      <c r="S16" s="2" t="b">
        <f>'Variar Nominales c222'!$N17&gt;80</f>
        <v>0</v>
      </c>
    </row>
    <row r="17" spans="1:19" ht="14.25" customHeight="1" x14ac:dyDescent="0.3">
      <c r="A17" s="2">
        <v>16</v>
      </c>
      <c r="B17" s="2" t="b">
        <f>'Variar Nominales h112'!$G18&gt;80</f>
        <v>0</v>
      </c>
      <c r="C17" s="2" t="b">
        <f>'Variar Nominales h112'!$N18&gt;80</f>
        <v>1</v>
      </c>
      <c r="E17" s="2" t="b">
        <f>'Variar Nominales h211'!$G18&gt;80</f>
        <v>1</v>
      </c>
      <c r="F17" s="2" t="b">
        <f>'Variar Nominales h211'!$N18&gt;80</f>
        <v>0</v>
      </c>
      <c r="H17" s="2" t="b">
        <f>'Variar Nominales h222'!$G18&gt;80</f>
        <v>1</v>
      </c>
      <c r="I17" s="2" t="b">
        <f>'Variar Nominales h222'!$N18&gt;80</f>
        <v>0</v>
      </c>
      <c r="K17" s="2">
        <v>16</v>
      </c>
      <c r="L17" s="2" t="b">
        <f>'Variar Nominales c112'!$G18&gt;80</f>
        <v>1</v>
      </c>
      <c r="M17" s="2" t="b">
        <f>'Variar Nominales c112'!$N18&gt;80</f>
        <v>0</v>
      </c>
      <c r="O17" s="2" t="b">
        <f>'Variar Nominales c211'!$G18&gt;80</f>
        <v>1</v>
      </c>
      <c r="P17" s="2" t="b">
        <f>'Variar Nominales c211'!$N18&gt;80</f>
        <v>0</v>
      </c>
      <c r="R17" s="2" t="b">
        <f>'Variar Nominales c222'!$G18&gt;80</f>
        <v>1</v>
      </c>
      <c r="S17" s="2" t="b">
        <f>'Variar Nominales c222'!$N18&gt;80</f>
        <v>0</v>
      </c>
    </row>
    <row r="18" spans="1:19" ht="14.25" customHeight="1" x14ac:dyDescent="0.3">
      <c r="A18" s="2">
        <v>17</v>
      </c>
      <c r="B18" s="2" t="b">
        <f>'Variar Nominales h112'!$G19&gt;80</f>
        <v>1</v>
      </c>
      <c r="C18" s="2" t="b">
        <f>'Variar Nominales h112'!$N19&gt;80</f>
        <v>0</v>
      </c>
      <c r="E18" s="2" t="b">
        <f>'Variar Nominales h211'!$G19&gt;80</f>
        <v>0</v>
      </c>
      <c r="F18" s="2" t="b">
        <f>'Variar Nominales h211'!$N19&gt;80</f>
        <v>0</v>
      </c>
      <c r="H18" s="2" t="b">
        <f>'Variar Nominales h222'!$G19&gt;80</f>
        <v>0</v>
      </c>
      <c r="I18" s="2" t="b">
        <f>'Variar Nominales h222'!$N19&gt;80</f>
        <v>0</v>
      </c>
      <c r="K18" s="2">
        <v>17</v>
      </c>
      <c r="L18" s="2" t="b">
        <f>'Variar Nominales c112'!$G19&gt;80</f>
        <v>0</v>
      </c>
      <c r="M18" s="2" t="b">
        <f>'Variar Nominales c112'!$N19&gt;80</f>
        <v>0</v>
      </c>
      <c r="O18" s="2" t="b">
        <f>'Variar Nominales c211'!$G19&gt;80</f>
        <v>1</v>
      </c>
      <c r="P18" s="2" t="b">
        <f>'Variar Nominales c211'!$N19&gt;80</f>
        <v>0</v>
      </c>
      <c r="R18" s="2" t="b">
        <f>'Variar Nominales c222'!$G19&gt;80</f>
        <v>1</v>
      </c>
      <c r="S18" s="2" t="b">
        <f>'Variar Nominales c222'!$N19&gt;80</f>
        <v>0</v>
      </c>
    </row>
    <row r="19" spans="1:19" ht="14.25" customHeight="1" x14ac:dyDescent="0.3">
      <c r="A19" s="2">
        <v>18</v>
      </c>
      <c r="B19" s="2" t="b">
        <f>'Variar Nominales h112'!$G20&gt;80</f>
        <v>1</v>
      </c>
      <c r="C19" s="2" t="b">
        <f>'Variar Nominales h112'!$N20&gt;80</f>
        <v>1</v>
      </c>
      <c r="E19" s="2" t="b">
        <f>'Variar Nominales h211'!$G20&gt;80</f>
        <v>1</v>
      </c>
      <c r="F19" s="2" t="b">
        <f>'Variar Nominales h211'!$N20&gt;80</f>
        <v>0</v>
      </c>
      <c r="H19" s="2" t="b">
        <f>'Variar Nominales h222'!$G20&gt;80</f>
        <v>1</v>
      </c>
      <c r="I19" s="2" t="b">
        <f>'Variar Nominales h222'!$N20&gt;80</f>
        <v>0</v>
      </c>
      <c r="K19" s="2">
        <v>18</v>
      </c>
      <c r="L19" s="2" t="b">
        <f>'Variar Nominales c112'!$G20&gt;80</f>
        <v>0</v>
      </c>
      <c r="M19" s="2" t="b">
        <f>'Variar Nominales c112'!$N20&gt;80</f>
        <v>0</v>
      </c>
      <c r="O19" s="2" t="b">
        <f>'Variar Nominales c211'!$G20&gt;80</f>
        <v>0</v>
      </c>
      <c r="P19" s="2" t="b">
        <f>'Variar Nominales c211'!$N20&gt;80</f>
        <v>0</v>
      </c>
      <c r="R19" s="2" t="b">
        <f>'Variar Nominales c222'!$G20&gt;80</f>
        <v>1</v>
      </c>
      <c r="S19" s="2" t="b">
        <f>'Variar Nominales c222'!$N20&gt;80</f>
        <v>0</v>
      </c>
    </row>
    <row r="20" spans="1:19" ht="14.25" customHeight="1" x14ac:dyDescent="0.3">
      <c r="A20" s="2">
        <v>19</v>
      </c>
      <c r="B20" s="2" t="b">
        <f>'Variar Nominales h112'!$G21&gt;80</f>
        <v>1</v>
      </c>
      <c r="C20" s="2" t="b">
        <f>'Variar Nominales h112'!$N21&gt;80</f>
        <v>1</v>
      </c>
      <c r="E20" s="2" t="b">
        <f>'Variar Nominales h211'!$G21&gt;80</f>
        <v>0</v>
      </c>
      <c r="F20" s="2" t="b">
        <f>'Variar Nominales h211'!$N21&gt;80</f>
        <v>0</v>
      </c>
      <c r="H20" s="2" t="b">
        <f>'Variar Nominales h222'!$G21&gt;80</f>
        <v>0</v>
      </c>
      <c r="I20" s="2" t="b">
        <f>'Variar Nominales h222'!$N21&gt;80</f>
        <v>0</v>
      </c>
      <c r="K20" s="2">
        <v>19</v>
      </c>
      <c r="L20" s="2" t="b">
        <f>'Variar Nominales c112'!$G21&gt;80</f>
        <v>0</v>
      </c>
      <c r="M20" s="2" t="b">
        <f>'Variar Nominales c112'!$N21&gt;80</f>
        <v>0</v>
      </c>
      <c r="O20" s="2" t="b">
        <f>'Variar Nominales c211'!$G21&gt;80</f>
        <v>1</v>
      </c>
      <c r="P20" s="2" t="b">
        <f>'Variar Nominales c211'!$N21&gt;80</f>
        <v>0</v>
      </c>
      <c r="R20" s="2" t="b">
        <f>'Variar Nominales c222'!$G21&gt;80</f>
        <v>0</v>
      </c>
      <c r="S20" s="2" t="b">
        <f>'Variar Nominales c222'!$N21&gt;80</f>
        <v>0</v>
      </c>
    </row>
    <row r="21" spans="1:19" ht="14.25" customHeight="1" x14ac:dyDescent="0.3">
      <c r="A21" s="2">
        <v>20</v>
      </c>
      <c r="B21" s="2" t="b">
        <f>'Variar Nominales h112'!$G22&gt;80</f>
        <v>1</v>
      </c>
      <c r="C21" s="2" t="b">
        <f>'Variar Nominales h112'!$N22&gt;80</f>
        <v>1</v>
      </c>
      <c r="E21" s="2" t="b">
        <f>'Variar Nominales h211'!$G22&gt;80</f>
        <v>1</v>
      </c>
      <c r="F21" s="2" t="b">
        <f>'Variar Nominales h211'!$N22&gt;80</f>
        <v>0</v>
      </c>
      <c r="H21" s="2" t="b">
        <f>'Variar Nominales h222'!$G22&gt;80</f>
        <v>1</v>
      </c>
      <c r="I21" s="2" t="b">
        <f>'Variar Nominales h222'!$N22&gt;80</f>
        <v>0</v>
      </c>
      <c r="K21" s="2">
        <v>20</v>
      </c>
      <c r="L21" s="2" t="b">
        <f>'Variar Nominales c112'!$G22&gt;80</f>
        <v>1</v>
      </c>
      <c r="M21" s="2" t="b">
        <f>'Variar Nominales c112'!$N22&gt;80</f>
        <v>0</v>
      </c>
      <c r="O21" s="2" t="b">
        <f>'Variar Nominales c211'!$G22&gt;80</f>
        <v>1</v>
      </c>
      <c r="P21" s="2" t="b">
        <f>'Variar Nominales c211'!$N22&gt;80</f>
        <v>0</v>
      </c>
      <c r="R21" s="2" t="b">
        <f>'Variar Nominales c222'!$G22&gt;80</f>
        <v>1</v>
      </c>
      <c r="S21" s="2" t="b">
        <f>'Variar Nominales c222'!$N22&gt;80</f>
        <v>0</v>
      </c>
    </row>
    <row r="22" spans="1:19" ht="14.25" customHeight="1" x14ac:dyDescent="0.3">
      <c r="A22" s="2">
        <v>21</v>
      </c>
      <c r="B22" s="2" t="b">
        <f>'Variar Nominales h112'!$G23&gt;80</f>
        <v>0</v>
      </c>
      <c r="C22" s="2" t="b">
        <f>'Variar Nominales h112'!$N23&gt;80</f>
        <v>0</v>
      </c>
      <c r="E22" s="2" t="b">
        <f>'Variar Nominales h211'!$G23&gt;80</f>
        <v>1</v>
      </c>
      <c r="F22" s="2" t="b">
        <f>'Variar Nominales h211'!$N23&gt;80</f>
        <v>0</v>
      </c>
      <c r="H22" s="2" t="b">
        <f>'Variar Nominales h222'!$G23&gt;80</f>
        <v>1</v>
      </c>
      <c r="I22" s="2" t="b">
        <f>'Variar Nominales h222'!$N23&gt;80</f>
        <v>0</v>
      </c>
      <c r="K22" s="2">
        <v>21</v>
      </c>
      <c r="L22" s="2" t="b">
        <f>'Variar Nominales c112'!$G23&gt;80</f>
        <v>1</v>
      </c>
      <c r="M22" s="2" t="b">
        <f>'Variar Nominales c112'!$N23&gt;80</f>
        <v>0</v>
      </c>
      <c r="O22" s="2" t="b">
        <f>'Variar Nominales c211'!$G23&gt;80</f>
        <v>1</v>
      </c>
      <c r="P22" s="2" t="b">
        <f>'Variar Nominales c211'!$N23&gt;80</f>
        <v>0</v>
      </c>
      <c r="R22" s="2" t="b">
        <f>'Variar Nominales c222'!$G23&gt;80</f>
        <v>1</v>
      </c>
      <c r="S22" s="2" t="b">
        <f>'Variar Nominales c222'!$N23&gt;80</f>
        <v>0</v>
      </c>
    </row>
    <row r="23" spans="1:19" ht="14.25" customHeight="1" x14ac:dyDescent="0.3">
      <c r="A23" s="2">
        <v>22</v>
      </c>
      <c r="B23" s="2" t="b">
        <f>'Variar Nominales h112'!$G24&gt;80</f>
        <v>1</v>
      </c>
      <c r="C23" s="2" t="b">
        <f>'Variar Nominales h112'!$N24&gt;80</f>
        <v>1</v>
      </c>
      <c r="E23" s="2" t="b">
        <f>'Variar Nominales h211'!$G24&gt;80</f>
        <v>0</v>
      </c>
      <c r="F23" s="2" t="b">
        <f>'Variar Nominales h211'!$N24&gt;80</f>
        <v>0</v>
      </c>
      <c r="H23" s="2" t="b">
        <f>'Variar Nominales h222'!$G24&gt;80</f>
        <v>0</v>
      </c>
      <c r="I23" s="2" t="b">
        <f>'Variar Nominales h222'!$N24&gt;80</f>
        <v>0</v>
      </c>
      <c r="K23" s="2">
        <v>22</v>
      </c>
      <c r="L23" s="2" t="b">
        <f>'Variar Nominales c112'!$G24&gt;80</f>
        <v>0</v>
      </c>
      <c r="M23" s="2" t="b">
        <f>'Variar Nominales c112'!$N24&gt;80</f>
        <v>0</v>
      </c>
      <c r="O23" s="2" t="b">
        <f>'Variar Nominales c211'!$G24&gt;80</f>
        <v>1</v>
      </c>
      <c r="P23" s="2" t="b">
        <f>'Variar Nominales c211'!$N24&gt;80</f>
        <v>0</v>
      </c>
      <c r="R23" s="2" t="b">
        <f>'Variar Nominales c222'!$G24&gt;80</f>
        <v>1</v>
      </c>
      <c r="S23" s="2" t="b">
        <f>'Variar Nominales c222'!$N24&gt;80</f>
        <v>0</v>
      </c>
    </row>
    <row r="24" spans="1:19" ht="14.25" customHeight="1" x14ac:dyDescent="0.3">
      <c r="A24" s="2">
        <v>23</v>
      </c>
      <c r="B24" s="2" t="b">
        <f>'Variar Nominales h112'!$G25&gt;80</f>
        <v>1</v>
      </c>
      <c r="C24" s="2" t="b">
        <f>'Variar Nominales h112'!$N25&gt;80</f>
        <v>1</v>
      </c>
      <c r="E24" s="2" t="b">
        <f>'Variar Nominales h211'!$G25&gt;80</f>
        <v>1</v>
      </c>
      <c r="F24" s="2" t="b">
        <f>'Variar Nominales h211'!$N25&gt;80</f>
        <v>0</v>
      </c>
      <c r="H24" s="2" t="b">
        <f>'Variar Nominales h222'!$G25&gt;80</f>
        <v>1</v>
      </c>
      <c r="I24" s="2" t="b">
        <f>'Variar Nominales h222'!$N25&gt;80</f>
        <v>0</v>
      </c>
      <c r="K24" s="2">
        <v>23</v>
      </c>
      <c r="L24" s="2" t="b">
        <f>'Variar Nominales c112'!$G25&gt;80</f>
        <v>0</v>
      </c>
      <c r="M24" s="2" t="b">
        <f>'Variar Nominales c112'!$N25&gt;80</f>
        <v>0</v>
      </c>
      <c r="O24" s="2" t="b">
        <f>'Variar Nominales c211'!$G25&gt;80</f>
        <v>0</v>
      </c>
      <c r="P24" s="2" t="b">
        <f>'Variar Nominales c211'!$N25&gt;80</f>
        <v>0</v>
      </c>
      <c r="R24" s="2" t="b">
        <f>'Variar Nominales c222'!$G25&gt;80</f>
        <v>1</v>
      </c>
      <c r="S24" s="2" t="b">
        <f>'Variar Nominales c222'!$N25&gt;80</f>
        <v>0</v>
      </c>
    </row>
    <row r="25" spans="1:19" ht="14.25" customHeight="1" x14ac:dyDescent="0.3">
      <c r="A25" s="2">
        <v>24</v>
      </c>
      <c r="B25" s="2" t="b">
        <f>'Variar Nominales h112'!$G26&gt;80</f>
        <v>1</v>
      </c>
      <c r="C25" s="2" t="b">
        <f>'Variar Nominales h112'!$N26&gt;80</f>
        <v>1</v>
      </c>
      <c r="E25" s="2" t="b">
        <f>'Variar Nominales h211'!$G26&gt;80</f>
        <v>0</v>
      </c>
      <c r="F25" s="2" t="b">
        <f>'Variar Nominales h211'!$N26&gt;80</f>
        <v>0</v>
      </c>
      <c r="H25" s="2" t="b">
        <f>'Variar Nominales h222'!$G26&gt;80</f>
        <v>0</v>
      </c>
      <c r="I25" s="2" t="b">
        <f>'Variar Nominales h222'!$N26&gt;80</f>
        <v>0</v>
      </c>
      <c r="K25" s="2">
        <v>24</v>
      </c>
      <c r="L25" s="2" t="b">
        <f>'Variar Nominales c112'!$G26&gt;80</f>
        <v>0</v>
      </c>
      <c r="M25" s="2" t="b">
        <f>'Variar Nominales c112'!$N26&gt;80</f>
        <v>0</v>
      </c>
      <c r="O25" s="2" t="b">
        <f>'Variar Nominales c211'!$G26&gt;80</f>
        <v>1</v>
      </c>
      <c r="P25" s="2" t="b">
        <f>'Variar Nominales c211'!$N26&gt;80</f>
        <v>0</v>
      </c>
      <c r="R25" s="2" t="b">
        <f>'Variar Nominales c222'!$G26&gt;80</f>
        <v>0</v>
      </c>
      <c r="S25" s="2" t="b">
        <f>'Variar Nominales c222'!$N26&gt;80</f>
        <v>0</v>
      </c>
    </row>
    <row r="26" spans="1:19" ht="14.25" customHeight="1" x14ac:dyDescent="0.3">
      <c r="A26" s="2">
        <v>25</v>
      </c>
      <c r="B26" s="2" t="b">
        <f>'Variar Nominales h112'!$G27&gt;80</f>
        <v>1</v>
      </c>
      <c r="C26" s="2" t="b">
        <f>'Variar Nominales h112'!$N27&gt;80</f>
        <v>0</v>
      </c>
      <c r="E26" s="2" t="b">
        <f>'Variar Nominales h211'!$G27&gt;80</f>
        <v>1</v>
      </c>
      <c r="F26" s="2" t="b">
        <f>'Variar Nominales h211'!$N27&gt;80</f>
        <v>0</v>
      </c>
      <c r="H26" s="2" t="b">
        <f>'Variar Nominales h222'!$G27&gt;80</f>
        <v>1</v>
      </c>
      <c r="I26" s="2" t="b">
        <f>'Variar Nominales h222'!$N27&gt;80</f>
        <v>0</v>
      </c>
      <c r="K26" s="2">
        <v>25</v>
      </c>
      <c r="L26" s="2" t="b">
        <f>'Variar Nominales c112'!$G27&gt;80</f>
        <v>1</v>
      </c>
      <c r="M26" s="2" t="b">
        <f>'Variar Nominales c112'!$N27&gt;80</f>
        <v>0</v>
      </c>
      <c r="O26" s="2" t="b">
        <f>'Variar Nominales c211'!$G27&gt;80</f>
        <v>1</v>
      </c>
      <c r="P26" s="2" t="b">
        <f>'Variar Nominales c211'!$N27&gt;80</f>
        <v>0</v>
      </c>
      <c r="R26" s="2" t="b">
        <f>'Variar Nominales c222'!$G27&gt;80</f>
        <v>1</v>
      </c>
      <c r="S26" s="2" t="b">
        <f>'Variar Nominales c222'!$N27&gt;80</f>
        <v>0</v>
      </c>
    </row>
    <row r="27" spans="1:19" ht="14.25" customHeight="1" x14ac:dyDescent="0.3">
      <c r="A27" s="2">
        <v>26</v>
      </c>
      <c r="B27" s="2" t="b">
        <f>'Variar Nominales h112'!$G28&gt;80</f>
        <v>0</v>
      </c>
      <c r="C27" s="2" t="b">
        <f>'Variar Nominales h112'!$N28&gt;80</f>
        <v>1</v>
      </c>
      <c r="E27" s="2" t="b">
        <f>'Variar Nominales h211'!$G28&gt;80</f>
        <v>1</v>
      </c>
      <c r="F27" s="2" t="b">
        <f>'Variar Nominales h211'!$N28&gt;80</f>
        <v>0</v>
      </c>
      <c r="H27" s="2" t="b">
        <f>'Variar Nominales h222'!$G28&gt;80</f>
        <v>1</v>
      </c>
      <c r="I27" s="2" t="b">
        <f>'Variar Nominales h222'!$N28&gt;80</f>
        <v>0</v>
      </c>
      <c r="K27" s="2">
        <v>26</v>
      </c>
      <c r="L27" s="2" t="b">
        <f>'Variar Nominales c112'!$G28&gt;80</f>
        <v>1</v>
      </c>
      <c r="M27" s="2" t="b">
        <f>'Variar Nominales c112'!$N28&gt;80</f>
        <v>0</v>
      </c>
      <c r="O27" s="2" t="b">
        <f>'Variar Nominales c211'!$G28&gt;80</f>
        <v>1</v>
      </c>
      <c r="P27" s="2" t="b">
        <f>'Variar Nominales c211'!$N28&gt;80</f>
        <v>0</v>
      </c>
      <c r="R27" s="2" t="b">
        <f>'Variar Nominales c222'!$G28&gt;80</f>
        <v>1</v>
      </c>
      <c r="S27" s="2" t="b">
        <f>'Variar Nominales c222'!$N28&gt;80</f>
        <v>0</v>
      </c>
    </row>
    <row r="28" spans="1:19" ht="14.25" customHeight="1" x14ac:dyDescent="0.3">
      <c r="A28" s="2">
        <v>27</v>
      </c>
      <c r="B28" s="2" t="b">
        <f>'Variar Nominales h112'!$G29&gt;80</f>
        <v>1</v>
      </c>
      <c r="C28" s="2" t="b">
        <f>'Variar Nominales h112'!$N29&gt;80</f>
        <v>1</v>
      </c>
      <c r="E28" s="2" t="b">
        <f>'Variar Nominales h211'!$G29&gt;80</f>
        <v>0</v>
      </c>
      <c r="F28" s="2" t="b">
        <f>'Variar Nominales h211'!$N29&gt;80</f>
        <v>0</v>
      </c>
      <c r="H28" s="2" t="b">
        <f>'Variar Nominales h222'!$G29&gt;80</f>
        <v>0</v>
      </c>
      <c r="I28" s="2" t="b">
        <f>'Variar Nominales h222'!$N29&gt;80</f>
        <v>0</v>
      </c>
      <c r="K28" s="2">
        <v>27</v>
      </c>
      <c r="L28" s="2" t="b">
        <f>'Variar Nominales c112'!$G29&gt;80</f>
        <v>0</v>
      </c>
      <c r="M28" s="2" t="b">
        <f>'Variar Nominales c112'!$N29&gt;80</f>
        <v>0</v>
      </c>
      <c r="O28" s="2" t="b">
        <f>'Variar Nominales c211'!$G29&gt;80</f>
        <v>1</v>
      </c>
      <c r="P28" s="2" t="b">
        <f>'Variar Nominales c211'!$N29&gt;80</f>
        <v>0</v>
      </c>
      <c r="R28" s="2" t="b">
        <f>'Variar Nominales c222'!$G29&gt;80</f>
        <v>1</v>
      </c>
      <c r="S28" s="2" t="b">
        <f>'Variar Nominales c222'!$N29&gt;80</f>
        <v>0</v>
      </c>
    </row>
    <row r="29" spans="1:19" ht="14.25" customHeight="1" x14ac:dyDescent="0.3">
      <c r="A29" s="2">
        <v>28</v>
      </c>
      <c r="B29" s="2" t="b">
        <f>'Variar Nominales h112'!$G30&gt;80</f>
        <v>1</v>
      </c>
      <c r="C29" s="2" t="b">
        <f>'Variar Nominales h112'!$N30&gt;80</f>
        <v>1</v>
      </c>
      <c r="E29" s="2" t="b">
        <f>'Variar Nominales h211'!$G30&gt;80</f>
        <v>1</v>
      </c>
      <c r="F29" s="2" t="b">
        <f>'Variar Nominales h211'!$N30&gt;80</f>
        <v>0</v>
      </c>
      <c r="H29" s="2" t="b">
        <f>'Variar Nominales h222'!$G30&gt;80</f>
        <v>1</v>
      </c>
      <c r="I29" s="2" t="b">
        <f>'Variar Nominales h222'!$N30&gt;80</f>
        <v>0</v>
      </c>
      <c r="K29" s="2">
        <v>28</v>
      </c>
      <c r="L29" s="2" t="b">
        <f>'Variar Nominales c112'!$G30&gt;80</f>
        <v>0</v>
      </c>
      <c r="M29" s="2" t="b">
        <f>'Variar Nominales c112'!$N30&gt;80</f>
        <v>0</v>
      </c>
      <c r="O29" s="2" t="b">
        <f>'Variar Nominales c211'!$G30&gt;80</f>
        <v>0</v>
      </c>
      <c r="P29" s="2" t="b">
        <f>'Variar Nominales c211'!$N30&gt;80</f>
        <v>0</v>
      </c>
      <c r="R29" s="2" t="b">
        <f>'Variar Nominales c222'!$G30&gt;80</f>
        <v>1</v>
      </c>
      <c r="S29" s="2" t="b">
        <f>'Variar Nominales c222'!$N30&gt;80</f>
        <v>0</v>
      </c>
    </row>
    <row r="30" spans="1:19" ht="14.25" customHeight="1" x14ac:dyDescent="0.3">
      <c r="A30" s="2">
        <v>29</v>
      </c>
      <c r="B30" s="2" t="b">
        <f>'Variar Nominales h112'!$G31&gt;80</f>
        <v>1</v>
      </c>
      <c r="C30" s="2" t="b">
        <f>'Variar Nominales h112'!$N31&gt;80</f>
        <v>0</v>
      </c>
      <c r="E30" s="2" t="b">
        <f>'Variar Nominales h211'!$G31&gt;80</f>
        <v>0</v>
      </c>
      <c r="F30" s="2" t="b">
        <f>'Variar Nominales h211'!$N31&gt;80</f>
        <v>0</v>
      </c>
      <c r="H30" s="2" t="b">
        <f>'Variar Nominales h222'!$G31&gt;80</f>
        <v>0</v>
      </c>
      <c r="I30" s="2" t="b">
        <f>'Variar Nominales h222'!$N31&gt;80</f>
        <v>0</v>
      </c>
      <c r="K30" s="2">
        <v>29</v>
      </c>
      <c r="L30" s="2" t="b">
        <f>'Variar Nominales c112'!$G31&gt;80</f>
        <v>0</v>
      </c>
      <c r="M30" s="2" t="b">
        <f>'Variar Nominales c112'!$N31&gt;80</f>
        <v>0</v>
      </c>
      <c r="O30" s="2" t="b">
        <f>'Variar Nominales c211'!$G31&gt;80</f>
        <v>1</v>
      </c>
      <c r="P30" s="2" t="b">
        <f>'Variar Nominales c211'!$N31&gt;80</f>
        <v>0</v>
      </c>
      <c r="R30" s="2" t="b">
        <f>'Variar Nominales c222'!$G31&gt;80</f>
        <v>0</v>
      </c>
      <c r="S30" s="2" t="b">
        <f>'Variar Nominales c222'!$N31&gt;80</f>
        <v>0</v>
      </c>
    </row>
    <row r="31" spans="1:19" ht="14.25" customHeight="1" x14ac:dyDescent="0.3">
      <c r="A31" s="2">
        <v>30</v>
      </c>
      <c r="B31" s="2" t="b">
        <f>'Variar Nominales h112'!$G32&gt;80</f>
        <v>1</v>
      </c>
      <c r="C31" s="2" t="b">
        <f>'Variar Nominales h112'!$N32&gt;80</f>
        <v>1</v>
      </c>
      <c r="E31" s="2" t="b">
        <f>'Variar Nominales h211'!$G32&gt;80</f>
        <v>1</v>
      </c>
      <c r="F31" s="2" t="b">
        <f>'Variar Nominales h211'!$N32&gt;80</f>
        <v>0</v>
      </c>
      <c r="H31" s="2" t="b">
        <f>'Variar Nominales h222'!$G32&gt;80</f>
        <v>1</v>
      </c>
      <c r="I31" s="2" t="b">
        <f>'Variar Nominales h222'!$N32&gt;80</f>
        <v>0</v>
      </c>
      <c r="K31" s="2">
        <v>30</v>
      </c>
      <c r="L31" s="2" t="b">
        <f>'Variar Nominales c112'!$G32&gt;80</f>
        <v>1</v>
      </c>
      <c r="M31" s="2" t="b">
        <f>'Variar Nominales c112'!$N32&gt;80</f>
        <v>0</v>
      </c>
      <c r="O31" s="2" t="b">
        <f>'Variar Nominales c211'!$G32&gt;80</f>
        <v>1</v>
      </c>
      <c r="P31" s="2" t="b">
        <f>'Variar Nominales c211'!$N32&gt;80</f>
        <v>0</v>
      </c>
      <c r="R31" s="2" t="b">
        <f>'Variar Nominales c222'!$G32&gt;80</f>
        <v>1</v>
      </c>
      <c r="S31" s="2" t="b">
        <f>'Variar Nominales c222'!$N32&gt;80</f>
        <v>0</v>
      </c>
    </row>
    <row r="32" spans="1:19" ht="14.25" customHeight="1" x14ac:dyDescent="0.3">
      <c r="A32" s="2">
        <v>31</v>
      </c>
      <c r="B32" s="2" t="b">
        <f>'Variar Nominales h112'!$G33&gt;80</f>
        <v>0</v>
      </c>
      <c r="C32" s="2" t="b">
        <f>'Variar Nominales h112'!$N33&gt;80</f>
        <v>1</v>
      </c>
      <c r="E32" s="2" t="b">
        <f>'Variar Nominales h211'!$G33&gt;80</f>
        <v>1</v>
      </c>
      <c r="F32" s="2" t="b">
        <f>'Variar Nominales h211'!$N33&gt;80</f>
        <v>0</v>
      </c>
      <c r="H32" s="2" t="b">
        <f>'Variar Nominales h222'!$G33&gt;80</f>
        <v>1</v>
      </c>
      <c r="I32" s="2" t="b">
        <f>'Variar Nominales h222'!$N33&gt;80</f>
        <v>0</v>
      </c>
      <c r="K32" s="2">
        <v>31</v>
      </c>
      <c r="L32" s="2" t="b">
        <f>'Variar Nominales c112'!$G33&gt;80</f>
        <v>1</v>
      </c>
      <c r="M32" s="2" t="b">
        <f>'Variar Nominales c112'!$N33&gt;80</f>
        <v>0</v>
      </c>
      <c r="O32" s="2" t="b">
        <f>'Variar Nominales c211'!$G33&gt;80</f>
        <v>1</v>
      </c>
      <c r="P32" s="2" t="b">
        <f>'Variar Nominales c211'!$N33&gt;80</f>
        <v>0</v>
      </c>
      <c r="R32" s="2" t="b">
        <f>'Variar Nominales c222'!$G33&gt;80</f>
        <v>1</v>
      </c>
      <c r="S32" s="2" t="b">
        <f>'Variar Nominales c222'!$N33&gt;80</f>
        <v>0</v>
      </c>
    </row>
    <row r="33" spans="1:19" ht="14.25" customHeight="1" x14ac:dyDescent="0.3">
      <c r="A33" s="2">
        <v>32</v>
      </c>
      <c r="B33" s="2" t="b">
        <f>'Variar Nominales h112'!$G34&gt;80</f>
        <v>1</v>
      </c>
      <c r="C33" s="2" t="b">
        <f>'Variar Nominales h112'!$N34&gt;80</f>
        <v>1</v>
      </c>
      <c r="E33" s="2" t="b">
        <f>'Variar Nominales h211'!$G34&gt;80</f>
        <v>0</v>
      </c>
      <c r="F33" s="2" t="b">
        <f>'Variar Nominales h211'!$N34&gt;80</f>
        <v>0</v>
      </c>
      <c r="H33" s="2" t="b">
        <f>'Variar Nominales h222'!$G34&gt;80</f>
        <v>0</v>
      </c>
      <c r="I33" s="2" t="b">
        <f>'Variar Nominales h222'!$N34&gt;80</f>
        <v>0</v>
      </c>
      <c r="K33" s="2">
        <v>32</v>
      </c>
      <c r="L33" s="2" t="b">
        <f>'Variar Nominales c112'!$G34&gt;80</f>
        <v>0</v>
      </c>
      <c r="M33" s="2" t="b">
        <f>'Variar Nominales c112'!$N34&gt;80</f>
        <v>0</v>
      </c>
      <c r="O33" s="2" t="b">
        <f>'Variar Nominales c211'!$G34&gt;80</f>
        <v>1</v>
      </c>
      <c r="P33" s="2" t="b">
        <f>'Variar Nominales c211'!$N34&gt;80</f>
        <v>0</v>
      </c>
      <c r="R33" s="2" t="b">
        <f>'Variar Nominales c222'!$G34&gt;80</f>
        <v>1</v>
      </c>
      <c r="S33" s="2" t="b">
        <f>'Variar Nominales c222'!$N34&gt;80</f>
        <v>0</v>
      </c>
    </row>
    <row r="34" spans="1:19" ht="14.25" customHeight="1" x14ac:dyDescent="0.3">
      <c r="A34" s="2">
        <v>33</v>
      </c>
      <c r="B34" s="2" t="b">
        <f>'Variar Nominales h112'!$G35&gt;80</f>
        <v>1</v>
      </c>
      <c r="C34" s="2" t="b">
        <f>'Variar Nominales h112'!$N35&gt;80</f>
        <v>0</v>
      </c>
      <c r="E34" s="2" t="b">
        <f>'Variar Nominales h211'!$G35&gt;80</f>
        <v>1</v>
      </c>
      <c r="F34" s="2" t="b">
        <f>'Variar Nominales h211'!$N35&gt;80</f>
        <v>0</v>
      </c>
      <c r="H34" s="2" t="b">
        <f>'Variar Nominales h222'!$G35&gt;80</f>
        <v>1</v>
      </c>
      <c r="I34" s="2" t="b">
        <f>'Variar Nominales h222'!$N35&gt;80</f>
        <v>0</v>
      </c>
      <c r="K34" s="2">
        <v>33</v>
      </c>
      <c r="L34" s="2" t="b">
        <f>'Variar Nominales c112'!$G35&gt;80</f>
        <v>0</v>
      </c>
      <c r="M34" s="2" t="b">
        <f>'Variar Nominales c112'!$N35&gt;80</f>
        <v>0</v>
      </c>
      <c r="O34" s="2" t="b">
        <f>'Variar Nominales c211'!$G35&gt;80</f>
        <v>0</v>
      </c>
      <c r="P34" s="2" t="b">
        <f>'Variar Nominales c211'!$N35&gt;80</f>
        <v>0</v>
      </c>
      <c r="R34" s="2" t="b">
        <f>'Variar Nominales c222'!$G35&gt;80</f>
        <v>1</v>
      </c>
      <c r="S34" s="2" t="b">
        <f>'Variar Nominales c222'!$N35&gt;80</f>
        <v>0</v>
      </c>
    </row>
    <row r="35" spans="1:19" ht="14.25" customHeight="1" x14ac:dyDescent="0.3">
      <c r="A35" s="2">
        <v>34</v>
      </c>
      <c r="B35" s="2" t="b">
        <f>'Variar Nominales h112'!$G36&gt;80</f>
        <v>1</v>
      </c>
      <c r="C35" s="2" t="b">
        <f>'Variar Nominales h112'!$N36&gt;80</f>
        <v>1</v>
      </c>
      <c r="E35" s="2" t="b">
        <f>'Variar Nominales h211'!$G36&gt;80</f>
        <v>0</v>
      </c>
      <c r="F35" s="2" t="b">
        <f>'Variar Nominales h211'!$N36&gt;80</f>
        <v>0</v>
      </c>
      <c r="H35" s="2" t="b">
        <f>'Variar Nominales h222'!$G36&gt;80</f>
        <v>0</v>
      </c>
      <c r="I35" s="2" t="b">
        <f>'Variar Nominales h222'!$N36&gt;80</f>
        <v>0</v>
      </c>
      <c r="K35" s="2">
        <v>34</v>
      </c>
      <c r="L35" s="2" t="b">
        <f>'Variar Nominales c112'!$G36&gt;80</f>
        <v>0</v>
      </c>
      <c r="M35" s="2" t="b">
        <f>'Variar Nominales c112'!$N36&gt;80</f>
        <v>0</v>
      </c>
      <c r="O35" s="2" t="b">
        <f>'Variar Nominales c211'!$G36&gt;80</f>
        <v>1</v>
      </c>
      <c r="P35" s="2" t="b">
        <f>'Variar Nominales c211'!$N36&gt;80</f>
        <v>0</v>
      </c>
      <c r="R35" s="2" t="b">
        <f>'Variar Nominales c222'!$G36&gt;80</f>
        <v>0</v>
      </c>
      <c r="S35" s="2" t="b">
        <f>'Variar Nominales c222'!$N36&gt;80</f>
        <v>0</v>
      </c>
    </row>
    <row r="36" spans="1:19" ht="14.25" customHeight="1" x14ac:dyDescent="0.3">
      <c r="A36" s="2">
        <v>35</v>
      </c>
      <c r="B36" s="2" t="b">
        <f>'Variar Nominales h112'!$G37&gt;80</f>
        <v>1</v>
      </c>
      <c r="C36" s="2" t="b">
        <f>'Variar Nominales h112'!$N37&gt;80</f>
        <v>1</v>
      </c>
      <c r="E36" s="2" t="b">
        <f>'Variar Nominales h211'!$G37&gt;80</f>
        <v>1</v>
      </c>
      <c r="F36" s="2" t="b">
        <f>'Variar Nominales h211'!$N37&gt;80</f>
        <v>0</v>
      </c>
      <c r="H36" s="2" t="b">
        <f>'Variar Nominales h222'!$G37&gt;80</f>
        <v>1</v>
      </c>
      <c r="I36" s="2" t="b">
        <f>'Variar Nominales h222'!$N37&gt;80</f>
        <v>0</v>
      </c>
      <c r="K36" s="2">
        <v>35</v>
      </c>
      <c r="L36" s="2" t="b">
        <f>'Variar Nominales c112'!$G37&gt;80</f>
        <v>1</v>
      </c>
      <c r="M36" s="2" t="b">
        <f>'Variar Nominales c112'!$N37&gt;80</f>
        <v>0</v>
      </c>
      <c r="O36" s="2" t="b">
        <f>'Variar Nominales c211'!$G37&gt;80</f>
        <v>1</v>
      </c>
      <c r="P36" s="2" t="b">
        <f>'Variar Nominales c211'!$N37&gt;80</f>
        <v>0</v>
      </c>
      <c r="R36" s="2" t="b">
        <f>'Variar Nominales c222'!$G37&gt;80</f>
        <v>1</v>
      </c>
      <c r="S36" s="2" t="b">
        <f>'Variar Nominales c222'!$N37&gt;80</f>
        <v>0</v>
      </c>
    </row>
    <row r="37" spans="1:19" ht="14.25" customHeight="1" x14ac:dyDescent="0.3">
      <c r="A37" s="2">
        <v>36</v>
      </c>
      <c r="B37" s="2" t="b">
        <f>'Variar Nominales h112'!$G38&gt;80</f>
        <v>0</v>
      </c>
      <c r="C37" s="2" t="b">
        <f>'Variar Nominales h112'!$N38&gt;80</f>
        <v>1</v>
      </c>
      <c r="E37" s="2" t="b">
        <f>'Variar Nominales h211'!$G38&gt;80</f>
        <v>1</v>
      </c>
      <c r="F37" s="2" t="b">
        <f>'Variar Nominales h211'!$N38&gt;80</f>
        <v>0</v>
      </c>
      <c r="H37" s="2" t="b">
        <f>'Variar Nominales h222'!$G38&gt;80</f>
        <v>1</v>
      </c>
      <c r="I37" s="2" t="b">
        <f>'Variar Nominales h222'!$N38&gt;80</f>
        <v>0</v>
      </c>
      <c r="K37" s="2">
        <v>36</v>
      </c>
      <c r="L37" s="2" t="b">
        <f>'Variar Nominales c112'!$G38&gt;80</f>
        <v>1</v>
      </c>
      <c r="M37" s="2" t="b">
        <f>'Variar Nominales c112'!$N38&gt;80</f>
        <v>0</v>
      </c>
      <c r="O37" s="2" t="b">
        <f>'Variar Nominales c211'!$G38&gt;80</f>
        <v>1</v>
      </c>
      <c r="P37" s="2" t="b">
        <f>'Variar Nominales c211'!$N38&gt;80</f>
        <v>0</v>
      </c>
      <c r="R37" s="2" t="b">
        <f>'Variar Nominales c222'!$G38&gt;80</f>
        <v>1</v>
      </c>
      <c r="S37" s="2" t="b">
        <f>'Variar Nominales c222'!$N38&gt;80</f>
        <v>0</v>
      </c>
    </row>
    <row r="38" spans="1:19" ht="14.25" customHeight="1" x14ac:dyDescent="0.3">
      <c r="A38" s="2">
        <v>37</v>
      </c>
      <c r="B38" s="2" t="b">
        <f>'Variar Nominales h112'!$G39&gt;80</f>
        <v>1</v>
      </c>
      <c r="C38" s="2" t="b">
        <f>'Variar Nominales h112'!$N39&gt;80</f>
        <v>0</v>
      </c>
      <c r="E38" s="2" t="b">
        <f>'Variar Nominales h211'!$G39&gt;80</f>
        <v>0</v>
      </c>
      <c r="F38" s="2" t="b">
        <f>'Variar Nominales h211'!$N39&gt;80</f>
        <v>0</v>
      </c>
      <c r="H38" s="2" t="b">
        <f>'Variar Nominales h222'!$G39&gt;80</f>
        <v>0</v>
      </c>
      <c r="I38" s="2" t="b">
        <f>'Variar Nominales h222'!$N39&gt;80</f>
        <v>0</v>
      </c>
      <c r="K38" s="2">
        <v>37</v>
      </c>
      <c r="L38" s="2" t="b">
        <f>'Variar Nominales c112'!$G39&gt;80</f>
        <v>0</v>
      </c>
      <c r="M38" s="2" t="b">
        <f>'Variar Nominales c112'!$N39&gt;80</f>
        <v>0</v>
      </c>
      <c r="O38" s="2" t="b">
        <f>'Variar Nominales c211'!$G39&gt;80</f>
        <v>1</v>
      </c>
      <c r="P38" s="2" t="b">
        <f>'Variar Nominales c211'!$N39&gt;80</f>
        <v>0</v>
      </c>
      <c r="R38" s="2" t="b">
        <f>'Variar Nominales c222'!$G39&gt;80</f>
        <v>1</v>
      </c>
      <c r="S38" s="2" t="b">
        <f>'Variar Nominales c222'!$N39&gt;80</f>
        <v>0</v>
      </c>
    </row>
    <row r="39" spans="1:19" ht="14.25" customHeight="1" x14ac:dyDescent="0.3">
      <c r="A39" s="2">
        <v>38</v>
      </c>
      <c r="B39" s="2" t="b">
        <f>'Variar Nominales h112'!$G40&gt;80</f>
        <v>1</v>
      </c>
      <c r="C39" s="2" t="b">
        <f>'Variar Nominales h112'!$N40&gt;80</f>
        <v>1</v>
      </c>
      <c r="E39" s="2" t="b">
        <f>'Variar Nominales h211'!$G40&gt;80</f>
        <v>1</v>
      </c>
      <c r="F39" s="2" t="b">
        <f>'Variar Nominales h211'!$N40&gt;80</f>
        <v>0</v>
      </c>
      <c r="H39" s="2" t="b">
        <f>'Variar Nominales h222'!$G40&gt;80</f>
        <v>1</v>
      </c>
      <c r="I39" s="2" t="b">
        <f>'Variar Nominales h222'!$N40&gt;80</f>
        <v>0</v>
      </c>
      <c r="K39" s="2">
        <v>38</v>
      </c>
      <c r="L39" s="2" t="b">
        <f>'Variar Nominales c112'!$G40&gt;80</f>
        <v>0</v>
      </c>
      <c r="M39" s="2" t="b">
        <f>'Variar Nominales c112'!$N40&gt;80</f>
        <v>0</v>
      </c>
      <c r="O39" s="2" t="b">
        <f>'Variar Nominales c211'!$G40&gt;80</f>
        <v>0</v>
      </c>
      <c r="P39" s="2" t="b">
        <f>'Variar Nominales c211'!$N40&gt;80</f>
        <v>0</v>
      </c>
      <c r="R39" s="2" t="b">
        <f>'Variar Nominales c222'!$G40&gt;80</f>
        <v>1</v>
      </c>
      <c r="S39" s="2" t="b">
        <f>'Variar Nominales c222'!$N40&gt;80</f>
        <v>0</v>
      </c>
    </row>
    <row r="40" spans="1:19" ht="14.25" customHeight="1" x14ac:dyDescent="0.3">
      <c r="A40" s="2">
        <v>39</v>
      </c>
      <c r="B40" s="2" t="b">
        <f>'Variar Nominales h112'!$G41&gt;80</f>
        <v>1</v>
      </c>
      <c r="C40" s="2" t="b">
        <f>'Variar Nominales h112'!$N41&gt;80</f>
        <v>1</v>
      </c>
      <c r="E40" s="2" t="b">
        <f>'Variar Nominales h211'!$G41&gt;80</f>
        <v>0</v>
      </c>
      <c r="F40" s="2" t="b">
        <f>'Variar Nominales h211'!$N41&gt;80</f>
        <v>0</v>
      </c>
      <c r="H40" s="2" t="b">
        <f>'Variar Nominales h222'!$G41&gt;80</f>
        <v>0</v>
      </c>
      <c r="I40" s="2" t="b">
        <f>'Variar Nominales h222'!$N41&gt;80</f>
        <v>0</v>
      </c>
      <c r="K40" s="2">
        <v>39</v>
      </c>
      <c r="L40" s="2" t="b">
        <f>'Variar Nominales c112'!$G41&gt;80</f>
        <v>0</v>
      </c>
      <c r="M40" s="2" t="b">
        <f>'Variar Nominales c112'!$N41&gt;80</f>
        <v>0</v>
      </c>
      <c r="O40" s="2" t="b">
        <f>'Variar Nominales c211'!$G41&gt;80</f>
        <v>1</v>
      </c>
      <c r="P40" s="2" t="b">
        <f>'Variar Nominales c211'!$N41&gt;80</f>
        <v>0</v>
      </c>
      <c r="R40" s="2" t="b">
        <f>'Variar Nominales c222'!$G41&gt;80</f>
        <v>0</v>
      </c>
      <c r="S40" s="2" t="b">
        <f>'Variar Nominales c222'!$N41&gt;80</f>
        <v>0</v>
      </c>
    </row>
    <row r="41" spans="1:19" ht="14.25" customHeight="1" x14ac:dyDescent="0.3">
      <c r="A41" s="2">
        <v>40</v>
      </c>
      <c r="B41" s="2" t="b">
        <f>'Variar Nominales h112'!$G42&gt;80</f>
        <v>1</v>
      </c>
      <c r="C41" s="2" t="b">
        <f>'Variar Nominales h112'!$N42&gt;80</f>
        <v>1</v>
      </c>
      <c r="E41" s="2" t="b">
        <f>'Variar Nominales h211'!$G42&gt;80</f>
        <v>1</v>
      </c>
      <c r="F41" s="2" t="b">
        <f>'Variar Nominales h211'!$N42&gt;80</f>
        <v>0</v>
      </c>
      <c r="H41" s="2" t="b">
        <f>'Variar Nominales h222'!$G42&gt;80</f>
        <v>1</v>
      </c>
      <c r="I41" s="2" t="b">
        <f>'Variar Nominales h222'!$N42&gt;80</f>
        <v>0</v>
      </c>
      <c r="K41" s="2">
        <v>40</v>
      </c>
      <c r="L41" s="2" t="b">
        <f>'Variar Nominales c112'!$G42&gt;80</f>
        <v>1</v>
      </c>
      <c r="M41" s="2" t="b">
        <f>'Variar Nominales c112'!$N42&gt;80</f>
        <v>0</v>
      </c>
      <c r="O41" s="2" t="b">
        <f>'Variar Nominales c211'!$G42&gt;80</f>
        <v>1</v>
      </c>
      <c r="P41" s="2" t="b">
        <f>'Variar Nominales c211'!$N42&gt;80</f>
        <v>0</v>
      </c>
      <c r="R41" s="2" t="b">
        <f>'Variar Nominales c222'!$G42&gt;80</f>
        <v>1</v>
      </c>
      <c r="S41" s="2" t="b">
        <f>'Variar Nominales c222'!$N42&gt;80</f>
        <v>0</v>
      </c>
    </row>
    <row r="42" spans="1:19" ht="14.25" customHeight="1" x14ac:dyDescent="0.3">
      <c r="A42" s="2">
        <v>41</v>
      </c>
      <c r="B42" s="2" t="b">
        <f>'Variar Nominales h112'!$G43&gt;80</f>
        <v>0</v>
      </c>
      <c r="C42" s="2" t="b">
        <f>'Variar Nominales h112'!$N43&gt;80</f>
        <v>0</v>
      </c>
      <c r="E42" s="2" t="b">
        <f>'Variar Nominales h211'!$G43&gt;80</f>
        <v>1</v>
      </c>
      <c r="F42" s="2" t="b">
        <f>'Variar Nominales h211'!$N43&gt;80</f>
        <v>0</v>
      </c>
      <c r="H42" s="2" t="b">
        <f>'Variar Nominales h222'!$G43&gt;80</f>
        <v>1</v>
      </c>
      <c r="I42" s="2" t="b">
        <f>'Variar Nominales h222'!$N43&gt;80</f>
        <v>0</v>
      </c>
      <c r="K42" s="2">
        <v>41</v>
      </c>
      <c r="L42" s="2" t="b">
        <f>'Variar Nominales c112'!$G43&gt;80</f>
        <v>1</v>
      </c>
      <c r="M42" s="2" t="b">
        <f>'Variar Nominales c112'!$N43&gt;80</f>
        <v>0</v>
      </c>
      <c r="O42" s="2" t="b">
        <f>'Variar Nominales c211'!$G43&gt;80</f>
        <v>1</v>
      </c>
      <c r="P42" s="2" t="b">
        <f>'Variar Nominales c211'!$N43&gt;80</f>
        <v>0</v>
      </c>
      <c r="R42" s="2" t="b">
        <f>'Variar Nominales c222'!$G43&gt;80</f>
        <v>1</v>
      </c>
      <c r="S42" s="2" t="b">
        <f>'Variar Nominales c222'!$N43&gt;80</f>
        <v>0</v>
      </c>
    </row>
    <row r="43" spans="1:19" ht="14.25" customHeight="1" x14ac:dyDescent="0.3">
      <c r="A43" s="2">
        <v>42</v>
      </c>
      <c r="B43" s="2" t="b">
        <f>'Variar Nominales h112'!$G44&gt;80</f>
        <v>1</v>
      </c>
      <c r="C43" s="2" t="b">
        <f>'Variar Nominales h112'!$N44&gt;80</f>
        <v>1</v>
      </c>
      <c r="E43" s="2" t="b">
        <f>'Variar Nominales h211'!$G44&gt;80</f>
        <v>0</v>
      </c>
      <c r="F43" s="2" t="b">
        <f>'Variar Nominales h211'!$N44&gt;80</f>
        <v>0</v>
      </c>
      <c r="H43" s="2" t="b">
        <f>'Variar Nominales h222'!$G44&gt;80</f>
        <v>0</v>
      </c>
      <c r="I43" s="2" t="b">
        <f>'Variar Nominales h222'!$N44&gt;80</f>
        <v>0</v>
      </c>
      <c r="K43" s="2">
        <v>42</v>
      </c>
      <c r="L43" s="2" t="b">
        <f>'Variar Nominales c112'!$G44&gt;80</f>
        <v>0</v>
      </c>
      <c r="M43" s="2" t="b">
        <f>'Variar Nominales c112'!$N44&gt;80</f>
        <v>0</v>
      </c>
      <c r="O43" s="2" t="b">
        <f>'Variar Nominales c211'!$G44&gt;80</f>
        <v>1</v>
      </c>
      <c r="P43" s="2" t="b">
        <f>'Variar Nominales c211'!$N44&gt;80</f>
        <v>0</v>
      </c>
      <c r="R43" s="2" t="b">
        <f>'Variar Nominales c222'!$G44&gt;80</f>
        <v>1</v>
      </c>
      <c r="S43" s="2" t="b">
        <f>'Variar Nominales c222'!$N44&gt;80</f>
        <v>0</v>
      </c>
    </row>
    <row r="44" spans="1:19" ht="14.25" customHeight="1" x14ac:dyDescent="0.3">
      <c r="A44" s="2">
        <v>43</v>
      </c>
      <c r="B44" s="2" t="b">
        <f>'Variar Nominales h112'!$G45&gt;80</f>
        <v>1</v>
      </c>
      <c r="C44" s="2" t="b">
        <f>'Variar Nominales h112'!$N45&gt;80</f>
        <v>1</v>
      </c>
      <c r="E44" s="2" t="b">
        <f>'Variar Nominales h211'!$G45&gt;80</f>
        <v>1</v>
      </c>
      <c r="F44" s="2" t="b">
        <f>'Variar Nominales h211'!$N45&gt;80</f>
        <v>0</v>
      </c>
      <c r="H44" s="2" t="b">
        <f>'Variar Nominales h222'!$G45&gt;80</f>
        <v>1</v>
      </c>
      <c r="I44" s="2" t="b">
        <f>'Variar Nominales h222'!$N45&gt;80</f>
        <v>0</v>
      </c>
      <c r="K44" s="2">
        <v>43</v>
      </c>
      <c r="L44" s="2" t="b">
        <f>'Variar Nominales c112'!$G45&gt;80</f>
        <v>0</v>
      </c>
      <c r="M44" s="2" t="b">
        <f>'Variar Nominales c112'!$N45&gt;80</f>
        <v>0</v>
      </c>
      <c r="O44" s="2" t="b">
        <f>'Variar Nominales c211'!$G45&gt;80</f>
        <v>0</v>
      </c>
      <c r="P44" s="2" t="b">
        <f>'Variar Nominales c211'!$N45&gt;80</f>
        <v>0</v>
      </c>
      <c r="R44" s="2" t="b">
        <f>'Variar Nominales c222'!$G45&gt;80</f>
        <v>1</v>
      </c>
      <c r="S44" s="2" t="b">
        <f>'Variar Nominales c222'!$N45&gt;80</f>
        <v>0</v>
      </c>
    </row>
    <row r="45" spans="1:19" ht="14.25" customHeight="1" x14ac:dyDescent="0.3">
      <c r="A45" s="2">
        <v>44</v>
      </c>
      <c r="B45" s="2" t="b">
        <f>'Variar Nominales h112'!$G46&gt;80</f>
        <v>1</v>
      </c>
      <c r="C45" s="2" t="b">
        <f>'Variar Nominales h112'!$N46&gt;80</f>
        <v>1</v>
      </c>
      <c r="E45" s="2" t="b">
        <f>'Variar Nominales h211'!$G46&gt;80</f>
        <v>0</v>
      </c>
      <c r="F45" s="2" t="b">
        <f>'Variar Nominales h211'!$N46&gt;80</f>
        <v>0</v>
      </c>
      <c r="H45" s="2" t="b">
        <f>'Variar Nominales h222'!$G46&gt;80</f>
        <v>0</v>
      </c>
      <c r="I45" s="2" t="b">
        <f>'Variar Nominales h222'!$N46&gt;80</f>
        <v>0</v>
      </c>
      <c r="K45" s="2">
        <v>44</v>
      </c>
      <c r="L45" s="2" t="b">
        <f>'Variar Nominales c112'!$G46&gt;80</f>
        <v>0</v>
      </c>
      <c r="M45" s="2" t="b">
        <f>'Variar Nominales c112'!$N46&gt;80</f>
        <v>0</v>
      </c>
      <c r="O45" s="2" t="b">
        <f>'Variar Nominales c211'!$G46&gt;80</f>
        <v>1</v>
      </c>
      <c r="P45" s="2" t="b">
        <f>'Variar Nominales c211'!$N46&gt;80</f>
        <v>0</v>
      </c>
      <c r="R45" s="2" t="b">
        <f>'Variar Nominales c222'!$G46&gt;80</f>
        <v>0</v>
      </c>
      <c r="S45" s="2" t="b">
        <f>'Variar Nominales c222'!$N46&gt;80</f>
        <v>0</v>
      </c>
    </row>
    <row r="46" spans="1:19" ht="14.25" customHeight="1" x14ac:dyDescent="0.3">
      <c r="A46" s="2">
        <v>45</v>
      </c>
      <c r="B46" s="2" t="b">
        <f>'Variar Nominales h112'!$G47&gt;80</f>
        <v>1</v>
      </c>
      <c r="C46" s="2" t="b">
        <f>'Variar Nominales h112'!$N47&gt;80</f>
        <v>0</v>
      </c>
      <c r="E46" s="2" t="b">
        <f>'Variar Nominales h211'!$G47&gt;80</f>
        <v>1</v>
      </c>
      <c r="F46" s="2" t="b">
        <f>'Variar Nominales h211'!$N47&gt;80</f>
        <v>0</v>
      </c>
      <c r="H46" s="2" t="b">
        <f>'Variar Nominales h222'!$G47&gt;80</f>
        <v>1</v>
      </c>
      <c r="I46" s="2" t="b">
        <f>'Variar Nominales h222'!$N47&gt;80</f>
        <v>0</v>
      </c>
      <c r="K46" s="2">
        <v>45</v>
      </c>
      <c r="L46" s="2" t="b">
        <f>'Variar Nominales c112'!$G47&gt;80</f>
        <v>1</v>
      </c>
      <c r="M46" s="2" t="b">
        <f>'Variar Nominales c112'!$N47&gt;80</f>
        <v>0</v>
      </c>
      <c r="O46" s="2" t="b">
        <f>'Variar Nominales c211'!$G47&gt;80</f>
        <v>1</v>
      </c>
      <c r="P46" s="2" t="b">
        <f>'Variar Nominales c211'!$N47&gt;80</f>
        <v>0</v>
      </c>
      <c r="R46" s="2" t="b">
        <f>'Variar Nominales c222'!$G47&gt;80</f>
        <v>1</v>
      </c>
      <c r="S46" s="2" t="b">
        <f>'Variar Nominales c222'!$N47&gt;80</f>
        <v>0</v>
      </c>
    </row>
    <row r="47" spans="1:19" ht="14.25" customHeight="1" x14ac:dyDescent="0.3">
      <c r="A47" s="2">
        <v>46</v>
      </c>
      <c r="B47" s="2" t="b">
        <f>'Variar Nominales h112'!$G48&gt;80</f>
        <v>0</v>
      </c>
      <c r="C47" s="2" t="b">
        <f>'Variar Nominales h112'!$N48&gt;80</f>
        <v>1</v>
      </c>
      <c r="E47" s="2" t="b">
        <f>'Variar Nominales h211'!$G48&gt;80</f>
        <v>1</v>
      </c>
      <c r="F47" s="2" t="b">
        <f>'Variar Nominales h211'!$N48&gt;80</f>
        <v>0</v>
      </c>
      <c r="H47" s="2" t="b">
        <f>'Variar Nominales h222'!$G48&gt;80</f>
        <v>1</v>
      </c>
      <c r="I47" s="2" t="b">
        <f>'Variar Nominales h222'!$N48&gt;80</f>
        <v>0</v>
      </c>
      <c r="K47" s="2">
        <v>46</v>
      </c>
      <c r="L47" s="2" t="b">
        <f>'Variar Nominales c112'!$G48&gt;80</f>
        <v>1</v>
      </c>
      <c r="M47" s="2" t="b">
        <f>'Variar Nominales c112'!$N48&gt;80</f>
        <v>0</v>
      </c>
      <c r="O47" s="2" t="b">
        <f>'Variar Nominales c211'!$G48&gt;80</f>
        <v>1</v>
      </c>
      <c r="P47" s="2" t="b">
        <f>'Variar Nominales c211'!$N48&gt;80</f>
        <v>0</v>
      </c>
      <c r="R47" s="2" t="b">
        <f>'Variar Nominales c222'!$G48&gt;80</f>
        <v>1</v>
      </c>
      <c r="S47" s="2" t="b">
        <f>'Variar Nominales c222'!$N48&gt;80</f>
        <v>0</v>
      </c>
    </row>
    <row r="48" spans="1:19" ht="14.25" customHeight="1" x14ac:dyDescent="0.3">
      <c r="A48" s="2">
        <v>47</v>
      </c>
      <c r="B48" s="2" t="b">
        <f>'Variar Nominales h112'!$G49&gt;80</f>
        <v>1</v>
      </c>
      <c r="C48" s="2" t="b">
        <f>'Variar Nominales h112'!$N49&gt;80</f>
        <v>1</v>
      </c>
      <c r="E48" s="2" t="b">
        <f>'Variar Nominales h211'!$G49&gt;80</f>
        <v>0</v>
      </c>
      <c r="F48" s="2" t="b">
        <f>'Variar Nominales h211'!$N49&gt;80</f>
        <v>0</v>
      </c>
      <c r="H48" s="2" t="b">
        <f>'Variar Nominales h222'!$G49&gt;80</f>
        <v>0</v>
      </c>
      <c r="I48" s="2" t="b">
        <f>'Variar Nominales h222'!$N49&gt;80</f>
        <v>0</v>
      </c>
      <c r="K48" s="2">
        <v>47</v>
      </c>
      <c r="L48" s="2" t="b">
        <f>'Variar Nominales c112'!$G49&gt;80</f>
        <v>0</v>
      </c>
      <c r="M48" s="2" t="b">
        <f>'Variar Nominales c112'!$N49&gt;80</f>
        <v>0</v>
      </c>
      <c r="O48" s="2" t="b">
        <f>'Variar Nominales c211'!$G49&gt;80</f>
        <v>1</v>
      </c>
      <c r="P48" s="2" t="b">
        <f>'Variar Nominales c211'!$N49&gt;80</f>
        <v>0</v>
      </c>
      <c r="R48" s="2" t="b">
        <f>'Variar Nominales c222'!$G49&gt;80</f>
        <v>1</v>
      </c>
      <c r="S48" s="2" t="b">
        <f>'Variar Nominales c222'!$N49&gt;80</f>
        <v>0</v>
      </c>
    </row>
    <row r="49" spans="1:19" ht="14.25" customHeight="1" x14ac:dyDescent="0.3">
      <c r="A49" s="2">
        <v>48</v>
      </c>
      <c r="B49" s="2" t="b">
        <f>'Variar Nominales h112'!$G50&gt;80</f>
        <v>1</v>
      </c>
      <c r="C49" s="2" t="b">
        <f>'Variar Nominales h112'!$N50&gt;80</f>
        <v>1</v>
      </c>
      <c r="E49" s="2" t="b">
        <f>'Variar Nominales h211'!$G50&gt;80</f>
        <v>1</v>
      </c>
      <c r="F49" s="2" t="b">
        <f>'Variar Nominales h211'!$N50&gt;80</f>
        <v>0</v>
      </c>
      <c r="H49" s="2" t="b">
        <f>'Variar Nominales h222'!$G50&gt;80</f>
        <v>1</v>
      </c>
      <c r="I49" s="2" t="b">
        <f>'Variar Nominales h222'!$N50&gt;80</f>
        <v>0</v>
      </c>
      <c r="K49" s="2">
        <v>48</v>
      </c>
      <c r="L49" s="2" t="b">
        <f>'Variar Nominales c112'!$G50&gt;80</f>
        <v>0</v>
      </c>
      <c r="M49" s="2" t="b">
        <f>'Variar Nominales c112'!$N50&gt;80</f>
        <v>0</v>
      </c>
      <c r="O49" s="2" t="b">
        <f>'Variar Nominales c211'!$G50&gt;80</f>
        <v>0</v>
      </c>
      <c r="P49" s="2" t="b">
        <f>'Variar Nominales c211'!$N50&gt;80</f>
        <v>0</v>
      </c>
      <c r="R49" s="2" t="b">
        <f>'Variar Nominales c222'!$G50&gt;80</f>
        <v>1</v>
      </c>
      <c r="S49" s="2" t="b">
        <f>'Variar Nominales c222'!$N50&gt;80</f>
        <v>0</v>
      </c>
    </row>
    <row r="50" spans="1:19" ht="14.25" customHeight="1" x14ac:dyDescent="0.3">
      <c r="A50" s="2">
        <v>49</v>
      </c>
      <c r="B50" s="2" t="b">
        <f>'Variar Nominales h112'!$G51&gt;80</f>
        <v>1</v>
      </c>
      <c r="C50" s="2" t="b">
        <f>'Variar Nominales h112'!$N51&gt;80</f>
        <v>0</v>
      </c>
      <c r="E50" s="2" t="b">
        <f>'Variar Nominales h211'!$G51&gt;80</f>
        <v>0</v>
      </c>
      <c r="F50" s="2" t="b">
        <f>'Variar Nominales h211'!$N51&gt;80</f>
        <v>0</v>
      </c>
      <c r="H50" s="2" t="b">
        <f>'Variar Nominales h222'!$G51&gt;80</f>
        <v>0</v>
      </c>
      <c r="I50" s="2" t="b">
        <f>'Variar Nominales h222'!$N51&gt;80</f>
        <v>0</v>
      </c>
      <c r="K50" s="2">
        <v>49</v>
      </c>
      <c r="L50" s="2" t="b">
        <f>'Variar Nominales c112'!$G51&gt;80</f>
        <v>0</v>
      </c>
      <c r="M50" s="2" t="b">
        <f>'Variar Nominales c112'!$N51&gt;80</f>
        <v>0</v>
      </c>
      <c r="O50" s="2" t="b">
        <f>'Variar Nominales c211'!$G51&gt;80</f>
        <v>1</v>
      </c>
      <c r="P50" s="2" t="b">
        <f>'Variar Nominales c211'!$N51&gt;80</f>
        <v>0</v>
      </c>
      <c r="R50" s="2" t="b">
        <f>'Variar Nominales c222'!$G51&gt;80</f>
        <v>0</v>
      </c>
      <c r="S50" s="2" t="b">
        <f>'Variar Nominales c222'!$N51&gt;80</f>
        <v>0</v>
      </c>
    </row>
    <row r="51" spans="1:19" ht="14.25" customHeight="1" x14ac:dyDescent="0.3">
      <c r="A51" s="2">
        <v>50</v>
      </c>
      <c r="B51" s="2" t="b">
        <f>'Variar Nominales h112'!$G52&gt;80</f>
        <v>1</v>
      </c>
      <c r="C51" s="2" t="b">
        <f>'Variar Nominales h112'!$N52&gt;80</f>
        <v>1</v>
      </c>
      <c r="E51" s="2" t="b">
        <f>'Variar Nominales h211'!$G52&gt;80</f>
        <v>1</v>
      </c>
      <c r="F51" s="2" t="b">
        <f>'Variar Nominales h211'!$N52&gt;80</f>
        <v>0</v>
      </c>
      <c r="H51" s="2" t="b">
        <f>'Variar Nominales h222'!$G52&gt;80</f>
        <v>1</v>
      </c>
      <c r="I51" s="2" t="b">
        <f>'Variar Nominales h222'!$N52&gt;80</f>
        <v>0</v>
      </c>
      <c r="K51" s="2">
        <v>50</v>
      </c>
      <c r="L51" s="2" t="b">
        <f>'Variar Nominales c112'!$G52&gt;80</f>
        <v>1</v>
      </c>
      <c r="M51" s="2" t="b">
        <f>'Variar Nominales c112'!$N52&gt;80</f>
        <v>0</v>
      </c>
      <c r="O51" s="2" t="b">
        <f>'Variar Nominales c211'!$G52&gt;80</f>
        <v>1</v>
      </c>
      <c r="P51" s="2" t="b">
        <f>'Variar Nominales c211'!$N52&gt;80</f>
        <v>0</v>
      </c>
      <c r="R51" s="2" t="b">
        <f>'Variar Nominales c222'!$G52&gt;80</f>
        <v>1</v>
      </c>
      <c r="S51" s="2" t="b">
        <f>'Variar Nominales c222'!$N52&gt;80</f>
        <v>0</v>
      </c>
    </row>
    <row r="52" spans="1:19" ht="14.25" customHeight="1" x14ac:dyDescent="0.3">
      <c r="A52" s="2">
        <v>51</v>
      </c>
      <c r="B52" s="2" t="b">
        <f>'Variar Nominales h112'!$G53&gt;80</f>
        <v>0</v>
      </c>
      <c r="C52" s="2" t="b">
        <f>'Variar Nominales h112'!$N53&gt;80</f>
        <v>1</v>
      </c>
      <c r="E52" s="2" t="b">
        <f>'Variar Nominales h211'!$G53&gt;80</f>
        <v>1</v>
      </c>
      <c r="F52" s="2" t="b">
        <f>'Variar Nominales h211'!$N53&gt;80</f>
        <v>0</v>
      </c>
      <c r="H52" s="2" t="b">
        <f>'Variar Nominales h222'!$G53&gt;80</f>
        <v>1</v>
      </c>
      <c r="I52" s="2" t="b">
        <f>'Variar Nominales h222'!$N53&gt;80</f>
        <v>0</v>
      </c>
      <c r="K52" s="2">
        <v>51</v>
      </c>
      <c r="L52" s="2" t="b">
        <f>'Variar Nominales c112'!$G53&gt;80</f>
        <v>1</v>
      </c>
      <c r="M52" s="2" t="b">
        <f>'Variar Nominales c112'!$N53&gt;80</f>
        <v>0</v>
      </c>
      <c r="O52" s="2" t="b">
        <f>'Variar Nominales c211'!$G53&gt;80</f>
        <v>1</v>
      </c>
      <c r="P52" s="2" t="b">
        <f>'Variar Nominales c211'!$N53&gt;80</f>
        <v>0</v>
      </c>
      <c r="R52" s="2" t="b">
        <f>'Variar Nominales c222'!$G53&gt;80</f>
        <v>1</v>
      </c>
      <c r="S52" s="2" t="b">
        <f>'Variar Nominales c222'!$N53&gt;80</f>
        <v>0</v>
      </c>
    </row>
    <row r="53" spans="1:19" ht="14.25" customHeight="1" x14ac:dyDescent="0.3">
      <c r="A53" s="2">
        <v>52</v>
      </c>
      <c r="B53" s="2" t="b">
        <f>'Variar Nominales h112'!$G54&gt;80</f>
        <v>1</v>
      </c>
      <c r="C53" s="2" t="b">
        <f>'Variar Nominales h112'!$N54&gt;80</f>
        <v>1</v>
      </c>
      <c r="E53" s="2" t="b">
        <f>'Variar Nominales h211'!$G54&gt;80</f>
        <v>0</v>
      </c>
      <c r="F53" s="2" t="b">
        <f>'Variar Nominales h211'!$N54&gt;80</f>
        <v>0</v>
      </c>
      <c r="H53" s="2" t="b">
        <f>'Variar Nominales h222'!$G54&gt;80</f>
        <v>0</v>
      </c>
      <c r="I53" s="2" t="b">
        <f>'Variar Nominales h222'!$N54&gt;80</f>
        <v>0</v>
      </c>
      <c r="K53" s="2">
        <v>52</v>
      </c>
      <c r="L53" s="2" t="b">
        <f>'Variar Nominales c112'!$G54&gt;80</f>
        <v>0</v>
      </c>
      <c r="M53" s="2" t="b">
        <f>'Variar Nominales c112'!$N54&gt;80</f>
        <v>0</v>
      </c>
      <c r="O53" s="2" t="b">
        <f>'Variar Nominales c211'!$G54&gt;80</f>
        <v>1</v>
      </c>
      <c r="P53" s="2" t="b">
        <f>'Variar Nominales c211'!$N54&gt;80</f>
        <v>0</v>
      </c>
      <c r="R53" s="2" t="b">
        <f>'Variar Nominales c222'!$G54&gt;80</f>
        <v>1</v>
      </c>
      <c r="S53" s="2" t="b">
        <f>'Variar Nominales c222'!$N54&gt;80</f>
        <v>0</v>
      </c>
    </row>
    <row r="54" spans="1:19" ht="14.25" customHeight="1" x14ac:dyDescent="0.3">
      <c r="A54" s="2">
        <v>53</v>
      </c>
      <c r="B54" s="2" t="b">
        <f>'Variar Nominales h112'!$G55&gt;80</f>
        <v>1</v>
      </c>
      <c r="C54" s="2" t="b">
        <f>'Variar Nominales h112'!$N55&gt;80</f>
        <v>0</v>
      </c>
      <c r="E54" s="2" t="b">
        <f>'Variar Nominales h211'!$G55&gt;80</f>
        <v>1</v>
      </c>
      <c r="F54" s="2" t="b">
        <f>'Variar Nominales h211'!$N55&gt;80</f>
        <v>0</v>
      </c>
      <c r="H54" s="2" t="b">
        <f>'Variar Nominales h222'!$G55&gt;80</f>
        <v>1</v>
      </c>
      <c r="I54" s="2" t="b">
        <f>'Variar Nominales h222'!$N55&gt;80</f>
        <v>0</v>
      </c>
      <c r="K54" s="2">
        <v>53</v>
      </c>
      <c r="L54" s="2" t="b">
        <f>'Variar Nominales c112'!$G55&gt;80</f>
        <v>0</v>
      </c>
      <c r="M54" s="2" t="b">
        <f>'Variar Nominales c112'!$N55&gt;80</f>
        <v>0</v>
      </c>
      <c r="O54" s="2" t="b">
        <f>'Variar Nominales c211'!$G55&gt;80</f>
        <v>0</v>
      </c>
      <c r="P54" s="2" t="b">
        <f>'Variar Nominales c211'!$N55&gt;80</f>
        <v>0</v>
      </c>
      <c r="R54" s="2" t="b">
        <f>'Variar Nominales c222'!$G55&gt;80</f>
        <v>1</v>
      </c>
      <c r="S54" s="2" t="b">
        <f>'Variar Nominales c222'!$N55&gt;80</f>
        <v>0</v>
      </c>
    </row>
    <row r="55" spans="1:19" ht="14.25" customHeight="1" x14ac:dyDescent="0.3">
      <c r="A55" s="2">
        <v>54</v>
      </c>
      <c r="B55" s="2" t="b">
        <f>'Variar Nominales h112'!$G56&gt;80</f>
        <v>1</v>
      </c>
      <c r="C55" s="2" t="b">
        <f>'Variar Nominales h112'!$N56&gt;80</f>
        <v>1</v>
      </c>
      <c r="E55" s="2" t="b">
        <f>'Variar Nominales h211'!$G56&gt;80</f>
        <v>0</v>
      </c>
      <c r="F55" s="2" t="b">
        <f>'Variar Nominales h211'!$N56&gt;80</f>
        <v>0</v>
      </c>
      <c r="H55" s="2" t="b">
        <f>'Variar Nominales h222'!$G56&gt;80</f>
        <v>0</v>
      </c>
      <c r="I55" s="2" t="b">
        <f>'Variar Nominales h222'!$N56&gt;80</f>
        <v>0</v>
      </c>
      <c r="K55" s="2">
        <v>54</v>
      </c>
      <c r="L55" s="2" t="b">
        <f>'Variar Nominales c112'!$G56&gt;80</f>
        <v>0</v>
      </c>
      <c r="M55" s="2" t="b">
        <f>'Variar Nominales c112'!$N56&gt;80</f>
        <v>0</v>
      </c>
      <c r="O55" s="2" t="b">
        <f>'Variar Nominales c211'!$G56&gt;80</f>
        <v>1</v>
      </c>
      <c r="P55" s="2" t="b">
        <f>'Variar Nominales c211'!$N56&gt;80</f>
        <v>0</v>
      </c>
      <c r="R55" s="2" t="b">
        <f>'Variar Nominales c222'!$G56&gt;80</f>
        <v>0</v>
      </c>
      <c r="S55" s="2" t="b">
        <f>'Variar Nominales c222'!$N56&gt;80</f>
        <v>0</v>
      </c>
    </row>
    <row r="56" spans="1:19" ht="14.25" customHeight="1" x14ac:dyDescent="0.3">
      <c r="A56" s="2">
        <v>55</v>
      </c>
      <c r="B56" s="2" t="b">
        <f>'Variar Nominales h112'!$G57&gt;80</f>
        <v>1</v>
      </c>
      <c r="C56" s="2" t="b">
        <f>'Variar Nominales h112'!$N57&gt;80</f>
        <v>1</v>
      </c>
      <c r="E56" s="2" t="b">
        <f>'Variar Nominales h211'!$G57&gt;80</f>
        <v>1</v>
      </c>
      <c r="F56" s="2" t="b">
        <f>'Variar Nominales h211'!$N57&gt;80</f>
        <v>0</v>
      </c>
      <c r="H56" s="2" t="b">
        <f>'Variar Nominales h222'!$G57&gt;80</f>
        <v>1</v>
      </c>
      <c r="I56" s="2" t="b">
        <f>'Variar Nominales h222'!$N57&gt;80</f>
        <v>0</v>
      </c>
      <c r="K56" s="2">
        <v>55</v>
      </c>
      <c r="L56" s="2" t="b">
        <f>'Variar Nominales c112'!$G57&gt;80</f>
        <v>1</v>
      </c>
      <c r="M56" s="2" t="b">
        <f>'Variar Nominales c112'!$N57&gt;80</f>
        <v>0</v>
      </c>
      <c r="O56" s="2" t="b">
        <f>'Variar Nominales c211'!$G57&gt;80</f>
        <v>1</v>
      </c>
      <c r="P56" s="2" t="b">
        <f>'Variar Nominales c211'!$N57&gt;80</f>
        <v>0</v>
      </c>
      <c r="R56" s="2" t="b">
        <f>'Variar Nominales c222'!$G57&gt;80</f>
        <v>1</v>
      </c>
      <c r="S56" s="2" t="b">
        <f>'Variar Nominales c222'!$N57&gt;80</f>
        <v>0</v>
      </c>
    </row>
    <row r="57" spans="1:19" ht="14.25" customHeight="1" x14ac:dyDescent="0.3">
      <c r="A57" s="2">
        <v>56</v>
      </c>
      <c r="B57" s="2" t="b">
        <f>'Variar Nominales h112'!$G58&gt;80</f>
        <v>0</v>
      </c>
      <c r="C57" s="2" t="b">
        <f>'Variar Nominales h112'!$N58&gt;80</f>
        <v>1</v>
      </c>
      <c r="E57" s="2" t="b">
        <f>'Variar Nominales h211'!$G58&gt;80</f>
        <v>1</v>
      </c>
      <c r="F57" s="2" t="b">
        <f>'Variar Nominales h211'!$N58&gt;80</f>
        <v>0</v>
      </c>
      <c r="H57" s="2" t="b">
        <f>'Variar Nominales h222'!$G58&gt;80</f>
        <v>1</v>
      </c>
      <c r="I57" s="2" t="b">
        <f>'Variar Nominales h222'!$N58&gt;80</f>
        <v>0</v>
      </c>
      <c r="K57" s="2">
        <v>56</v>
      </c>
      <c r="L57" s="2" t="b">
        <f>'Variar Nominales c112'!$G58&gt;80</f>
        <v>1</v>
      </c>
      <c r="M57" s="2" t="b">
        <f>'Variar Nominales c112'!$N58&gt;80</f>
        <v>0</v>
      </c>
      <c r="O57" s="2" t="b">
        <f>'Variar Nominales c211'!$G58&gt;80</f>
        <v>1</v>
      </c>
      <c r="P57" s="2" t="b">
        <f>'Variar Nominales c211'!$N58&gt;80</f>
        <v>0</v>
      </c>
      <c r="R57" s="2" t="b">
        <f>'Variar Nominales c222'!$G58&gt;80</f>
        <v>1</v>
      </c>
      <c r="S57" s="2" t="b">
        <f>'Variar Nominales c222'!$N58&gt;80</f>
        <v>0</v>
      </c>
    </row>
    <row r="58" spans="1:19" ht="14.25" customHeight="1" x14ac:dyDescent="0.3">
      <c r="A58" s="2">
        <v>57</v>
      </c>
      <c r="B58" s="2" t="b">
        <f>'Variar Nominales h112'!$G59&gt;80</f>
        <v>1</v>
      </c>
      <c r="C58" s="2" t="b">
        <f>'Variar Nominales h112'!$N59&gt;80</f>
        <v>0</v>
      </c>
      <c r="E58" s="2" t="b">
        <f>'Variar Nominales h211'!$G59&gt;80</f>
        <v>0</v>
      </c>
      <c r="F58" s="2" t="b">
        <f>'Variar Nominales h211'!$N59&gt;80</f>
        <v>0</v>
      </c>
      <c r="H58" s="2" t="b">
        <f>'Variar Nominales h222'!$G59&gt;80</f>
        <v>0</v>
      </c>
      <c r="I58" s="2" t="b">
        <f>'Variar Nominales h222'!$N59&gt;80</f>
        <v>0</v>
      </c>
      <c r="K58" s="2">
        <v>57</v>
      </c>
      <c r="L58" s="2" t="b">
        <f>'Variar Nominales c112'!$G59&gt;80</f>
        <v>0</v>
      </c>
      <c r="M58" s="2" t="b">
        <f>'Variar Nominales c112'!$N59&gt;80</f>
        <v>0</v>
      </c>
      <c r="O58" s="2" t="b">
        <f>'Variar Nominales c211'!$G59&gt;80</f>
        <v>1</v>
      </c>
      <c r="P58" s="2" t="b">
        <f>'Variar Nominales c211'!$N59&gt;80</f>
        <v>0</v>
      </c>
      <c r="R58" s="2" t="b">
        <f>'Variar Nominales c222'!$G59&gt;80</f>
        <v>1</v>
      </c>
      <c r="S58" s="2" t="b">
        <f>'Variar Nominales c222'!$N59&gt;80</f>
        <v>0</v>
      </c>
    </row>
    <row r="59" spans="1:19" ht="14.25" customHeight="1" x14ac:dyDescent="0.3">
      <c r="A59" s="2">
        <v>58</v>
      </c>
      <c r="B59" s="2" t="b">
        <f>'Variar Nominales h112'!$G60&gt;80</f>
        <v>1</v>
      </c>
      <c r="C59" s="2" t="b">
        <f>'Variar Nominales h112'!$N60&gt;80</f>
        <v>1</v>
      </c>
      <c r="E59" s="2" t="b">
        <f>'Variar Nominales h211'!$G60&gt;80</f>
        <v>1</v>
      </c>
      <c r="F59" s="2" t="b">
        <f>'Variar Nominales h211'!$N60&gt;80</f>
        <v>0</v>
      </c>
      <c r="H59" s="2" t="b">
        <f>'Variar Nominales h222'!$G60&gt;80</f>
        <v>1</v>
      </c>
      <c r="I59" s="2" t="b">
        <f>'Variar Nominales h222'!$N60&gt;80</f>
        <v>0</v>
      </c>
      <c r="K59" s="2">
        <v>58</v>
      </c>
      <c r="L59" s="2" t="b">
        <f>'Variar Nominales c112'!$G60&gt;80</f>
        <v>0</v>
      </c>
      <c r="M59" s="2" t="b">
        <f>'Variar Nominales c112'!$N60&gt;80</f>
        <v>0</v>
      </c>
      <c r="O59" s="2" t="b">
        <f>'Variar Nominales c211'!$G60&gt;80</f>
        <v>0</v>
      </c>
      <c r="P59" s="2" t="b">
        <f>'Variar Nominales c211'!$N60&gt;80</f>
        <v>0</v>
      </c>
      <c r="R59" s="2" t="b">
        <f>'Variar Nominales c222'!$G60&gt;80</f>
        <v>1</v>
      </c>
      <c r="S59" s="2" t="b">
        <f>'Variar Nominales c222'!$N60&gt;80</f>
        <v>0</v>
      </c>
    </row>
    <row r="60" spans="1:19" ht="14.25" customHeight="1" x14ac:dyDescent="0.3">
      <c r="A60" s="2">
        <v>59</v>
      </c>
      <c r="B60" s="2" t="b">
        <f>'Variar Nominales h112'!$G61&gt;80</f>
        <v>1</v>
      </c>
      <c r="C60" s="2" t="b">
        <f>'Variar Nominales h112'!$N61&gt;80</f>
        <v>1</v>
      </c>
      <c r="E60" s="2" t="b">
        <f>'Variar Nominales h211'!$G61&gt;80</f>
        <v>0</v>
      </c>
      <c r="F60" s="2" t="b">
        <f>'Variar Nominales h211'!$N61&gt;80</f>
        <v>0</v>
      </c>
      <c r="H60" s="2" t="b">
        <f>'Variar Nominales h222'!$G61&gt;80</f>
        <v>0</v>
      </c>
      <c r="I60" s="2" t="b">
        <f>'Variar Nominales h222'!$N61&gt;80</f>
        <v>0</v>
      </c>
      <c r="K60" s="2">
        <v>59</v>
      </c>
      <c r="L60" s="2" t="b">
        <f>'Variar Nominales c112'!$G61&gt;80</f>
        <v>0</v>
      </c>
      <c r="M60" s="2" t="b">
        <f>'Variar Nominales c112'!$N61&gt;80</f>
        <v>0</v>
      </c>
      <c r="O60" s="2" t="b">
        <f>'Variar Nominales c211'!$G61&gt;80</f>
        <v>1</v>
      </c>
      <c r="P60" s="2" t="b">
        <f>'Variar Nominales c211'!$N61&gt;80</f>
        <v>0</v>
      </c>
      <c r="R60" s="2" t="b">
        <f>'Variar Nominales c222'!$G61&gt;80</f>
        <v>0</v>
      </c>
      <c r="S60" s="2" t="b">
        <f>'Variar Nominales c222'!$N61&gt;80</f>
        <v>0</v>
      </c>
    </row>
    <row r="61" spans="1:19" ht="14.25" customHeight="1" x14ac:dyDescent="0.3">
      <c r="A61" s="2">
        <v>60</v>
      </c>
      <c r="B61" s="2" t="b">
        <f>'Variar Nominales h112'!$G62&gt;80</f>
        <v>1</v>
      </c>
      <c r="C61" s="2" t="b">
        <f>'Variar Nominales h112'!$N62&gt;80</f>
        <v>1</v>
      </c>
      <c r="E61" s="2" t="b">
        <f>'Variar Nominales h211'!$G62&gt;80</f>
        <v>1</v>
      </c>
      <c r="F61" s="2" t="b">
        <f>'Variar Nominales h211'!$N62&gt;80</f>
        <v>0</v>
      </c>
      <c r="H61" s="2" t="b">
        <f>'Variar Nominales h222'!$G62&gt;80</f>
        <v>1</v>
      </c>
      <c r="I61" s="2" t="b">
        <f>'Variar Nominales h222'!$N62&gt;80</f>
        <v>0</v>
      </c>
      <c r="K61" s="2">
        <v>60</v>
      </c>
      <c r="L61" s="2" t="b">
        <f>'Variar Nominales c112'!$G62&gt;80</f>
        <v>1</v>
      </c>
      <c r="M61" s="2" t="b">
        <f>'Variar Nominales c112'!$N62&gt;80</f>
        <v>0</v>
      </c>
      <c r="O61" s="2" t="b">
        <f>'Variar Nominales c211'!$G62&gt;80</f>
        <v>1</v>
      </c>
      <c r="P61" s="2" t="b">
        <f>'Variar Nominales c211'!$N62&gt;80</f>
        <v>0</v>
      </c>
      <c r="R61" s="2" t="b">
        <f>'Variar Nominales c222'!$G62&gt;80</f>
        <v>1</v>
      </c>
      <c r="S61" s="2" t="b">
        <f>'Variar Nominales c222'!$N62&gt;80</f>
        <v>0</v>
      </c>
    </row>
    <row r="62" spans="1:19" ht="14.25" customHeight="1" x14ac:dyDescent="0.3">
      <c r="A62" s="2">
        <v>61</v>
      </c>
      <c r="B62" s="2" t="b">
        <f>'Variar Nominales h112'!$G63&gt;80</f>
        <v>0</v>
      </c>
      <c r="C62" s="2" t="b">
        <f>'Variar Nominales h112'!$N63&gt;80</f>
        <v>0</v>
      </c>
      <c r="E62" s="2" t="b">
        <f>'Variar Nominales h211'!$G63&gt;80</f>
        <v>1</v>
      </c>
      <c r="F62" s="2" t="b">
        <f>'Variar Nominales h211'!$N63&gt;80</f>
        <v>0</v>
      </c>
      <c r="H62" s="2" t="b">
        <f>'Variar Nominales h222'!$G63&gt;80</f>
        <v>1</v>
      </c>
      <c r="I62" s="2" t="b">
        <f>'Variar Nominales h222'!$N63&gt;80</f>
        <v>0</v>
      </c>
      <c r="K62" s="2">
        <v>61</v>
      </c>
      <c r="L62" s="2" t="b">
        <f>'Variar Nominales c112'!$G63&gt;80</f>
        <v>1</v>
      </c>
      <c r="M62" s="2" t="b">
        <f>'Variar Nominales c112'!$N63&gt;80</f>
        <v>0</v>
      </c>
      <c r="O62" s="2" t="b">
        <f>'Variar Nominales c211'!$G63&gt;80</f>
        <v>1</v>
      </c>
      <c r="P62" s="2" t="b">
        <f>'Variar Nominales c211'!$N63&gt;80</f>
        <v>0</v>
      </c>
      <c r="R62" s="2" t="b">
        <f>'Variar Nominales c222'!$G63&gt;80</f>
        <v>1</v>
      </c>
      <c r="S62" s="2" t="b">
        <f>'Variar Nominales c222'!$N63&gt;80</f>
        <v>0</v>
      </c>
    </row>
    <row r="63" spans="1:19" ht="14.25" customHeight="1" x14ac:dyDescent="0.3">
      <c r="A63" s="2">
        <v>62</v>
      </c>
      <c r="B63" s="2" t="b">
        <f>'Variar Nominales h112'!$G64&gt;80</f>
        <v>1</v>
      </c>
      <c r="C63" s="2" t="b">
        <f>'Variar Nominales h112'!$N64&gt;80</f>
        <v>1</v>
      </c>
      <c r="E63" s="2" t="b">
        <f>'Variar Nominales h211'!$G64&gt;80</f>
        <v>0</v>
      </c>
      <c r="F63" s="2" t="b">
        <f>'Variar Nominales h211'!$N64&gt;80</f>
        <v>0</v>
      </c>
      <c r="H63" s="2" t="b">
        <f>'Variar Nominales h222'!$G64&gt;80</f>
        <v>0</v>
      </c>
      <c r="I63" s="2" t="b">
        <f>'Variar Nominales h222'!$N64&gt;80</f>
        <v>0</v>
      </c>
      <c r="K63" s="2">
        <v>62</v>
      </c>
      <c r="L63" s="2" t="b">
        <f>'Variar Nominales c112'!$G64&gt;80</f>
        <v>0</v>
      </c>
      <c r="M63" s="2" t="b">
        <f>'Variar Nominales c112'!$N64&gt;80</f>
        <v>0</v>
      </c>
      <c r="O63" s="2" t="b">
        <f>'Variar Nominales c211'!$G64&gt;80</f>
        <v>1</v>
      </c>
      <c r="P63" s="2" t="b">
        <f>'Variar Nominales c211'!$N64&gt;80</f>
        <v>0</v>
      </c>
      <c r="R63" s="2" t="b">
        <f>'Variar Nominales c222'!$G64&gt;80</f>
        <v>1</v>
      </c>
      <c r="S63" s="2" t="b">
        <f>'Variar Nominales c222'!$N64&gt;80</f>
        <v>0</v>
      </c>
    </row>
    <row r="64" spans="1:19" ht="14.25" customHeight="1" x14ac:dyDescent="0.3">
      <c r="A64" s="2">
        <v>63</v>
      </c>
      <c r="B64" s="2" t="b">
        <f>'Variar Nominales h112'!$G65&gt;80</f>
        <v>1</v>
      </c>
      <c r="C64" s="2" t="b">
        <f>'Variar Nominales h112'!$N65&gt;80</f>
        <v>1</v>
      </c>
      <c r="E64" s="2" t="b">
        <f>'Variar Nominales h211'!$G65&gt;80</f>
        <v>1</v>
      </c>
      <c r="F64" s="2" t="b">
        <f>'Variar Nominales h211'!$N65&gt;80</f>
        <v>0</v>
      </c>
      <c r="H64" s="2" t="b">
        <f>'Variar Nominales h222'!$G65&gt;80</f>
        <v>1</v>
      </c>
      <c r="I64" s="2" t="b">
        <f>'Variar Nominales h222'!$N65&gt;80</f>
        <v>0</v>
      </c>
      <c r="K64" s="2">
        <v>63</v>
      </c>
      <c r="L64" s="2" t="b">
        <f>'Variar Nominales c112'!$G65&gt;80</f>
        <v>0</v>
      </c>
      <c r="M64" s="2" t="b">
        <f>'Variar Nominales c112'!$N65&gt;80</f>
        <v>0</v>
      </c>
      <c r="O64" s="2" t="b">
        <f>'Variar Nominales c211'!$G65&gt;80</f>
        <v>0</v>
      </c>
      <c r="P64" s="2" t="b">
        <f>'Variar Nominales c211'!$N65&gt;80</f>
        <v>0</v>
      </c>
      <c r="R64" s="2" t="b">
        <f>'Variar Nominales c222'!$G65&gt;80</f>
        <v>1</v>
      </c>
      <c r="S64" s="2" t="b">
        <f>'Variar Nominales c222'!$N65&gt;80</f>
        <v>0</v>
      </c>
    </row>
    <row r="65" spans="1:19" ht="14.25" customHeight="1" x14ac:dyDescent="0.3">
      <c r="A65" s="2">
        <v>64</v>
      </c>
      <c r="B65" s="2" t="b">
        <f>'Variar Nominales h112'!$G66&gt;80</f>
        <v>1</v>
      </c>
      <c r="C65" s="2" t="b">
        <f>'Variar Nominales h112'!$N66&gt;80</f>
        <v>1</v>
      </c>
      <c r="E65" s="2" t="b">
        <f>'Variar Nominales h211'!$G66&gt;80</f>
        <v>0</v>
      </c>
      <c r="F65" s="2" t="b">
        <f>'Variar Nominales h211'!$N66&gt;80</f>
        <v>0</v>
      </c>
      <c r="H65" s="2" t="b">
        <f>'Variar Nominales h222'!$G66&gt;80</f>
        <v>0</v>
      </c>
      <c r="I65" s="2" t="b">
        <f>'Variar Nominales h222'!$N66&gt;80</f>
        <v>0</v>
      </c>
      <c r="K65" s="2">
        <v>64</v>
      </c>
      <c r="L65" s="2" t="b">
        <f>'Variar Nominales c112'!$G66&gt;80</f>
        <v>0</v>
      </c>
      <c r="M65" s="2" t="b">
        <f>'Variar Nominales c112'!$N66&gt;80</f>
        <v>0</v>
      </c>
      <c r="O65" s="2" t="b">
        <f>'Variar Nominales c211'!$G66&gt;80</f>
        <v>1</v>
      </c>
      <c r="P65" s="2" t="b">
        <f>'Variar Nominales c211'!$N66&gt;80</f>
        <v>0</v>
      </c>
      <c r="R65" s="2" t="b">
        <f>'Variar Nominales c222'!$G66&gt;80</f>
        <v>0</v>
      </c>
      <c r="S65" s="2" t="b">
        <f>'Variar Nominales c222'!$N66&gt;80</f>
        <v>0</v>
      </c>
    </row>
    <row r="66" spans="1:19" ht="14.25" customHeight="1" x14ac:dyDescent="0.3">
      <c r="A66" s="2">
        <v>65</v>
      </c>
      <c r="B66" s="2" t="b">
        <f>'Variar Nominales h112'!$G67&gt;80</f>
        <v>1</v>
      </c>
      <c r="C66" s="2" t="b">
        <f>'Variar Nominales h112'!$N67&gt;80</f>
        <v>0</v>
      </c>
      <c r="E66" s="2" t="b">
        <f>'Variar Nominales h211'!$G67&gt;80</f>
        <v>1</v>
      </c>
      <c r="F66" s="2" t="b">
        <f>'Variar Nominales h211'!$N67&gt;80</f>
        <v>0</v>
      </c>
      <c r="H66" s="2" t="b">
        <f>'Variar Nominales h222'!$G67&gt;80</f>
        <v>1</v>
      </c>
      <c r="I66" s="2" t="b">
        <f>'Variar Nominales h222'!$N67&gt;80</f>
        <v>0</v>
      </c>
      <c r="K66" s="2">
        <v>65</v>
      </c>
      <c r="L66" s="2" t="b">
        <f>'Variar Nominales c112'!$G67&gt;80</f>
        <v>1</v>
      </c>
      <c r="M66" s="2" t="b">
        <f>'Variar Nominales c112'!$N67&gt;80</f>
        <v>0</v>
      </c>
      <c r="O66" s="2" t="b">
        <f>'Variar Nominales c211'!$G67&gt;80</f>
        <v>1</v>
      </c>
      <c r="P66" s="2" t="b">
        <f>'Variar Nominales c211'!$N67&gt;80</f>
        <v>0</v>
      </c>
      <c r="R66" s="2" t="b">
        <f>'Variar Nominales c222'!$G67&gt;80</f>
        <v>1</v>
      </c>
      <c r="S66" s="2" t="b">
        <f>'Variar Nominales c222'!$N67&gt;80</f>
        <v>0</v>
      </c>
    </row>
    <row r="67" spans="1:19" ht="14.25" customHeight="1" x14ac:dyDescent="0.3">
      <c r="A67" s="2">
        <v>66</v>
      </c>
      <c r="B67" s="2" t="b">
        <f>'Variar Nominales h112'!$G68&gt;80</f>
        <v>0</v>
      </c>
      <c r="C67" s="2" t="b">
        <f>'Variar Nominales h112'!$N68&gt;80</f>
        <v>1</v>
      </c>
      <c r="E67" s="2" t="b">
        <f>'Variar Nominales h211'!$G68&gt;80</f>
        <v>1</v>
      </c>
      <c r="F67" s="2" t="b">
        <f>'Variar Nominales h211'!$N68&gt;80</f>
        <v>0</v>
      </c>
      <c r="H67" s="2" t="b">
        <f>'Variar Nominales h222'!$G68&gt;80</f>
        <v>1</v>
      </c>
      <c r="I67" s="2" t="b">
        <f>'Variar Nominales h222'!$N68&gt;80</f>
        <v>0</v>
      </c>
      <c r="K67" s="2">
        <v>66</v>
      </c>
      <c r="L67" s="2" t="b">
        <f>'Variar Nominales c112'!$G68&gt;80</f>
        <v>1</v>
      </c>
      <c r="M67" s="2" t="b">
        <f>'Variar Nominales c112'!$N68&gt;80</f>
        <v>0</v>
      </c>
      <c r="O67" s="2" t="b">
        <f>'Variar Nominales c211'!$G68&gt;80</f>
        <v>1</v>
      </c>
      <c r="P67" s="2" t="b">
        <f>'Variar Nominales c211'!$N68&gt;80</f>
        <v>0</v>
      </c>
      <c r="R67" s="2" t="b">
        <f>'Variar Nominales c222'!$G68&gt;80</f>
        <v>1</v>
      </c>
      <c r="S67" s="2" t="b">
        <f>'Variar Nominales c222'!$N68&gt;80</f>
        <v>0</v>
      </c>
    </row>
    <row r="68" spans="1:19" ht="14.25" customHeight="1" x14ac:dyDescent="0.3">
      <c r="A68" s="2">
        <v>67</v>
      </c>
      <c r="B68" s="2" t="b">
        <f>'Variar Nominales h112'!$G69&gt;80</f>
        <v>1</v>
      </c>
      <c r="C68" s="2" t="b">
        <f>'Variar Nominales h112'!$N69&gt;80</f>
        <v>1</v>
      </c>
      <c r="E68" s="2" t="b">
        <f>'Variar Nominales h211'!$G69&gt;80</f>
        <v>0</v>
      </c>
      <c r="F68" s="2" t="b">
        <f>'Variar Nominales h211'!$N69&gt;80</f>
        <v>0</v>
      </c>
      <c r="H68" s="2" t="b">
        <f>'Variar Nominales h222'!$G69&gt;80</f>
        <v>0</v>
      </c>
      <c r="I68" s="2" t="b">
        <f>'Variar Nominales h222'!$N69&gt;80</f>
        <v>0</v>
      </c>
      <c r="K68" s="2">
        <v>67</v>
      </c>
      <c r="L68" s="2" t="b">
        <f>'Variar Nominales c112'!$G69&gt;80</f>
        <v>0</v>
      </c>
      <c r="M68" s="2" t="b">
        <f>'Variar Nominales c112'!$N69&gt;80</f>
        <v>0</v>
      </c>
      <c r="O68" s="2" t="b">
        <f>'Variar Nominales c211'!$G69&gt;80</f>
        <v>1</v>
      </c>
      <c r="P68" s="2" t="b">
        <f>'Variar Nominales c211'!$N69&gt;80</f>
        <v>0</v>
      </c>
      <c r="R68" s="2" t="b">
        <f>'Variar Nominales c222'!$G69&gt;80</f>
        <v>1</v>
      </c>
      <c r="S68" s="2" t="b">
        <f>'Variar Nominales c222'!$N69&gt;80</f>
        <v>0</v>
      </c>
    </row>
    <row r="69" spans="1:19" ht="14.25" customHeight="1" x14ac:dyDescent="0.3">
      <c r="A69" s="2">
        <v>68</v>
      </c>
      <c r="B69" s="2" t="b">
        <f>'Variar Nominales h112'!$G70&gt;80</f>
        <v>1</v>
      </c>
      <c r="C69" s="2" t="b">
        <f>'Variar Nominales h112'!$N70&gt;80</f>
        <v>1</v>
      </c>
      <c r="E69" s="2" t="b">
        <f>'Variar Nominales h211'!$G70&gt;80</f>
        <v>1</v>
      </c>
      <c r="F69" s="2" t="b">
        <f>'Variar Nominales h211'!$N70&gt;80</f>
        <v>0</v>
      </c>
      <c r="H69" s="2" t="b">
        <f>'Variar Nominales h222'!$G70&gt;80</f>
        <v>1</v>
      </c>
      <c r="I69" s="2" t="b">
        <f>'Variar Nominales h222'!$N70&gt;80</f>
        <v>0</v>
      </c>
      <c r="K69" s="2">
        <v>68</v>
      </c>
      <c r="L69" s="2" t="b">
        <f>'Variar Nominales c112'!$G70&gt;80</f>
        <v>0</v>
      </c>
      <c r="M69" s="2" t="b">
        <f>'Variar Nominales c112'!$N70&gt;80</f>
        <v>0</v>
      </c>
      <c r="O69" s="2" t="b">
        <f>'Variar Nominales c211'!$G70&gt;80</f>
        <v>0</v>
      </c>
      <c r="P69" s="2" t="b">
        <f>'Variar Nominales c211'!$N70&gt;80</f>
        <v>0</v>
      </c>
      <c r="R69" s="2" t="b">
        <f>'Variar Nominales c222'!$G70&gt;80</f>
        <v>1</v>
      </c>
      <c r="S69" s="2" t="b">
        <f>'Variar Nominales c222'!$N70&gt;80</f>
        <v>0</v>
      </c>
    </row>
    <row r="70" spans="1:19" ht="14.25" customHeight="1" x14ac:dyDescent="0.3">
      <c r="A70" s="2">
        <v>69</v>
      </c>
      <c r="B70" s="2" t="b">
        <f>'Variar Nominales h112'!$G71&gt;80</f>
        <v>1</v>
      </c>
      <c r="C70" s="2" t="b">
        <f>'Variar Nominales h112'!$N71&gt;80</f>
        <v>0</v>
      </c>
      <c r="E70" s="2" t="b">
        <f>'Variar Nominales h211'!$G71&gt;80</f>
        <v>0</v>
      </c>
      <c r="F70" s="2" t="b">
        <f>'Variar Nominales h211'!$N71&gt;80</f>
        <v>0</v>
      </c>
      <c r="H70" s="2" t="b">
        <f>'Variar Nominales h222'!$G71&gt;80</f>
        <v>0</v>
      </c>
      <c r="I70" s="2" t="b">
        <f>'Variar Nominales h222'!$N71&gt;80</f>
        <v>0</v>
      </c>
      <c r="K70" s="2">
        <v>69</v>
      </c>
      <c r="L70" s="2" t="b">
        <f>'Variar Nominales c112'!$G71&gt;80</f>
        <v>0</v>
      </c>
      <c r="M70" s="2" t="b">
        <f>'Variar Nominales c112'!$N71&gt;80</f>
        <v>0</v>
      </c>
      <c r="O70" s="2" t="b">
        <f>'Variar Nominales c211'!$G71&gt;80</f>
        <v>1</v>
      </c>
      <c r="P70" s="2" t="b">
        <f>'Variar Nominales c211'!$N71&gt;80</f>
        <v>0</v>
      </c>
      <c r="R70" s="2" t="b">
        <f>'Variar Nominales c222'!$G71&gt;80</f>
        <v>0</v>
      </c>
      <c r="S70" s="2" t="b">
        <f>'Variar Nominales c222'!$N71&gt;80</f>
        <v>0</v>
      </c>
    </row>
    <row r="71" spans="1:19" ht="14.25" customHeight="1" x14ac:dyDescent="0.3">
      <c r="A71" s="2">
        <v>70</v>
      </c>
      <c r="B71" s="2" t="b">
        <f>'Variar Nominales h112'!$G72&gt;80</f>
        <v>1</v>
      </c>
      <c r="C71" s="2" t="b">
        <f>'Variar Nominales h112'!$N72&gt;80</f>
        <v>1</v>
      </c>
      <c r="E71" s="2" t="b">
        <f>'Variar Nominales h211'!$G72&gt;80</f>
        <v>1</v>
      </c>
      <c r="F71" s="2" t="b">
        <f>'Variar Nominales h211'!$N72&gt;80</f>
        <v>0</v>
      </c>
      <c r="H71" s="2" t="b">
        <f>'Variar Nominales h222'!$G72&gt;80</f>
        <v>1</v>
      </c>
      <c r="I71" s="2" t="b">
        <f>'Variar Nominales h222'!$N72&gt;80</f>
        <v>0</v>
      </c>
      <c r="K71" s="2">
        <v>70</v>
      </c>
      <c r="L71" s="2" t="b">
        <f>'Variar Nominales c112'!$G72&gt;80</f>
        <v>1</v>
      </c>
      <c r="M71" s="2" t="b">
        <f>'Variar Nominales c112'!$N72&gt;80</f>
        <v>0</v>
      </c>
      <c r="O71" s="2" t="b">
        <f>'Variar Nominales c211'!$G72&gt;80</f>
        <v>1</v>
      </c>
      <c r="P71" s="2" t="b">
        <f>'Variar Nominales c211'!$N72&gt;80</f>
        <v>0</v>
      </c>
      <c r="R71" s="2" t="b">
        <f>'Variar Nominales c222'!$G72&gt;80</f>
        <v>1</v>
      </c>
      <c r="S71" s="2" t="b">
        <f>'Variar Nominales c222'!$N72&gt;80</f>
        <v>0</v>
      </c>
    </row>
    <row r="72" spans="1:19" ht="14.25" customHeight="1" x14ac:dyDescent="0.3">
      <c r="A72" s="2">
        <v>71</v>
      </c>
      <c r="B72" s="2" t="b">
        <f>'Variar Nominales h112'!$G73&gt;80</f>
        <v>0</v>
      </c>
      <c r="C72" s="2" t="b">
        <f>'Variar Nominales h112'!$N73&gt;80</f>
        <v>1</v>
      </c>
      <c r="E72" s="2" t="b">
        <f>'Variar Nominales h211'!$G73&gt;80</f>
        <v>1</v>
      </c>
      <c r="F72" s="2" t="b">
        <f>'Variar Nominales h211'!$N73&gt;80</f>
        <v>0</v>
      </c>
      <c r="H72" s="2" t="b">
        <f>'Variar Nominales h222'!$G73&gt;80</f>
        <v>1</v>
      </c>
      <c r="I72" s="2" t="b">
        <f>'Variar Nominales h222'!$N73&gt;80</f>
        <v>0</v>
      </c>
      <c r="K72" s="2">
        <v>71</v>
      </c>
      <c r="L72" s="2" t="b">
        <f>'Variar Nominales c112'!$G73&gt;80</f>
        <v>1</v>
      </c>
      <c r="M72" s="2" t="b">
        <f>'Variar Nominales c112'!$N73&gt;80</f>
        <v>0</v>
      </c>
      <c r="O72" s="2" t="b">
        <f>'Variar Nominales c211'!$G73&gt;80</f>
        <v>1</v>
      </c>
      <c r="P72" s="2" t="b">
        <f>'Variar Nominales c211'!$N73&gt;80</f>
        <v>0</v>
      </c>
      <c r="R72" s="2" t="b">
        <f>'Variar Nominales c222'!$G73&gt;80</f>
        <v>1</v>
      </c>
      <c r="S72" s="2" t="b">
        <f>'Variar Nominales c222'!$N73&gt;80</f>
        <v>0</v>
      </c>
    </row>
    <row r="73" spans="1:19" ht="14.25" customHeight="1" x14ac:dyDescent="0.3">
      <c r="A73" s="2">
        <v>72</v>
      </c>
      <c r="B73" s="2" t="b">
        <f>'Variar Nominales h112'!$G74&gt;80</f>
        <v>1</v>
      </c>
      <c r="C73" s="2" t="b">
        <f>'Variar Nominales h112'!$N74&gt;80</f>
        <v>1</v>
      </c>
      <c r="E73" s="2" t="b">
        <f>'Variar Nominales h211'!$G74&gt;80</f>
        <v>0</v>
      </c>
      <c r="F73" s="2" t="b">
        <f>'Variar Nominales h211'!$N74&gt;80</f>
        <v>0</v>
      </c>
      <c r="H73" s="2" t="b">
        <f>'Variar Nominales h222'!$G74&gt;80</f>
        <v>0</v>
      </c>
      <c r="I73" s="2" t="b">
        <f>'Variar Nominales h222'!$N74&gt;80</f>
        <v>0</v>
      </c>
      <c r="K73" s="2">
        <v>72</v>
      </c>
      <c r="L73" s="2" t="b">
        <f>'Variar Nominales c112'!$G74&gt;80</f>
        <v>0</v>
      </c>
      <c r="M73" s="2" t="b">
        <f>'Variar Nominales c112'!$N74&gt;80</f>
        <v>0</v>
      </c>
      <c r="O73" s="2" t="b">
        <f>'Variar Nominales c211'!$G74&gt;80</f>
        <v>1</v>
      </c>
      <c r="P73" s="2" t="b">
        <f>'Variar Nominales c211'!$N74&gt;80</f>
        <v>0</v>
      </c>
      <c r="R73" s="2" t="b">
        <f>'Variar Nominales c222'!$G74&gt;80</f>
        <v>1</v>
      </c>
      <c r="S73" s="2" t="b">
        <f>'Variar Nominales c222'!$N74&gt;80</f>
        <v>0</v>
      </c>
    </row>
    <row r="74" spans="1:19" ht="14.25" customHeight="1" x14ac:dyDescent="0.3">
      <c r="A74" s="2">
        <v>73</v>
      </c>
      <c r="B74" s="2" t="b">
        <f>'Variar Nominales h112'!$G75&gt;80</f>
        <v>1</v>
      </c>
      <c r="C74" s="2" t="b">
        <f>'Variar Nominales h112'!$N75&gt;80</f>
        <v>0</v>
      </c>
      <c r="E74" s="2" t="b">
        <f>'Variar Nominales h211'!$G75&gt;80</f>
        <v>1</v>
      </c>
      <c r="F74" s="2" t="b">
        <f>'Variar Nominales h211'!$N75&gt;80</f>
        <v>0</v>
      </c>
      <c r="H74" s="2" t="b">
        <f>'Variar Nominales h222'!$G75&gt;80</f>
        <v>1</v>
      </c>
      <c r="I74" s="2" t="b">
        <f>'Variar Nominales h222'!$N75&gt;80</f>
        <v>0</v>
      </c>
      <c r="K74" s="2">
        <v>73</v>
      </c>
      <c r="L74" s="2" t="b">
        <f>'Variar Nominales c112'!$G75&gt;80</f>
        <v>0</v>
      </c>
      <c r="M74" s="2" t="b">
        <f>'Variar Nominales c112'!$N75&gt;80</f>
        <v>0</v>
      </c>
      <c r="O74" s="2" t="b">
        <f>'Variar Nominales c211'!$G75&gt;80</f>
        <v>0</v>
      </c>
      <c r="P74" s="2" t="b">
        <f>'Variar Nominales c211'!$N75&gt;80</f>
        <v>0</v>
      </c>
      <c r="R74" s="2" t="b">
        <f>'Variar Nominales c222'!$G75&gt;80</f>
        <v>1</v>
      </c>
      <c r="S74" s="2" t="b">
        <f>'Variar Nominales c222'!$N75&gt;80</f>
        <v>0</v>
      </c>
    </row>
    <row r="75" spans="1:19" ht="14.25" customHeight="1" x14ac:dyDescent="0.3">
      <c r="A75" s="2">
        <v>74</v>
      </c>
      <c r="B75" s="2" t="b">
        <f>'Variar Nominales h112'!$G76&gt;80</f>
        <v>1</v>
      </c>
      <c r="C75" s="2" t="b">
        <f>'Variar Nominales h112'!$N76&gt;80</f>
        <v>1</v>
      </c>
      <c r="E75" s="2" t="b">
        <f>'Variar Nominales h211'!$G76&gt;80</f>
        <v>0</v>
      </c>
      <c r="F75" s="2" t="b">
        <f>'Variar Nominales h211'!$N76&gt;80</f>
        <v>0</v>
      </c>
      <c r="H75" s="2" t="b">
        <f>'Variar Nominales h222'!$G76&gt;80</f>
        <v>0</v>
      </c>
      <c r="I75" s="2" t="b">
        <f>'Variar Nominales h222'!$N76&gt;80</f>
        <v>0</v>
      </c>
      <c r="K75" s="2">
        <v>74</v>
      </c>
      <c r="L75" s="2" t="b">
        <f>'Variar Nominales c112'!$G76&gt;80</f>
        <v>0</v>
      </c>
      <c r="M75" s="2" t="b">
        <f>'Variar Nominales c112'!$N76&gt;80</f>
        <v>0</v>
      </c>
      <c r="O75" s="2" t="b">
        <f>'Variar Nominales c211'!$G76&gt;80</f>
        <v>1</v>
      </c>
      <c r="P75" s="2" t="b">
        <f>'Variar Nominales c211'!$N76&gt;80</f>
        <v>0</v>
      </c>
      <c r="R75" s="2" t="b">
        <f>'Variar Nominales c222'!$G76&gt;80</f>
        <v>0</v>
      </c>
      <c r="S75" s="2" t="b">
        <f>'Variar Nominales c222'!$N76&gt;80</f>
        <v>0</v>
      </c>
    </row>
    <row r="76" spans="1:19" ht="14.25" customHeight="1" x14ac:dyDescent="0.3">
      <c r="A76" s="2">
        <v>75</v>
      </c>
      <c r="B76" s="2" t="b">
        <f>'Variar Nominales h112'!$G77&gt;80</f>
        <v>1</v>
      </c>
      <c r="C76" s="2" t="b">
        <f>'Variar Nominales h112'!$N77&gt;80</f>
        <v>1</v>
      </c>
      <c r="E76" s="2" t="b">
        <f>'Variar Nominales h211'!$G77&gt;80</f>
        <v>1</v>
      </c>
      <c r="F76" s="2" t="b">
        <f>'Variar Nominales h211'!$N77&gt;80</f>
        <v>0</v>
      </c>
      <c r="H76" s="2" t="b">
        <f>'Variar Nominales h222'!$G77&gt;80</f>
        <v>1</v>
      </c>
      <c r="I76" s="2" t="b">
        <f>'Variar Nominales h222'!$N77&gt;80</f>
        <v>0</v>
      </c>
      <c r="K76" s="2">
        <v>75</v>
      </c>
      <c r="L76" s="2" t="b">
        <f>'Variar Nominales c112'!$G77&gt;80</f>
        <v>1</v>
      </c>
      <c r="M76" s="2" t="b">
        <f>'Variar Nominales c112'!$N77&gt;80</f>
        <v>0</v>
      </c>
      <c r="O76" s="2" t="b">
        <f>'Variar Nominales c211'!$G77&gt;80</f>
        <v>1</v>
      </c>
      <c r="P76" s="2" t="b">
        <f>'Variar Nominales c211'!$N77&gt;80</f>
        <v>0</v>
      </c>
      <c r="R76" s="2" t="b">
        <f>'Variar Nominales c222'!$G77&gt;80</f>
        <v>1</v>
      </c>
      <c r="S76" s="2" t="b">
        <f>'Variar Nominales c222'!$N77&gt;80</f>
        <v>0</v>
      </c>
    </row>
    <row r="77" spans="1:19" ht="14.25" customHeight="1" x14ac:dyDescent="0.3">
      <c r="A77" s="2">
        <v>76</v>
      </c>
      <c r="B77" s="2" t="b">
        <f>'Variar Nominales h112'!$G78&gt;80</f>
        <v>0</v>
      </c>
      <c r="C77" s="2" t="b">
        <f>'Variar Nominales h112'!$N78&gt;80</f>
        <v>1</v>
      </c>
      <c r="E77" s="2" t="b">
        <f>'Variar Nominales h211'!$G78&gt;80</f>
        <v>1</v>
      </c>
      <c r="F77" s="2" t="b">
        <f>'Variar Nominales h211'!$N78&gt;80</f>
        <v>0</v>
      </c>
      <c r="H77" s="2" t="b">
        <f>'Variar Nominales h222'!$G78&gt;80</f>
        <v>1</v>
      </c>
      <c r="I77" s="2" t="b">
        <f>'Variar Nominales h222'!$N78&gt;80</f>
        <v>0</v>
      </c>
      <c r="K77" s="2">
        <v>76</v>
      </c>
      <c r="L77" s="2" t="b">
        <f>'Variar Nominales c112'!$G78&gt;80</f>
        <v>1</v>
      </c>
      <c r="M77" s="2" t="b">
        <f>'Variar Nominales c112'!$N78&gt;80</f>
        <v>0</v>
      </c>
      <c r="O77" s="2" t="b">
        <f>'Variar Nominales c211'!$G78&gt;80</f>
        <v>1</v>
      </c>
      <c r="P77" s="2" t="b">
        <f>'Variar Nominales c211'!$N78&gt;80</f>
        <v>0</v>
      </c>
      <c r="R77" s="2" t="b">
        <f>'Variar Nominales c222'!$G78&gt;80</f>
        <v>1</v>
      </c>
      <c r="S77" s="2" t="b">
        <f>'Variar Nominales c222'!$N78&gt;80</f>
        <v>0</v>
      </c>
    </row>
    <row r="78" spans="1:19" ht="14.25" customHeight="1" x14ac:dyDescent="0.3">
      <c r="A78" s="2">
        <v>77</v>
      </c>
      <c r="B78" s="2" t="b">
        <f>'Variar Nominales h112'!$G79&gt;80</f>
        <v>1</v>
      </c>
      <c r="C78" s="2" t="b">
        <f>'Variar Nominales h112'!$N79&gt;80</f>
        <v>0</v>
      </c>
      <c r="E78" s="2" t="b">
        <f>'Variar Nominales h211'!$G79&gt;80</f>
        <v>0</v>
      </c>
      <c r="F78" s="2" t="b">
        <f>'Variar Nominales h211'!$N79&gt;80</f>
        <v>0</v>
      </c>
      <c r="H78" s="2" t="b">
        <f>'Variar Nominales h222'!$G79&gt;80</f>
        <v>0</v>
      </c>
      <c r="I78" s="2" t="b">
        <f>'Variar Nominales h222'!$N79&gt;80</f>
        <v>0</v>
      </c>
      <c r="K78" s="2">
        <v>77</v>
      </c>
      <c r="L78" s="2" t="b">
        <f>'Variar Nominales c112'!$G79&gt;80</f>
        <v>0</v>
      </c>
      <c r="M78" s="2" t="b">
        <f>'Variar Nominales c112'!$N79&gt;80</f>
        <v>0</v>
      </c>
      <c r="O78" s="2" t="b">
        <f>'Variar Nominales c211'!$G79&gt;80</f>
        <v>1</v>
      </c>
      <c r="P78" s="2" t="b">
        <f>'Variar Nominales c211'!$N79&gt;80</f>
        <v>0</v>
      </c>
      <c r="R78" s="2" t="b">
        <f>'Variar Nominales c222'!$G79&gt;80</f>
        <v>1</v>
      </c>
      <c r="S78" s="2" t="b">
        <f>'Variar Nominales c222'!$N79&gt;80</f>
        <v>0</v>
      </c>
    </row>
    <row r="79" spans="1:19" ht="14.25" customHeight="1" x14ac:dyDescent="0.3">
      <c r="A79" s="2">
        <v>78</v>
      </c>
      <c r="B79" s="2" t="b">
        <f>'Variar Nominales h112'!$G80&gt;80</f>
        <v>1</v>
      </c>
      <c r="C79" s="2" t="b">
        <f>'Variar Nominales h112'!$N80&gt;80</f>
        <v>1</v>
      </c>
      <c r="E79" s="2" t="b">
        <f>'Variar Nominales h211'!$G80&gt;80</f>
        <v>1</v>
      </c>
      <c r="F79" s="2" t="b">
        <f>'Variar Nominales h211'!$N80&gt;80</f>
        <v>0</v>
      </c>
      <c r="H79" s="2" t="b">
        <f>'Variar Nominales h222'!$G80&gt;80</f>
        <v>1</v>
      </c>
      <c r="I79" s="2" t="b">
        <f>'Variar Nominales h222'!$N80&gt;80</f>
        <v>0</v>
      </c>
      <c r="K79" s="2">
        <v>78</v>
      </c>
      <c r="L79" s="2" t="b">
        <f>'Variar Nominales c112'!$G80&gt;80</f>
        <v>0</v>
      </c>
      <c r="M79" s="2" t="b">
        <f>'Variar Nominales c112'!$N80&gt;80</f>
        <v>0</v>
      </c>
      <c r="O79" s="2" t="b">
        <f>'Variar Nominales c211'!$G80&gt;80</f>
        <v>0</v>
      </c>
      <c r="P79" s="2" t="b">
        <f>'Variar Nominales c211'!$N80&gt;80</f>
        <v>0</v>
      </c>
      <c r="R79" s="2" t="b">
        <f>'Variar Nominales c222'!$G80&gt;80</f>
        <v>1</v>
      </c>
      <c r="S79" s="2" t="b">
        <f>'Variar Nominales c222'!$N80&gt;80</f>
        <v>0</v>
      </c>
    </row>
    <row r="80" spans="1:19" ht="14.25" customHeight="1" x14ac:dyDescent="0.3">
      <c r="A80" s="2">
        <v>79</v>
      </c>
      <c r="B80" s="2" t="b">
        <f>'Variar Nominales h112'!$G81&gt;80</f>
        <v>1</v>
      </c>
      <c r="C80" s="2" t="b">
        <f>'Variar Nominales h112'!$N81&gt;80</f>
        <v>1</v>
      </c>
      <c r="E80" s="2" t="b">
        <f>'Variar Nominales h211'!$G81&gt;80</f>
        <v>0</v>
      </c>
      <c r="F80" s="2" t="b">
        <f>'Variar Nominales h211'!$N81&gt;80</f>
        <v>0</v>
      </c>
      <c r="H80" s="2" t="b">
        <f>'Variar Nominales h222'!$G81&gt;80</f>
        <v>0</v>
      </c>
      <c r="I80" s="2" t="b">
        <f>'Variar Nominales h222'!$N81&gt;80</f>
        <v>0</v>
      </c>
      <c r="K80" s="2">
        <v>79</v>
      </c>
      <c r="L80" s="2" t="b">
        <f>'Variar Nominales c112'!$G81&gt;80</f>
        <v>0</v>
      </c>
      <c r="M80" s="2" t="b">
        <f>'Variar Nominales c112'!$N81&gt;80</f>
        <v>0</v>
      </c>
      <c r="O80" s="2" t="b">
        <f>'Variar Nominales c211'!$G81&gt;80</f>
        <v>1</v>
      </c>
      <c r="P80" s="2" t="b">
        <f>'Variar Nominales c211'!$N81&gt;80</f>
        <v>0</v>
      </c>
      <c r="R80" s="2" t="b">
        <f>'Variar Nominales c222'!$G81&gt;80</f>
        <v>0</v>
      </c>
      <c r="S80" s="2" t="b">
        <f>'Variar Nominales c222'!$N81&gt;80</f>
        <v>0</v>
      </c>
    </row>
    <row r="81" spans="1:19" ht="14.25" customHeight="1" x14ac:dyDescent="0.3">
      <c r="A81" s="2">
        <v>80</v>
      </c>
      <c r="B81" s="2" t="b">
        <f>'Variar Nominales h112'!$G82&gt;80</f>
        <v>1</v>
      </c>
      <c r="C81" s="2" t="b">
        <f>'Variar Nominales h112'!$N82&gt;80</f>
        <v>1</v>
      </c>
      <c r="E81" s="2" t="b">
        <f>'Variar Nominales h211'!$G82&gt;80</f>
        <v>1</v>
      </c>
      <c r="F81" s="2" t="b">
        <f>'Variar Nominales h211'!$N82&gt;80</f>
        <v>0</v>
      </c>
      <c r="H81" s="2" t="b">
        <f>'Variar Nominales h222'!$G82&gt;80</f>
        <v>1</v>
      </c>
      <c r="I81" s="2" t="b">
        <f>'Variar Nominales h222'!$N82&gt;80</f>
        <v>0</v>
      </c>
      <c r="K81" s="2">
        <v>80</v>
      </c>
      <c r="L81" s="2" t="b">
        <f>'Variar Nominales c112'!$G82&gt;80</f>
        <v>1</v>
      </c>
      <c r="M81" s="2" t="b">
        <f>'Variar Nominales c112'!$N82&gt;80</f>
        <v>0</v>
      </c>
      <c r="O81" s="2" t="b">
        <f>'Variar Nominales c211'!$G82&gt;80</f>
        <v>1</v>
      </c>
      <c r="P81" s="2" t="b">
        <f>'Variar Nominales c211'!$N82&gt;80</f>
        <v>0</v>
      </c>
      <c r="R81" s="2" t="b">
        <f>'Variar Nominales c222'!$G82&gt;80</f>
        <v>1</v>
      </c>
      <c r="S81" s="2" t="b">
        <f>'Variar Nominales c222'!$N82&gt;80</f>
        <v>0</v>
      </c>
    </row>
    <row r="82" spans="1:19" ht="14.25" customHeight="1" x14ac:dyDescent="0.3">
      <c r="A82" s="2">
        <v>81</v>
      </c>
      <c r="B82" s="2" t="b">
        <f>'Variar Nominales h112'!$G83&gt;80</f>
        <v>0</v>
      </c>
      <c r="C82" s="2" t="b">
        <f>'Variar Nominales h112'!$N83&gt;80</f>
        <v>0</v>
      </c>
      <c r="E82" s="2" t="b">
        <f>'Variar Nominales h211'!$G83&gt;80</f>
        <v>1</v>
      </c>
      <c r="F82" s="2" t="b">
        <f>'Variar Nominales h211'!$N83&gt;80</f>
        <v>0</v>
      </c>
      <c r="H82" s="2" t="b">
        <f>'Variar Nominales h222'!$G83&gt;80</f>
        <v>1</v>
      </c>
      <c r="I82" s="2" t="b">
        <f>'Variar Nominales h222'!$N83&gt;80</f>
        <v>0</v>
      </c>
      <c r="K82" s="2">
        <v>81</v>
      </c>
      <c r="L82" s="2" t="b">
        <f>'Variar Nominales c112'!$G83&gt;80</f>
        <v>1</v>
      </c>
      <c r="M82" s="2" t="b">
        <f>'Variar Nominales c112'!$N83&gt;80</f>
        <v>0</v>
      </c>
      <c r="O82" s="2" t="b">
        <f>'Variar Nominales c211'!$G83&gt;80</f>
        <v>1</v>
      </c>
      <c r="P82" s="2" t="b">
        <f>'Variar Nominales c211'!$N83&gt;80</f>
        <v>0</v>
      </c>
      <c r="R82" s="2" t="b">
        <f>'Variar Nominales c222'!$G83&gt;80</f>
        <v>1</v>
      </c>
      <c r="S82" s="2" t="b">
        <f>'Variar Nominales c222'!$N83&gt;80</f>
        <v>0</v>
      </c>
    </row>
    <row r="83" spans="1:19" ht="14.25" customHeight="1" x14ac:dyDescent="0.3">
      <c r="A83" s="2">
        <v>82</v>
      </c>
      <c r="B83" s="2" t="b">
        <f>'Variar Nominales h112'!$G84&gt;80</f>
        <v>1</v>
      </c>
      <c r="C83" s="2" t="b">
        <f>'Variar Nominales h112'!$N84&gt;80</f>
        <v>1</v>
      </c>
      <c r="E83" s="2" t="b">
        <f>'Variar Nominales h211'!$G84&gt;80</f>
        <v>0</v>
      </c>
      <c r="F83" s="2" t="b">
        <f>'Variar Nominales h211'!$N84&gt;80</f>
        <v>0</v>
      </c>
      <c r="H83" s="2" t="b">
        <f>'Variar Nominales h222'!$G84&gt;80</f>
        <v>0</v>
      </c>
      <c r="I83" s="2" t="b">
        <f>'Variar Nominales h222'!$N84&gt;80</f>
        <v>0</v>
      </c>
      <c r="K83" s="2">
        <v>82</v>
      </c>
      <c r="L83" s="2" t="b">
        <f>'Variar Nominales c112'!$G84&gt;80</f>
        <v>0</v>
      </c>
      <c r="M83" s="2" t="b">
        <f>'Variar Nominales c112'!$N84&gt;80</f>
        <v>0</v>
      </c>
      <c r="O83" s="2" t="b">
        <f>'Variar Nominales c211'!$G84&gt;80</f>
        <v>1</v>
      </c>
      <c r="P83" s="2" t="b">
        <f>'Variar Nominales c211'!$N84&gt;80</f>
        <v>0</v>
      </c>
      <c r="R83" s="2" t="b">
        <f>'Variar Nominales c222'!$G84&gt;80</f>
        <v>1</v>
      </c>
      <c r="S83" s="2" t="b">
        <f>'Variar Nominales c222'!$N84&gt;80</f>
        <v>0</v>
      </c>
    </row>
    <row r="84" spans="1:19" ht="14.25" customHeight="1" x14ac:dyDescent="0.3">
      <c r="A84" s="2">
        <v>83</v>
      </c>
      <c r="B84" s="2" t="b">
        <f>'Variar Nominales h112'!$G85&gt;80</f>
        <v>1</v>
      </c>
      <c r="C84" s="2" t="b">
        <f>'Variar Nominales h112'!$N85&gt;80</f>
        <v>1</v>
      </c>
      <c r="E84" s="2" t="b">
        <f>'Variar Nominales h211'!$G85&gt;80</f>
        <v>1</v>
      </c>
      <c r="F84" s="2" t="b">
        <f>'Variar Nominales h211'!$N85&gt;80</f>
        <v>0</v>
      </c>
      <c r="H84" s="2" t="b">
        <f>'Variar Nominales h222'!$G85&gt;80</f>
        <v>1</v>
      </c>
      <c r="I84" s="2" t="b">
        <f>'Variar Nominales h222'!$N85&gt;80</f>
        <v>0</v>
      </c>
      <c r="K84" s="2">
        <v>83</v>
      </c>
      <c r="L84" s="2" t="b">
        <f>'Variar Nominales c112'!$G85&gt;80</f>
        <v>0</v>
      </c>
      <c r="M84" s="2" t="b">
        <f>'Variar Nominales c112'!$N85&gt;80</f>
        <v>0</v>
      </c>
      <c r="O84" s="2" t="b">
        <f>'Variar Nominales c211'!$G85&gt;80</f>
        <v>0</v>
      </c>
      <c r="P84" s="2" t="b">
        <f>'Variar Nominales c211'!$N85&gt;80</f>
        <v>0</v>
      </c>
      <c r="R84" s="2" t="b">
        <f>'Variar Nominales c222'!$G85&gt;80</f>
        <v>1</v>
      </c>
      <c r="S84" s="2" t="b">
        <f>'Variar Nominales c222'!$N85&gt;80</f>
        <v>0</v>
      </c>
    </row>
    <row r="85" spans="1:19" ht="14.25" customHeight="1" x14ac:dyDescent="0.3">
      <c r="A85" s="2">
        <v>84</v>
      </c>
      <c r="B85" s="2" t="b">
        <f>'Variar Nominales h112'!$G86&gt;80</f>
        <v>1</v>
      </c>
      <c r="C85" s="2" t="b">
        <f>'Variar Nominales h112'!$N86&gt;80</f>
        <v>1</v>
      </c>
      <c r="E85" s="2" t="b">
        <f>'Variar Nominales h211'!$G86&gt;80</f>
        <v>0</v>
      </c>
      <c r="F85" s="2" t="b">
        <f>'Variar Nominales h211'!$N86&gt;80</f>
        <v>0</v>
      </c>
      <c r="H85" s="2" t="b">
        <f>'Variar Nominales h222'!$G86&gt;80</f>
        <v>0</v>
      </c>
      <c r="I85" s="2" t="b">
        <f>'Variar Nominales h222'!$N86&gt;80</f>
        <v>0</v>
      </c>
      <c r="K85" s="2">
        <v>84</v>
      </c>
      <c r="L85" s="2" t="b">
        <f>'Variar Nominales c112'!$G86&gt;80</f>
        <v>0</v>
      </c>
      <c r="M85" s="2" t="b">
        <f>'Variar Nominales c112'!$N86&gt;80</f>
        <v>0</v>
      </c>
      <c r="O85" s="2" t="b">
        <f>'Variar Nominales c211'!$G86&gt;80</f>
        <v>1</v>
      </c>
      <c r="P85" s="2" t="b">
        <f>'Variar Nominales c211'!$N86&gt;80</f>
        <v>0</v>
      </c>
      <c r="R85" s="2" t="b">
        <f>'Variar Nominales c222'!$G86&gt;80</f>
        <v>0</v>
      </c>
      <c r="S85" s="2" t="b">
        <f>'Variar Nominales c222'!$N86&gt;80</f>
        <v>0</v>
      </c>
    </row>
    <row r="86" spans="1:19" ht="14.25" customHeight="1" x14ac:dyDescent="0.3">
      <c r="A86" s="2">
        <v>85</v>
      </c>
      <c r="B86" s="2" t="b">
        <f>'Variar Nominales h112'!$G87&gt;80</f>
        <v>1</v>
      </c>
      <c r="C86" s="2" t="b">
        <f>'Variar Nominales h112'!$N87&gt;80</f>
        <v>0</v>
      </c>
      <c r="E86" s="2" t="b">
        <f>'Variar Nominales h211'!$G87&gt;80</f>
        <v>1</v>
      </c>
      <c r="F86" s="2" t="b">
        <f>'Variar Nominales h211'!$N87&gt;80</f>
        <v>0</v>
      </c>
      <c r="H86" s="2" t="b">
        <f>'Variar Nominales h222'!$G87&gt;80</f>
        <v>1</v>
      </c>
      <c r="I86" s="2" t="b">
        <f>'Variar Nominales h222'!$N87&gt;80</f>
        <v>0</v>
      </c>
      <c r="K86" s="2">
        <v>85</v>
      </c>
      <c r="L86" s="2" t="b">
        <f>'Variar Nominales c112'!$G87&gt;80</f>
        <v>1</v>
      </c>
      <c r="M86" s="2" t="b">
        <f>'Variar Nominales c112'!$N87&gt;80</f>
        <v>0</v>
      </c>
      <c r="O86" s="2" t="b">
        <f>'Variar Nominales c211'!$G87&gt;80</f>
        <v>1</v>
      </c>
      <c r="P86" s="2" t="b">
        <f>'Variar Nominales c211'!$N87&gt;80</f>
        <v>0</v>
      </c>
      <c r="R86" s="2" t="b">
        <f>'Variar Nominales c222'!$G87&gt;80</f>
        <v>1</v>
      </c>
      <c r="S86" s="2" t="b">
        <f>'Variar Nominales c222'!$N87&gt;80</f>
        <v>0</v>
      </c>
    </row>
    <row r="87" spans="1:19" ht="14.25" customHeight="1" x14ac:dyDescent="0.3">
      <c r="A87" s="2">
        <v>86</v>
      </c>
      <c r="B87" s="2" t="b">
        <f>'Variar Nominales h112'!$G88&gt;80</f>
        <v>0</v>
      </c>
      <c r="C87" s="2" t="b">
        <f>'Variar Nominales h112'!$N88&gt;80</f>
        <v>0</v>
      </c>
      <c r="E87" s="2" t="b">
        <f>'Variar Nominales h211'!$G88&gt;80</f>
        <v>1</v>
      </c>
      <c r="F87" s="2" t="b">
        <f>'Variar Nominales h211'!$N88&gt;80</f>
        <v>0</v>
      </c>
      <c r="H87" s="2" t="b">
        <f>'Variar Nominales h222'!$G88&gt;80</f>
        <v>1</v>
      </c>
      <c r="I87" s="2" t="b">
        <f>'Variar Nominales h222'!$N88&gt;80</f>
        <v>0</v>
      </c>
      <c r="K87" s="2">
        <v>86</v>
      </c>
      <c r="L87" s="2" t="b">
        <f>'Variar Nominales c112'!$G88&gt;80</f>
        <v>1</v>
      </c>
      <c r="M87" s="2" t="b">
        <f>'Variar Nominales c112'!$N88&gt;80</f>
        <v>0</v>
      </c>
      <c r="O87" s="2" t="b">
        <f>'Variar Nominales c211'!$G88&gt;80</f>
        <v>1</v>
      </c>
      <c r="P87" s="2" t="b">
        <f>'Variar Nominales c211'!$N88&gt;80</f>
        <v>0</v>
      </c>
      <c r="R87" s="2" t="b">
        <f>'Variar Nominales c222'!$G88&gt;80</f>
        <v>1</v>
      </c>
      <c r="S87" s="2" t="b">
        <f>'Variar Nominales c222'!$N88&gt;80</f>
        <v>0</v>
      </c>
    </row>
    <row r="88" spans="1:19" ht="14.25" customHeight="1" x14ac:dyDescent="0.3">
      <c r="A88" s="2">
        <v>87</v>
      </c>
      <c r="B88" s="2" t="b">
        <f>'Variar Nominales h112'!$G89&gt;80</f>
        <v>1</v>
      </c>
      <c r="C88" s="2" t="b">
        <f>'Variar Nominales h112'!$N89&gt;80</f>
        <v>0</v>
      </c>
      <c r="E88" s="2" t="b">
        <f>'Variar Nominales h211'!$G89&gt;80</f>
        <v>0</v>
      </c>
      <c r="F88" s="2" t="b">
        <f>'Variar Nominales h211'!$N89&gt;80</f>
        <v>0</v>
      </c>
      <c r="H88" s="2" t="b">
        <f>'Variar Nominales h222'!$G89&gt;80</f>
        <v>0</v>
      </c>
      <c r="I88" s="2" t="b">
        <f>'Variar Nominales h222'!$N89&gt;80</f>
        <v>0</v>
      </c>
      <c r="K88" s="2">
        <v>87</v>
      </c>
      <c r="L88" s="2" t="b">
        <f>'Variar Nominales c112'!$G89&gt;80</f>
        <v>0</v>
      </c>
      <c r="M88" s="2" t="b">
        <f>'Variar Nominales c112'!$N89&gt;80</f>
        <v>0</v>
      </c>
      <c r="O88" s="2" t="b">
        <f>'Variar Nominales c211'!$G89&gt;80</f>
        <v>1</v>
      </c>
      <c r="P88" s="2" t="b">
        <f>'Variar Nominales c211'!$N89&gt;80</f>
        <v>0</v>
      </c>
      <c r="R88" s="2" t="b">
        <f>'Variar Nominales c222'!$G89&gt;80</f>
        <v>1</v>
      </c>
      <c r="S88" s="2" t="b">
        <f>'Variar Nominales c222'!$N89&gt;80</f>
        <v>0</v>
      </c>
    </row>
    <row r="89" spans="1:19" ht="14.25" customHeight="1" x14ac:dyDescent="0.3">
      <c r="A89" s="2">
        <v>88</v>
      </c>
      <c r="B89" s="2" t="b">
        <f>'Variar Nominales h112'!$G90&gt;80</f>
        <v>1</v>
      </c>
      <c r="C89" s="2" t="b">
        <f>'Variar Nominales h112'!$N90&gt;80</f>
        <v>0</v>
      </c>
      <c r="E89" s="2" t="b">
        <f>'Variar Nominales h211'!$G90&gt;80</f>
        <v>1</v>
      </c>
      <c r="F89" s="2" t="b">
        <f>'Variar Nominales h211'!$N90&gt;80</f>
        <v>0</v>
      </c>
      <c r="H89" s="2" t="b">
        <f>'Variar Nominales h222'!$G90&gt;80</f>
        <v>1</v>
      </c>
      <c r="I89" s="2" t="b">
        <f>'Variar Nominales h222'!$N90&gt;80</f>
        <v>0</v>
      </c>
      <c r="K89" s="2">
        <v>88</v>
      </c>
      <c r="L89" s="2" t="b">
        <f>'Variar Nominales c112'!$G90&gt;80</f>
        <v>0</v>
      </c>
      <c r="M89" s="2" t="b">
        <f>'Variar Nominales c112'!$N90&gt;80</f>
        <v>0</v>
      </c>
      <c r="O89" s="2" t="b">
        <f>'Variar Nominales c211'!$G90&gt;80</f>
        <v>0</v>
      </c>
      <c r="P89" s="2" t="b">
        <f>'Variar Nominales c211'!$N90&gt;80</f>
        <v>0</v>
      </c>
      <c r="R89" s="2" t="b">
        <f>'Variar Nominales c222'!$G90&gt;80</f>
        <v>1</v>
      </c>
      <c r="S89" s="2" t="b">
        <f>'Variar Nominales c222'!$N90&gt;80</f>
        <v>0</v>
      </c>
    </row>
    <row r="90" spans="1:19" ht="14.25" customHeight="1" x14ac:dyDescent="0.3">
      <c r="A90" s="2">
        <v>89</v>
      </c>
      <c r="B90" s="2" t="b">
        <f>'Variar Nominales h112'!$G91&gt;80</f>
        <v>1</v>
      </c>
      <c r="C90" s="2" t="b">
        <f>'Variar Nominales h112'!$N91&gt;80</f>
        <v>0</v>
      </c>
      <c r="E90" s="2" t="b">
        <f>'Variar Nominales h211'!$G91&gt;80</f>
        <v>0</v>
      </c>
      <c r="F90" s="2" t="b">
        <f>'Variar Nominales h211'!$N91&gt;80</f>
        <v>0</v>
      </c>
      <c r="H90" s="2" t="b">
        <f>'Variar Nominales h222'!$G91&gt;80</f>
        <v>0</v>
      </c>
      <c r="I90" s="2" t="b">
        <f>'Variar Nominales h222'!$N91&gt;80</f>
        <v>0</v>
      </c>
      <c r="K90" s="2">
        <v>89</v>
      </c>
      <c r="L90" s="2" t="b">
        <f>'Variar Nominales c112'!$G91&gt;80</f>
        <v>0</v>
      </c>
      <c r="M90" s="2" t="b">
        <f>'Variar Nominales c112'!$N91&gt;80</f>
        <v>0</v>
      </c>
      <c r="O90" s="2" t="b">
        <f>'Variar Nominales c211'!$G91&gt;80</f>
        <v>1</v>
      </c>
      <c r="P90" s="2" t="b">
        <f>'Variar Nominales c211'!$N91&gt;80</f>
        <v>0</v>
      </c>
      <c r="R90" s="2" t="b">
        <f>'Variar Nominales c222'!$G91&gt;80</f>
        <v>0</v>
      </c>
      <c r="S90" s="2" t="b">
        <f>'Variar Nominales c222'!$N91&gt;80</f>
        <v>0</v>
      </c>
    </row>
    <row r="91" spans="1:19" ht="14.25" customHeight="1" x14ac:dyDescent="0.3">
      <c r="A91" s="2">
        <v>90</v>
      </c>
      <c r="B91" s="2" t="b">
        <f>'Variar Nominales h112'!$G92&gt;80</f>
        <v>1</v>
      </c>
      <c r="C91" s="2" t="b">
        <f>'Variar Nominales h112'!$N92&gt;80</f>
        <v>0</v>
      </c>
      <c r="E91" s="2" t="b">
        <f>'Variar Nominales h211'!$G92&gt;80</f>
        <v>1</v>
      </c>
      <c r="F91" s="2" t="b">
        <f>'Variar Nominales h211'!$N92&gt;80</f>
        <v>0</v>
      </c>
      <c r="H91" s="2" t="b">
        <f>'Variar Nominales h222'!$G92&gt;80</f>
        <v>1</v>
      </c>
      <c r="I91" s="2" t="b">
        <f>'Variar Nominales h222'!$N92&gt;80</f>
        <v>0</v>
      </c>
      <c r="K91" s="2">
        <v>90</v>
      </c>
      <c r="L91" s="2" t="b">
        <f>'Variar Nominales c112'!$G92&gt;80</f>
        <v>1</v>
      </c>
      <c r="M91" s="2" t="b">
        <f>'Variar Nominales c112'!$N92&gt;80</f>
        <v>0</v>
      </c>
      <c r="O91" s="2" t="b">
        <f>'Variar Nominales c211'!$G92&gt;80</f>
        <v>1</v>
      </c>
      <c r="P91" s="2" t="b">
        <f>'Variar Nominales c211'!$N92&gt;80</f>
        <v>0</v>
      </c>
      <c r="R91" s="2" t="b">
        <f>'Variar Nominales c222'!$G92&gt;80</f>
        <v>1</v>
      </c>
      <c r="S91" s="2" t="b">
        <f>'Variar Nominales c222'!$N92&gt;80</f>
        <v>0</v>
      </c>
    </row>
    <row r="92" spans="1:19" ht="14.25" customHeight="1" x14ac:dyDescent="0.3">
      <c r="A92" s="2">
        <v>91</v>
      </c>
      <c r="B92" s="2" t="b">
        <f>'Variar Nominales h112'!$G93&gt;80</f>
        <v>0</v>
      </c>
      <c r="C92" s="2" t="b">
        <f>'Variar Nominales h112'!$N93&gt;80</f>
        <v>0</v>
      </c>
      <c r="E92" s="2" t="b">
        <f>'Variar Nominales h211'!$G93&gt;80</f>
        <v>1</v>
      </c>
      <c r="F92" s="2" t="b">
        <f>'Variar Nominales h211'!$N93&gt;80</f>
        <v>0</v>
      </c>
      <c r="H92" s="2" t="b">
        <f>'Variar Nominales h222'!$G93&gt;80</f>
        <v>1</v>
      </c>
      <c r="I92" s="2" t="b">
        <f>'Variar Nominales h222'!$N93&gt;80</f>
        <v>0</v>
      </c>
      <c r="K92" s="2">
        <v>91</v>
      </c>
      <c r="L92" s="2" t="b">
        <f>'Variar Nominales c112'!$G93&gt;80</f>
        <v>1</v>
      </c>
      <c r="M92" s="2" t="b">
        <f>'Variar Nominales c112'!$N93&gt;80</f>
        <v>0</v>
      </c>
      <c r="O92" s="2" t="b">
        <f>'Variar Nominales c211'!$G93&gt;80</f>
        <v>1</v>
      </c>
      <c r="P92" s="2" t="b">
        <f>'Variar Nominales c211'!$N93&gt;80</f>
        <v>0</v>
      </c>
      <c r="R92" s="2" t="b">
        <f>'Variar Nominales c222'!$G93&gt;80</f>
        <v>1</v>
      </c>
      <c r="S92" s="2" t="b">
        <f>'Variar Nominales c222'!$N93&gt;80</f>
        <v>0</v>
      </c>
    </row>
    <row r="93" spans="1:19" ht="14.25" customHeight="1" x14ac:dyDescent="0.3">
      <c r="A93" s="2">
        <v>92</v>
      </c>
      <c r="B93" s="2" t="b">
        <f>'Variar Nominales h112'!$G94&gt;80</f>
        <v>1</v>
      </c>
      <c r="C93" s="2" t="b">
        <f>'Variar Nominales h112'!$N94&gt;80</f>
        <v>0</v>
      </c>
      <c r="E93" s="2" t="b">
        <f>'Variar Nominales h211'!$G94&gt;80</f>
        <v>0</v>
      </c>
      <c r="F93" s="2" t="b">
        <f>'Variar Nominales h211'!$N94&gt;80</f>
        <v>0</v>
      </c>
      <c r="H93" s="2" t="b">
        <f>'Variar Nominales h222'!$G94&gt;80</f>
        <v>0</v>
      </c>
      <c r="I93" s="2" t="b">
        <f>'Variar Nominales h222'!$N94&gt;80</f>
        <v>0</v>
      </c>
      <c r="K93" s="2">
        <v>92</v>
      </c>
      <c r="L93" s="2" t="b">
        <f>'Variar Nominales c112'!$G94&gt;80</f>
        <v>0</v>
      </c>
      <c r="M93" s="2" t="b">
        <f>'Variar Nominales c112'!$N94&gt;80</f>
        <v>0</v>
      </c>
      <c r="O93" s="2" t="b">
        <f>'Variar Nominales c211'!$G94&gt;80</f>
        <v>1</v>
      </c>
      <c r="P93" s="2" t="b">
        <f>'Variar Nominales c211'!$N94&gt;80</f>
        <v>0</v>
      </c>
      <c r="R93" s="2" t="b">
        <f>'Variar Nominales c222'!$G94&gt;80</f>
        <v>1</v>
      </c>
      <c r="S93" s="2" t="b">
        <f>'Variar Nominales c222'!$N94&gt;80</f>
        <v>0</v>
      </c>
    </row>
    <row r="94" spans="1:19" ht="14.25" customHeight="1" x14ac:dyDescent="0.3">
      <c r="A94" s="2">
        <v>93</v>
      </c>
      <c r="B94" s="2" t="b">
        <f>'Variar Nominales h112'!$G95&gt;80</f>
        <v>1</v>
      </c>
      <c r="C94" s="2" t="b">
        <f>'Variar Nominales h112'!$N95&gt;80</f>
        <v>0</v>
      </c>
      <c r="E94" s="2" t="b">
        <f>'Variar Nominales h211'!$G95&gt;80</f>
        <v>1</v>
      </c>
      <c r="F94" s="2" t="b">
        <f>'Variar Nominales h211'!$N95&gt;80</f>
        <v>0</v>
      </c>
      <c r="H94" s="2" t="b">
        <f>'Variar Nominales h222'!$G95&gt;80</f>
        <v>1</v>
      </c>
      <c r="I94" s="2" t="b">
        <f>'Variar Nominales h222'!$N95&gt;80</f>
        <v>0</v>
      </c>
      <c r="K94" s="2">
        <v>93</v>
      </c>
      <c r="L94" s="2" t="b">
        <f>'Variar Nominales c112'!$G95&gt;80</f>
        <v>0</v>
      </c>
      <c r="M94" s="2" t="b">
        <f>'Variar Nominales c112'!$N95&gt;80</f>
        <v>0</v>
      </c>
      <c r="O94" s="2" t="b">
        <f>'Variar Nominales c211'!$G95&gt;80</f>
        <v>0</v>
      </c>
      <c r="P94" s="2" t="b">
        <f>'Variar Nominales c211'!$N95&gt;80</f>
        <v>0</v>
      </c>
      <c r="R94" s="2" t="b">
        <f>'Variar Nominales c222'!$G95&gt;80</f>
        <v>1</v>
      </c>
      <c r="S94" s="2" t="b">
        <f>'Variar Nominales c222'!$N95&gt;80</f>
        <v>0</v>
      </c>
    </row>
    <row r="95" spans="1:19" ht="14.25" customHeight="1" x14ac:dyDescent="0.3">
      <c r="A95" s="2">
        <v>94</v>
      </c>
      <c r="B95" s="2" t="b">
        <f>'Variar Nominales h112'!$G96&gt;80</f>
        <v>1</v>
      </c>
      <c r="C95" s="2" t="b">
        <f>'Variar Nominales h112'!$N96&gt;80</f>
        <v>0</v>
      </c>
      <c r="E95" s="2" t="b">
        <f>'Variar Nominales h211'!$G96&gt;80</f>
        <v>0</v>
      </c>
      <c r="F95" s="2" t="b">
        <f>'Variar Nominales h211'!$N96&gt;80</f>
        <v>0</v>
      </c>
      <c r="H95" s="2" t="b">
        <f>'Variar Nominales h222'!$G96&gt;80</f>
        <v>0</v>
      </c>
      <c r="I95" s="2" t="b">
        <f>'Variar Nominales h222'!$N96&gt;80</f>
        <v>0</v>
      </c>
      <c r="K95" s="2">
        <v>94</v>
      </c>
      <c r="L95" s="2" t="b">
        <f>'Variar Nominales c112'!$G96&gt;80</f>
        <v>0</v>
      </c>
      <c r="M95" s="2" t="b">
        <f>'Variar Nominales c112'!$N96&gt;80</f>
        <v>0</v>
      </c>
      <c r="O95" s="2" t="b">
        <f>'Variar Nominales c211'!$G96&gt;80</f>
        <v>1</v>
      </c>
      <c r="P95" s="2" t="b">
        <f>'Variar Nominales c211'!$N96&gt;80</f>
        <v>0</v>
      </c>
      <c r="R95" s="2" t="b">
        <f>'Variar Nominales c222'!$G96&gt;80</f>
        <v>0</v>
      </c>
      <c r="S95" s="2" t="b">
        <f>'Variar Nominales c222'!$N96&gt;80</f>
        <v>0</v>
      </c>
    </row>
    <row r="96" spans="1:19" ht="14.25" customHeight="1" x14ac:dyDescent="0.3">
      <c r="A96" s="2">
        <v>95</v>
      </c>
      <c r="B96" s="2" t="b">
        <f>'Variar Nominales h112'!$G97&gt;80</f>
        <v>1</v>
      </c>
      <c r="C96" s="2" t="b">
        <f>'Variar Nominales h112'!$N97&gt;80</f>
        <v>0</v>
      </c>
      <c r="E96" s="2" t="b">
        <f>'Variar Nominales h211'!$G97&gt;80</f>
        <v>1</v>
      </c>
      <c r="F96" s="2" t="b">
        <f>'Variar Nominales h211'!$N97&gt;80</f>
        <v>0</v>
      </c>
      <c r="H96" s="2" t="b">
        <f>'Variar Nominales h222'!$G97&gt;80</f>
        <v>1</v>
      </c>
      <c r="I96" s="2" t="b">
        <f>'Variar Nominales h222'!$N97&gt;80</f>
        <v>0</v>
      </c>
      <c r="K96" s="2">
        <v>95</v>
      </c>
      <c r="L96" s="2" t="b">
        <f>'Variar Nominales c112'!$G97&gt;80</f>
        <v>1</v>
      </c>
      <c r="M96" s="2" t="b">
        <f>'Variar Nominales c112'!$N97&gt;80</f>
        <v>0</v>
      </c>
      <c r="O96" s="2" t="b">
        <f>'Variar Nominales c211'!$G97&gt;80</f>
        <v>1</v>
      </c>
      <c r="P96" s="2" t="b">
        <f>'Variar Nominales c211'!$N97&gt;80</f>
        <v>0</v>
      </c>
      <c r="R96" s="2" t="b">
        <f>'Variar Nominales c222'!$G97&gt;80</f>
        <v>1</v>
      </c>
      <c r="S96" s="2" t="b">
        <f>'Variar Nominales c222'!$N97&gt;80</f>
        <v>0</v>
      </c>
    </row>
    <row r="97" spans="1:19" ht="14.25" customHeight="1" x14ac:dyDescent="0.3">
      <c r="A97" s="2">
        <v>96</v>
      </c>
      <c r="B97" s="2" t="b">
        <f>'Variar Nominales h112'!$G98&gt;80</f>
        <v>0</v>
      </c>
      <c r="C97" s="2" t="b">
        <f>'Variar Nominales h112'!$N98&gt;80</f>
        <v>0</v>
      </c>
      <c r="E97" s="2" t="b">
        <f>'Variar Nominales h211'!$G98&gt;80</f>
        <v>1</v>
      </c>
      <c r="F97" s="2" t="b">
        <f>'Variar Nominales h211'!$N98&gt;80</f>
        <v>0</v>
      </c>
      <c r="H97" s="2" t="b">
        <f>'Variar Nominales h222'!$G98&gt;80</f>
        <v>1</v>
      </c>
      <c r="I97" s="2" t="b">
        <f>'Variar Nominales h222'!$N98&gt;80</f>
        <v>0</v>
      </c>
      <c r="K97" s="2">
        <v>96</v>
      </c>
      <c r="L97" s="2" t="b">
        <f>'Variar Nominales c112'!$G98&gt;80</f>
        <v>1</v>
      </c>
      <c r="M97" s="2" t="b">
        <f>'Variar Nominales c112'!$N98&gt;80</f>
        <v>0</v>
      </c>
      <c r="O97" s="2" t="b">
        <f>'Variar Nominales c211'!$G98&gt;80</f>
        <v>1</v>
      </c>
      <c r="P97" s="2" t="b">
        <f>'Variar Nominales c211'!$N98&gt;80</f>
        <v>0</v>
      </c>
      <c r="R97" s="2" t="b">
        <f>'Variar Nominales c222'!$G98&gt;80</f>
        <v>1</v>
      </c>
      <c r="S97" s="2" t="b">
        <f>'Variar Nominales c222'!$N98&gt;80</f>
        <v>0</v>
      </c>
    </row>
    <row r="98" spans="1:19" ht="14.25" customHeight="1" x14ac:dyDescent="0.3">
      <c r="A98" s="2">
        <v>97</v>
      </c>
      <c r="B98" s="2" t="b">
        <f>'Variar Nominales h112'!$G99&gt;80</f>
        <v>1</v>
      </c>
      <c r="C98" s="2" t="b">
        <f>'Variar Nominales h112'!$N99&gt;80</f>
        <v>0</v>
      </c>
      <c r="E98" s="2" t="b">
        <f>'Variar Nominales h211'!$G99&gt;80</f>
        <v>0</v>
      </c>
      <c r="F98" s="2" t="b">
        <f>'Variar Nominales h211'!$N99&gt;80</f>
        <v>0</v>
      </c>
      <c r="H98" s="2" t="b">
        <f>'Variar Nominales h222'!$G99&gt;80</f>
        <v>0</v>
      </c>
      <c r="I98" s="2" t="b">
        <f>'Variar Nominales h222'!$N99&gt;80</f>
        <v>0</v>
      </c>
      <c r="K98" s="2">
        <v>97</v>
      </c>
      <c r="L98" s="2" t="b">
        <f>'Variar Nominales c112'!$G99&gt;80</f>
        <v>0</v>
      </c>
      <c r="M98" s="2" t="b">
        <f>'Variar Nominales c112'!$N99&gt;80</f>
        <v>0</v>
      </c>
      <c r="O98" s="2" t="b">
        <f>'Variar Nominales c211'!$G99&gt;80</f>
        <v>1</v>
      </c>
      <c r="P98" s="2" t="b">
        <f>'Variar Nominales c211'!$N99&gt;80</f>
        <v>0</v>
      </c>
      <c r="R98" s="2" t="b">
        <f>'Variar Nominales c222'!$G99&gt;80</f>
        <v>1</v>
      </c>
      <c r="S98" s="2" t="b">
        <f>'Variar Nominales c222'!$N99&gt;80</f>
        <v>0</v>
      </c>
    </row>
    <row r="99" spans="1:19" ht="14.25" customHeight="1" x14ac:dyDescent="0.3">
      <c r="A99" s="2">
        <v>98</v>
      </c>
      <c r="B99" s="2" t="b">
        <f>'Variar Nominales h112'!$G100&gt;80</f>
        <v>1</v>
      </c>
      <c r="C99" s="2" t="b">
        <f>'Variar Nominales h112'!$N100&gt;80</f>
        <v>0</v>
      </c>
      <c r="E99" s="2" t="b">
        <f>'Variar Nominales h211'!$G100&gt;80</f>
        <v>1</v>
      </c>
      <c r="F99" s="2" t="b">
        <f>'Variar Nominales h211'!$N100&gt;80</f>
        <v>0</v>
      </c>
      <c r="H99" s="2" t="b">
        <f>'Variar Nominales h222'!$G100&gt;80</f>
        <v>1</v>
      </c>
      <c r="I99" s="2" t="b">
        <f>'Variar Nominales h222'!$N100&gt;80</f>
        <v>0</v>
      </c>
      <c r="K99" s="2">
        <v>98</v>
      </c>
      <c r="L99" s="2" t="b">
        <f>'Variar Nominales c112'!$G100&gt;80</f>
        <v>0</v>
      </c>
      <c r="M99" s="2" t="b">
        <f>'Variar Nominales c112'!$N100&gt;80</f>
        <v>0</v>
      </c>
      <c r="O99" s="2" t="b">
        <f>'Variar Nominales c211'!$G100&gt;80</f>
        <v>0</v>
      </c>
      <c r="P99" s="2" t="b">
        <f>'Variar Nominales c211'!$N100&gt;80</f>
        <v>0</v>
      </c>
      <c r="R99" s="2" t="b">
        <f>'Variar Nominales c222'!$G100&gt;80</f>
        <v>1</v>
      </c>
      <c r="S99" s="2" t="b">
        <f>'Variar Nominales c222'!$N100&gt;80</f>
        <v>0</v>
      </c>
    </row>
    <row r="100" spans="1:19" ht="14.25" customHeight="1" x14ac:dyDescent="0.3">
      <c r="A100" s="2">
        <v>99</v>
      </c>
      <c r="B100" s="2" t="b">
        <f>'Variar Nominales h112'!$G101&gt;80</f>
        <v>1</v>
      </c>
      <c r="C100" s="2" t="b">
        <f>'Variar Nominales h112'!$N101&gt;80</f>
        <v>0</v>
      </c>
      <c r="E100" s="2" t="b">
        <f>'Variar Nominales h211'!$G101&gt;80</f>
        <v>0</v>
      </c>
      <c r="F100" s="2" t="b">
        <f>'Variar Nominales h211'!$N101&gt;80</f>
        <v>0</v>
      </c>
      <c r="H100" s="2" t="b">
        <f>'Variar Nominales h222'!$G101&gt;80</f>
        <v>0</v>
      </c>
      <c r="I100" s="2" t="b">
        <f>'Variar Nominales h222'!$N101&gt;80</f>
        <v>0</v>
      </c>
      <c r="K100" s="2">
        <v>99</v>
      </c>
      <c r="L100" s="2" t="b">
        <f>'Variar Nominales c112'!$G101&gt;80</f>
        <v>0</v>
      </c>
      <c r="M100" s="2" t="b">
        <f>'Variar Nominales c112'!$N101&gt;80</f>
        <v>0</v>
      </c>
      <c r="O100" s="2" t="b">
        <f>'Variar Nominales c211'!$G101&gt;80</f>
        <v>1</v>
      </c>
      <c r="P100" s="2" t="b">
        <f>'Variar Nominales c211'!$N101&gt;80</f>
        <v>0</v>
      </c>
      <c r="R100" s="2" t="b">
        <f>'Variar Nominales c222'!$G101&gt;80</f>
        <v>0</v>
      </c>
      <c r="S100" s="2" t="b">
        <f>'Variar Nominales c222'!$N101&gt;80</f>
        <v>0</v>
      </c>
    </row>
    <row r="101" spans="1:19" ht="14.25" customHeight="1" x14ac:dyDescent="0.3">
      <c r="A101" s="2">
        <v>100</v>
      </c>
      <c r="B101" s="2" t="b">
        <f>'Variar Nominales h112'!$G102&gt;80</f>
        <v>1</v>
      </c>
      <c r="C101" s="2" t="b">
        <f>'Variar Nominales h112'!$N102&gt;80</f>
        <v>0</v>
      </c>
      <c r="E101" s="2" t="b">
        <f>'Variar Nominales h211'!$G102&gt;80</f>
        <v>1</v>
      </c>
      <c r="F101" s="2" t="b">
        <f>'Variar Nominales h211'!$N102&gt;80</f>
        <v>0</v>
      </c>
      <c r="H101" s="2" t="b">
        <f>'Variar Nominales h222'!$G102&gt;80</f>
        <v>1</v>
      </c>
      <c r="I101" s="2" t="b">
        <f>'Variar Nominales h222'!$N102&gt;80</f>
        <v>0</v>
      </c>
      <c r="K101" s="2">
        <v>100</v>
      </c>
      <c r="L101" s="2" t="b">
        <f>'Variar Nominales c112'!$G102&gt;80</f>
        <v>1</v>
      </c>
      <c r="M101" s="2" t="b">
        <f>'Variar Nominales c112'!$N102&gt;80</f>
        <v>0</v>
      </c>
      <c r="O101" s="2" t="b">
        <f>'Variar Nominales c211'!$G102&gt;80</f>
        <v>1</v>
      </c>
      <c r="P101" s="2" t="b">
        <f>'Variar Nominales c211'!$N102&gt;80</f>
        <v>0</v>
      </c>
      <c r="R101" s="2" t="b">
        <f>'Variar Nominales c222'!$G102&gt;80</f>
        <v>1</v>
      </c>
      <c r="S101" s="2" t="b">
        <f>'Variar Nominales c222'!$N102&gt;80</f>
        <v>0</v>
      </c>
    </row>
    <row r="102" spans="1:19" ht="14.25" customHeight="1" x14ac:dyDescent="0.3">
      <c r="A102" s="2">
        <v>101</v>
      </c>
      <c r="B102" s="2" t="b">
        <f>'Variar Nominales h112'!$G103&gt;80</f>
        <v>0</v>
      </c>
      <c r="C102" s="2" t="b">
        <f>'Variar Nominales h112'!$N103&gt;80</f>
        <v>0</v>
      </c>
      <c r="E102" s="2" t="b">
        <f>'Variar Nominales h211'!$G103&gt;80</f>
        <v>1</v>
      </c>
      <c r="F102" s="2" t="b">
        <f>'Variar Nominales h211'!$N103&gt;80</f>
        <v>0</v>
      </c>
      <c r="H102" s="2" t="b">
        <f>'Variar Nominales h222'!$G103&gt;80</f>
        <v>1</v>
      </c>
      <c r="I102" s="2" t="b">
        <f>'Variar Nominales h222'!$N103&gt;80</f>
        <v>0</v>
      </c>
      <c r="K102" s="2">
        <v>101</v>
      </c>
      <c r="L102" s="2" t="b">
        <f>'Variar Nominales c112'!$G103&gt;80</f>
        <v>1</v>
      </c>
      <c r="M102" s="2" t="b">
        <f>'Variar Nominales c112'!$N103&gt;80</f>
        <v>0</v>
      </c>
      <c r="O102" s="2" t="b">
        <f>'Variar Nominales c211'!$G103&gt;80</f>
        <v>1</v>
      </c>
      <c r="P102" s="2" t="b">
        <f>'Variar Nominales c211'!$N103&gt;80</f>
        <v>0</v>
      </c>
      <c r="R102" s="2" t="b">
        <f>'Variar Nominales c222'!$G103&gt;80</f>
        <v>1</v>
      </c>
      <c r="S102" s="2" t="b">
        <f>'Variar Nominales c222'!$N103&gt;80</f>
        <v>0</v>
      </c>
    </row>
    <row r="103" spans="1:19" ht="14.25" customHeight="1" x14ac:dyDescent="0.3">
      <c r="A103" s="2">
        <v>102</v>
      </c>
      <c r="B103" s="2" t="b">
        <f>'Variar Nominales h112'!$G104&gt;80</f>
        <v>1</v>
      </c>
      <c r="C103" s="2" t="b">
        <f>'Variar Nominales h112'!$N104&gt;80</f>
        <v>0</v>
      </c>
      <c r="E103" s="2" t="b">
        <f>'Variar Nominales h211'!$G104&gt;80</f>
        <v>0</v>
      </c>
      <c r="F103" s="2" t="b">
        <f>'Variar Nominales h211'!$N104&gt;80</f>
        <v>0</v>
      </c>
      <c r="H103" s="2" t="b">
        <f>'Variar Nominales h222'!$G104&gt;80</f>
        <v>0</v>
      </c>
      <c r="I103" s="2" t="b">
        <f>'Variar Nominales h222'!$N104&gt;80</f>
        <v>0</v>
      </c>
      <c r="K103" s="2">
        <v>102</v>
      </c>
      <c r="L103" s="2" t="b">
        <f>'Variar Nominales c112'!$G104&gt;80</f>
        <v>0</v>
      </c>
      <c r="M103" s="2" t="b">
        <f>'Variar Nominales c112'!$N104&gt;80</f>
        <v>0</v>
      </c>
      <c r="O103" s="2" t="b">
        <f>'Variar Nominales c211'!$G104&gt;80</f>
        <v>1</v>
      </c>
      <c r="P103" s="2" t="b">
        <f>'Variar Nominales c211'!$N104&gt;80</f>
        <v>0</v>
      </c>
      <c r="R103" s="2" t="b">
        <f>'Variar Nominales c222'!$G104&gt;80</f>
        <v>1</v>
      </c>
      <c r="S103" s="2" t="b">
        <f>'Variar Nominales c222'!$N104&gt;80</f>
        <v>0</v>
      </c>
    </row>
    <row r="104" spans="1:19" ht="14.25" customHeight="1" x14ac:dyDescent="0.3">
      <c r="A104" s="2">
        <v>103</v>
      </c>
      <c r="B104" s="2" t="b">
        <f>'Variar Nominales h112'!$G105&gt;80</f>
        <v>1</v>
      </c>
      <c r="C104" s="2" t="b">
        <f>'Variar Nominales h112'!$N105&gt;80</f>
        <v>0</v>
      </c>
      <c r="E104" s="2" t="b">
        <f>'Variar Nominales h211'!$G105&gt;80</f>
        <v>1</v>
      </c>
      <c r="F104" s="2" t="b">
        <f>'Variar Nominales h211'!$N105&gt;80</f>
        <v>0</v>
      </c>
      <c r="H104" s="2" t="b">
        <f>'Variar Nominales h222'!$G105&gt;80</f>
        <v>1</v>
      </c>
      <c r="I104" s="2" t="b">
        <f>'Variar Nominales h222'!$N105&gt;80</f>
        <v>0</v>
      </c>
      <c r="K104" s="2">
        <v>103</v>
      </c>
      <c r="L104" s="2" t="b">
        <f>'Variar Nominales c112'!$G105&gt;80</f>
        <v>0</v>
      </c>
      <c r="M104" s="2" t="b">
        <f>'Variar Nominales c112'!$N105&gt;80</f>
        <v>0</v>
      </c>
      <c r="O104" s="2" t="b">
        <f>'Variar Nominales c211'!$G105&gt;80</f>
        <v>0</v>
      </c>
      <c r="P104" s="2" t="b">
        <f>'Variar Nominales c211'!$N105&gt;80</f>
        <v>0</v>
      </c>
      <c r="R104" s="2" t="b">
        <f>'Variar Nominales c222'!$G105&gt;80</f>
        <v>1</v>
      </c>
      <c r="S104" s="2" t="b">
        <f>'Variar Nominales c222'!$N105&gt;80</f>
        <v>0</v>
      </c>
    </row>
    <row r="105" spans="1:19" ht="14.25" customHeight="1" x14ac:dyDescent="0.3">
      <c r="A105" s="2">
        <v>104</v>
      </c>
      <c r="B105" s="2" t="b">
        <f>'Variar Nominales h112'!$G106&gt;80</f>
        <v>1</v>
      </c>
      <c r="C105" s="2" t="b">
        <f>'Variar Nominales h112'!$N106&gt;80</f>
        <v>0</v>
      </c>
      <c r="E105" s="2" t="b">
        <f>'Variar Nominales h211'!$G106&gt;80</f>
        <v>0</v>
      </c>
      <c r="F105" s="2" t="b">
        <f>'Variar Nominales h211'!$N106&gt;80</f>
        <v>0</v>
      </c>
      <c r="H105" s="2" t="b">
        <f>'Variar Nominales h222'!$G106&gt;80</f>
        <v>0</v>
      </c>
      <c r="I105" s="2" t="b">
        <f>'Variar Nominales h222'!$N106&gt;80</f>
        <v>0</v>
      </c>
      <c r="K105" s="2">
        <v>104</v>
      </c>
      <c r="L105" s="2" t="b">
        <f>'Variar Nominales c112'!$G106&gt;80</f>
        <v>0</v>
      </c>
      <c r="M105" s="2" t="b">
        <f>'Variar Nominales c112'!$N106&gt;80</f>
        <v>0</v>
      </c>
      <c r="O105" s="2" t="b">
        <f>'Variar Nominales c211'!$G106&gt;80</f>
        <v>1</v>
      </c>
      <c r="P105" s="2" t="b">
        <f>'Variar Nominales c211'!$N106&gt;80</f>
        <v>0</v>
      </c>
      <c r="R105" s="2" t="b">
        <f>'Variar Nominales c222'!$G106&gt;80</f>
        <v>0</v>
      </c>
      <c r="S105" s="2" t="b">
        <f>'Variar Nominales c222'!$N106&gt;80</f>
        <v>0</v>
      </c>
    </row>
    <row r="106" spans="1:19" ht="14.25" customHeight="1" x14ac:dyDescent="0.3">
      <c r="A106" s="2">
        <v>105</v>
      </c>
      <c r="B106" s="2" t="b">
        <f>'Variar Nominales h112'!$G107&gt;80</f>
        <v>1</v>
      </c>
      <c r="C106" s="2" t="b">
        <f>'Variar Nominales h112'!$N107&gt;80</f>
        <v>0</v>
      </c>
      <c r="E106" s="2" t="b">
        <f>'Variar Nominales h211'!$G107&gt;80</f>
        <v>1</v>
      </c>
      <c r="F106" s="2" t="b">
        <f>'Variar Nominales h211'!$N107&gt;80</f>
        <v>0</v>
      </c>
      <c r="H106" s="2" t="b">
        <f>'Variar Nominales h222'!$G107&gt;80</f>
        <v>1</v>
      </c>
      <c r="I106" s="2" t="b">
        <f>'Variar Nominales h222'!$N107&gt;80</f>
        <v>0</v>
      </c>
      <c r="K106" s="2">
        <v>105</v>
      </c>
      <c r="L106" s="2" t="b">
        <f>'Variar Nominales c112'!$G107&gt;80</f>
        <v>1</v>
      </c>
      <c r="M106" s="2" t="b">
        <f>'Variar Nominales c112'!$N107&gt;80</f>
        <v>0</v>
      </c>
      <c r="O106" s="2" t="b">
        <f>'Variar Nominales c211'!$G107&gt;80</f>
        <v>1</v>
      </c>
      <c r="P106" s="2" t="b">
        <f>'Variar Nominales c211'!$N107&gt;80</f>
        <v>0</v>
      </c>
      <c r="R106" s="2" t="b">
        <f>'Variar Nominales c222'!$G107&gt;80</f>
        <v>1</v>
      </c>
      <c r="S106" s="2" t="b">
        <f>'Variar Nominales c222'!$N107&gt;80</f>
        <v>0</v>
      </c>
    </row>
    <row r="107" spans="1:19" ht="14.25" customHeight="1" x14ac:dyDescent="0.3">
      <c r="K107" s="2">
        <v>106</v>
      </c>
      <c r="L107" s="2" t="b">
        <f>'Variar Nominales c112'!$G108&gt;80</f>
        <v>1</v>
      </c>
      <c r="M107" s="2" t="b">
        <f>'Variar Nominales c112'!$N108&gt;80</f>
        <v>0</v>
      </c>
      <c r="O107" s="2" t="b">
        <f>'Variar Nominales c211'!$G108&gt;80</f>
        <v>1</v>
      </c>
      <c r="P107" s="2" t="b">
        <f>'Variar Nominales c211'!$N108&gt;80</f>
        <v>0</v>
      </c>
      <c r="R107" s="2" t="b">
        <f>'Variar Nominales c222'!$G108&gt;80</f>
        <v>1</v>
      </c>
      <c r="S107" s="2" t="b">
        <f>'Variar Nominales c222'!$N108&gt;80</f>
        <v>0</v>
      </c>
    </row>
    <row r="108" spans="1:19" ht="14.25" customHeight="1" x14ac:dyDescent="0.3">
      <c r="K108" s="2">
        <v>107</v>
      </c>
      <c r="L108" s="2" t="b">
        <f>'Variar Nominales c112'!$G109&gt;80</f>
        <v>0</v>
      </c>
      <c r="M108" s="2" t="b">
        <f>'Variar Nominales c112'!$N109&gt;80</f>
        <v>0</v>
      </c>
      <c r="O108" s="2" t="b">
        <f>'Variar Nominales c211'!$G109&gt;80</f>
        <v>1</v>
      </c>
      <c r="P108" s="2" t="b">
        <f>'Variar Nominales c211'!$N109&gt;80</f>
        <v>0</v>
      </c>
      <c r="R108" s="2" t="b">
        <f>'Variar Nominales c222'!$G109&gt;80</f>
        <v>1</v>
      </c>
      <c r="S108" s="2" t="b">
        <f>'Variar Nominales c222'!$N109&gt;80</f>
        <v>0</v>
      </c>
    </row>
    <row r="109" spans="1:19" ht="14.25" customHeight="1" x14ac:dyDescent="0.3">
      <c r="K109" s="2">
        <v>108</v>
      </c>
      <c r="L109" s="2" t="b">
        <f>'Variar Nominales c112'!$G110&gt;80</f>
        <v>0</v>
      </c>
      <c r="M109" s="2" t="b">
        <f>'Variar Nominales c112'!$N110&gt;80</f>
        <v>0</v>
      </c>
      <c r="O109" s="2" t="b">
        <f>'Variar Nominales c211'!$G110&gt;80</f>
        <v>0</v>
      </c>
      <c r="P109" s="2" t="b">
        <f>'Variar Nominales c211'!$N110&gt;80</f>
        <v>0</v>
      </c>
      <c r="R109" s="2" t="b">
        <f>'Variar Nominales c222'!$G110&gt;80</f>
        <v>1</v>
      </c>
      <c r="S109" s="2" t="b">
        <f>'Variar Nominales c222'!$N110&gt;80</f>
        <v>0</v>
      </c>
    </row>
    <row r="110" spans="1:19" ht="14.25" customHeight="1" x14ac:dyDescent="0.3">
      <c r="K110" s="2">
        <v>109</v>
      </c>
      <c r="L110" s="2" t="b">
        <f>'Variar Nominales c112'!$G111&gt;80</f>
        <v>0</v>
      </c>
      <c r="M110" s="2" t="b">
        <f>'Variar Nominales c112'!$N111&gt;80</f>
        <v>0</v>
      </c>
      <c r="O110" s="2" t="b">
        <f>'Variar Nominales c211'!$G111&gt;80</f>
        <v>1</v>
      </c>
      <c r="P110" s="2" t="b">
        <f>'Variar Nominales c211'!$N111&gt;80</f>
        <v>0</v>
      </c>
      <c r="R110" s="2" t="b">
        <f>'Variar Nominales c222'!$G111&gt;80</f>
        <v>0</v>
      </c>
      <c r="S110" s="2" t="b">
        <f>'Variar Nominales c222'!$N111&gt;80</f>
        <v>0</v>
      </c>
    </row>
    <row r="111" spans="1:19" ht="14.25" customHeight="1" x14ac:dyDescent="0.3">
      <c r="K111" s="2">
        <v>110</v>
      </c>
      <c r="L111" s="2" t="b">
        <f>'Variar Nominales c112'!$G112&gt;80</f>
        <v>1</v>
      </c>
      <c r="M111" s="2" t="b">
        <f>'Variar Nominales c112'!$N112&gt;80</f>
        <v>0</v>
      </c>
      <c r="O111" s="2" t="b">
        <f>'Variar Nominales c211'!$G112&gt;80</f>
        <v>1</v>
      </c>
      <c r="P111" s="2" t="b">
        <f>'Variar Nominales c211'!$N112&gt;80</f>
        <v>0</v>
      </c>
      <c r="R111" s="2" t="b">
        <f>'Variar Nominales c222'!$G112&gt;80</f>
        <v>1</v>
      </c>
      <c r="S111" s="2" t="b">
        <f>'Variar Nominales c222'!$N112&gt;80</f>
        <v>0</v>
      </c>
    </row>
    <row r="112" spans="1:19" ht="14.25" customHeight="1" x14ac:dyDescent="0.3">
      <c r="K112" s="2">
        <v>111</v>
      </c>
      <c r="L112" s="2" t="b">
        <f>'Variar Nominales c112'!$G113&gt;80</f>
        <v>1</v>
      </c>
      <c r="M112" s="2" t="b">
        <f>'Variar Nominales c112'!$N113&gt;80</f>
        <v>0</v>
      </c>
      <c r="O112" s="2" t="b">
        <f>'Variar Nominales c211'!$G113&gt;80</f>
        <v>1</v>
      </c>
      <c r="P112" s="2" t="b">
        <f>'Variar Nominales c211'!$N113&gt;80</f>
        <v>0</v>
      </c>
      <c r="R112" s="2" t="b">
        <f>'Variar Nominales c222'!$G113&gt;80</f>
        <v>1</v>
      </c>
      <c r="S112" s="2" t="b">
        <f>'Variar Nominales c222'!$N113&gt;80</f>
        <v>0</v>
      </c>
    </row>
    <row r="113" spans="11:19" ht="14.25" customHeight="1" x14ac:dyDescent="0.3">
      <c r="K113" s="2">
        <v>112</v>
      </c>
      <c r="L113" s="2" t="b">
        <f>'Variar Nominales c112'!$G114&gt;80</f>
        <v>0</v>
      </c>
      <c r="M113" s="2" t="b">
        <f>'Variar Nominales c112'!$N114&gt;80</f>
        <v>0</v>
      </c>
      <c r="O113" s="2" t="b">
        <f>'Variar Nominales c211'!$G114&gt;80</f>
        <v>1</v>
      </c>
      <c r="P113" s="2" t="b">
        <f>'Variar Nominales c211'!$N114&gt;80</f>
        <v>0</v>
      </c>
      <c r="R113" s="2" t="b">
        <f>'Variar Nominales c222'!$G114&gt;80</f>
        <v>1</v>
      </c>
      <c r="S113" s="2" t="b">
        <f>'Variar Nominales c222'!$N114&gt;80</f>
        <v>0</v>
      </c>
    </row>
    <row r="114" spans="11:19" ht="14.25" customHeight="1" x14ac:dyDescent="0.3">
      <c r="K114" s="2">
        <v>113</v>
      </c>
      <c r="L114" s="2" t="b">
        <f>'Variar Nominales c112'!$G115&gt;80</f>
        <v>0</v>
      </c>
      <c r="M114" s="2" t="b">
        <f>'Variar Nominales c112'!$N115&gt;80</f>
        <v>0</v>
      </c>
      <c r="O114" s="2" t="b">
        <f>'Variar Nominales c211'!$G115&gt;80</f>
        <v>0</v>
      </c>
      <c r="P114" s="2" t="b">
        <f>'Variar Nominales c211'!$N115&gt;80</f>
        <v>0</v>
      </c>
      <c r="R114" s="2" t="b">
        <f>'Variar Nominales c222'!$G115&gt;80</f>
        <v>1</v>
      </c>
      <c r="S114" s="2" t="b">
        <f>'Variar Nominales c222'!$N115&gt;80</f>
        <v>0</v>
      </c>
    </row>
    <row r="115" spans="11:19" ht="14.25" customHeight="1" x14ac:dyDescent="0.3">
      <c r="K115" s="2">
        <v>114</v>
      </c>
      <c r="L115" s="2" t="b">
        <f>'Variar Nominales c112'!$G116&gt;80</f>
        <v>0</v>
      </c>
      <c r="M115" s="2" t="b">
        <f>'Variar Nominales c112'!$N116&gt;80</f>
        <v>0</v>
      </c>
      <c r="O115" s="2" t="b">
        <f>'Variar Nominales c211'!$G116&gt;80</f>
        <v>1</v>
      </c>
      <c r="P115" s="2" t="b">
        <f>'Variar Nominales c211'!$N116&gt;80</f>
        <v>0</v>
      </c>
      <c r="R115" s="2" t="b">
        <f>'Variar Nominales c222'!$G116&gt;80</f>
        <v>0</v>
      </c>
      <c r="S115" s="2" t="b">
        <f>'Variar Nominales c222'!$N116&gt;80</f>
        <v>0</v>
      </c>
    </row>
    <row r="116" spans="11:19" ht="14.25" customHeight="1" x14ac:dyDescent="0.3">
      <c r="K116" s="2">
        <v>115</v>
      </c>
      <c r="L116" s="2" t="b">
        <f>'Variar Nominales c112'!$G117&gt;80</f>
        <v>1</v>
      </c>
      <c r="M116" s="2" t="b">
        <f>'Variar Nominales c112'!$N117&gt;80</f>
        <v>0</v>
      </c>
      <c r="O116" s="2" t="b">
        <f>'Variar Nominales c211'!$G117&gt;80</f>
        <v>1</v>
      </c>
      <c r="P116" s="2" t="b">
        <f>'Variar Nominales c211'!$N117&gt;80</f>
        <v>0</v>
      </c>
      <c r="R116" s="2" t="b">
        <f>'Variar Nominales c222'!$G117&gt;80</f>
        <v>1</v>
      </c>
      <c r="S116" s="2" t="b">
        <f>'Variar Nominales c222'!$N117&gt;80</f>
        <v>0</v>
      </c>
    </row>
    <row r="117" spans="11:19" ht="14.25" customHeight="1" x14ac:dyDescent="0.3">
      <c r="K117" s="2">
        <v>116</v>
      </c>
      <c r="L117" s="2" t="b">
        <f>'Variar Nominales c112'!$G118&gt;80</f>
        <v>1</v>
      </c>
      <c r="M117" s="2" t="b">
        <f>'Variar Nominales c112'!$N118&gt;80</f>
        <v>0</v>
      </c>
      <c r="O117" s="2" t="b">
        <f>'Variar Nominales c211'!$G118&gt;80</f>
        <v>1</v>
      </c>
      <c r="P117" s="2" t="b">
        <f>'Variar Nominales c211'!$N118&gt;80</f>
        <v>0</v>
      </c>
      <c r="R117" s="2" t="b">
        <f>'Variar Nominales c222'!$G118&gt;80</f>
        <v>1</v>
      </c>
      <c r="S117" s="2" t="b">
        <f>'Variar Nominales c222'!$N118&gt;80</f>
        <v>0</v>
      </c>
    </row>
    <row r="118" spans="11:19" ht="14.25" customHeight="1" x14ac:dyDescent="0.3">
      <c r="K118" s="2">
        <v>117</v>
      </c>
      <c r="L118" s="2" t="b">
        <f>'Variar Nominales c112'!$G119&gt;80</f>
        <v>0</v>
      </c>
      <c r="M118" s="2" t="b">
        <f>'Variar Nominales c112'!$N119&gt;80</f>
        <v>0</v>
      </c>
      <c r="O118" s="2" t="b">
        <f>'Variar Nominales c211'!$G119&gt;80</f>
        <v>1</v>
      </c>
      <c r="P118" s="2" t="b">
        <f>'Variar Nominales c211'!$N119&gt;80</f>
        <v>0</v>
      </c>
      <c r="R118" s="2" t="b">
        <f>'Variar Nominales c222'!$G119&gt;80</f>
        <v>1</v>
      </c>
      <c r="S118" s="2" t="b">
        <f>'Variar Nominales c222'!$N119&gt;80</f>
        <v>0</v>
      </c>
    </row>
    <row r="119" spans="11:19" ht="14.25" customHeight="1" x14ac:dyDescent="0.3">
      <c r="K119" s="2">
        <v>118</v>
      </c>
      <c r="L119" s="2" t="b">
        <f>'Variar Nominales c112'!$G120&gt;80</f>
        <v>0</v>
      </c>
      <c r="M119" s="2" t="b">
        <f>'Variar Nominales c112'!$N120&gt;80</f>
        <v>0</v>
      </c>
      <c r="O119" s="2" t="b">
        <f>'Variar Nominales c211'!$G120&gt;80</f>
        <v>0</v>
      </c>
      <c r="P119" s="2" t="b">
        <f>'Variar Nominales c211'!$N120&gt;80</f>
        <v>0</v>
      </c>
      <c r="R119" s="2" t="b">
        <f>'Variar Nominales c222'!$G120&gt;80</f>
        <v>1</v>
      </c>
      <c r="S119" s="2" t="b">
        <f>'Variar Nominales c222'!$N120&gt;80</f>
        <v>0</v>
      </c>
    </row>
    <row r="120" spans="11:19" ht="14.25" customHeight="1" x14ac:dyDescent="0.3">
      <c r="K120" s="2">
        <v>119</v>
      </c>
      <c r="L120" s="2" t="b">
        <f>'Variar Nominales c112'!$G121&gt;80</f>
        <v>0</v>
      </c>
      <c r="M120" s="2" t="b">
        <f>'Variar Nominales c112'!$N121&gt;80</f>
        <v>0</v>
      </c>
      <c r="O120" s="2" t="b">
        <f>'Variar Nominales c211'!$G121&gt;80</f>
        <v>1</v>
      </c>
      <c r="P120" s="2" t="b">
        <f>'Variar Nominales c211'!$N121&gt;80</f>
        <v>0</v>
      </c>
      <c r="R120" s="2" t="b">
        <f>'Variar Nominales c222'!$G121&gt;80</f>
        <v>0</v>
      </c>
      <c r="S120" s="2" t="b">
        <f>'Variar Nominales c222'!$N121&gt;80</f>
        <v>0</v>
      </c>
    </row>
    <row r="121" spans="11:19" ht="14.25" customHeight="1" x14ac:dyDescent="0.3">
      <c r="K121" s="2">
        <v>120</v>
      </c>
      <c r="L121" s="2" t="b">
        <f>'Variar Nominales c112'!$G122&gt;80</f>
        <v>1</v>
      </c>
      <c r="M121" s="2" t="b">
        <f>'Variar Nominales c112'!$N122&gt;80</f>
        <v>0</v>
      </c>
      <c r="O121" s="2" t="b">
        <f>'Variar Nominales c211'!$G122&gt;80</f>
        <v>1</v>
      </c>
      <c r="P121" s="2" t="b">
        <f>'Variar Nominales c211'!$N122&gt;80</f>
        <v>0</v>
      </c>
      <c r="R121" s="2" t="b">
        <f>'Variar Nominales c222'!$G122&gt;80</f>
        <v>1</v>
      </c>
      <c r="S121" s="2" t="b">
        <f>'Variar Nominales c222'!$N122&gt;80</f>
        <v>0</v>
      </c>
    </row>
    <row r="122" spans="11:19" ht="14.25" customHeight="1" x14ac:dyDescent="0.3">
      <c r="K122" s="2">
        <v>121</v>
      </c>
      <c r="L122" s="2" t="b">
        <f>'Variar Nominales c112'!$G123&gt;80</f>
        <v>1</v>
      </c>
      <c r="M122" s="2" t="b">
        <f>'Variar Nominales c112'!$N123&gt;80</f>
        <v>0</v>
      </c>
      <c r="O122" s="2" t="b">
        <f>'Variar Nominales c211'!$G123&gt;80</f>
        <v>1</v>
      </c>
      <c r="P122" s="2" t="b">
        <f>'Variar Nominales c211'!$N123&gt;80</f>
        <v>0</v>
      </c>
      <c r="R122" s="2" t="b">
        <f>'Variar Nominales c222'!$G123&gt;80</f>
        <v>1</v>
      </c>
      <c r="S122" s="2" t="b">
        <f>'Variar Nominales c222'!$N123&gt;80</f>
        <v>0</v>
      </c>
    </row>
    <row r="123" spans="11:19" ht="14.25" customHeight="1" x14ac:dyDescent="0.3">
      <c r="K123" s="2">
        <v>122</v>
      </c>
      <c r="L123" s="2" t="b">
        <f>'Variar Nominales c112'!$G124&gt;80</f>
        <v>0</v>
      </c>
      <c r="M123" s="2" t="b">
        <f>'Variar Nominales c112'!$N124&gt;80</f>
        <v>0</v>
      </c>
      <c r="O123" s="2" t="b">
        <f>'Variar Nominales c211'!$G124&gt;80</f>
        <v>1</v>
      </c>
      <c r="P123" s="2" t="b">
        <f>'Variar Nominales c211'!$N124&gt;80</f>
        <v>0</v>
      </c>
      <c r="R123" s="2" t="b">
        <f>'Variar Nominales c222'!$G124&gt;80</f>
        <v>1</v>
      </c>
      <c r="S123" s="2" t="b">
        <f>'Variar Nominales c222'!$N124&gt;80</f>
        <v>0</v>
      </c>
    </row>
    <row r="124" spans="11:19" ht="14.25" customHeight="1" x14ac:dyDescent="0.3">
      <c r="K124" s="2">
        <v>123</v>
      </c>
      <c r="L124" s="2" t="b">
        <f>'Variar Nominales c112'!$G125&gt;80</f>
        <v>0</v>
      </c>
      <c r="M124" s="2" t="b">
        <f>'Variar Nominales c112'!$N125&gt;80</f>
        <v>0</v>
      </c>
      <c r="O124" s="2" t="b">
        <f>'Variar Nominales c211'!$G125&gt;80</f>
        <v>0</v>
      </c>
      <c r="P124" s="2" t="b">
        <f>'Variar Nominales c211'!$N125&gt;80</f>
        <v>0</v>
      </c>
      <c r="R124" s="2" t="b">
        <f>'Variar Nominales c222'!$G125&gt;80</f>
        <v>1</v>
      </c>
      <c r="S124" s="2" t="b">
        <f>'Variar Nominales c222'!$N125&gt;80</f>
        <v>0</v>
      </c>
    </row>
    <row r="125" spans="11:19" ht="14.25" customHeight="1" x14ac:dyDescent="0.3">
      <c r="K125" s="2">
        <v>124</v>
      </c>
      <c r="L125" s="2" t="b">
        <f>'Variar Nominales c112'!$G126&gt;80</f>
        <v>0</v>
      </c>
      <c r="M125" s="2" t="b">
        <f>'Variar Nominales c112'!$N126&gt;80</f>
        <v>0</v>
      </c>
      <c r="O125" s="2" t="b">
        <f>'Variar Nominales c211'!$G126&gt;80</f>
        <v>1</v>
      </c>
      <c r="P125" s="2" t="b">
        <f>'Variar Nominales c211'!$N126&gt;80</f>
        <v>0</v>
      </c>
      <c r="R125" s="2" t="b">
        <f>'Variar Nominales c222'!$G126&gt;80</f>
        <v>0</v>
      </c>
      <c r="S125" s="2" t="b">
        <f>'Variar Nominales c222'!$N126&gt;80</f>
        <v>0</v>
      </c>
    </row>
    <row r="126" spans="11:19" ht="14.25" customHeight="1" x14ac:dyDescent="0.3">
      <c r="K126" s="2">
        <v>125</v>
      </c>
      <c r="L126" s="2" t="b">
        <f>'Variar Nominales c112'!$G127&gt;80</f>
        <v>1</v>
      </c>
      <c r="M126" s="2" t="b">
        <f>'Variar Nominales c112'!$N127&gt;80</f>
        <v>0</v>
      </c>
      <c r="O126" s="2" t="b">
        <f>'Variar Nominales c211'!$G127&gt;80</f>
        <v>1</v>
      </c>
      <c r="P126" s="2" t="b">
        <f>'Variar Nominales c211'!$N127&gt;80</f>
        <v>0</v>
      </c>
      <c r="R126" s="2" t="b">
        <f>'Variar Nominales c222'!$G127&gt;80</f>
        <v>1</v>
      </c>
      <c r="S126" s="2" t="b">
        <f>'Variar Nominales c222'!$N127&gt;80</f>
        <v>0</v>
      </c>
    </row>
    <row r="127" spans="11:19" ht="14.25" customHeight="1" x14ac:dyDescent="0.3">
      <c r="K127" s="2">
        <v>126</v>
      </c>
      <c r="L127" s="2" t="b">
        <f>'Variar Nominales c112'!$G128&gt;80</f>
        <v>1</v>
      </c>
      <c r="M127" s="2" t="b">
        <f>'Variar Nominales c112'!$N128&gt;80</f>
        <v>0</v>
      </c>
      <c r="O127" s="2" t="b">
        <f>'Variar Nominales c211'!$G128&gt;80</f>
        <v>1</v>
      </c>
      <c r="P127" s="2" t="b">
        <f>'Variar Nominales c211'!$N128&gt;80</f>
        <v>0</v>
      </c>
      <c r="R127" s="2" t="b">
        <f>'Variar Nominales c222'!$G128&gt;80</f>
        <v>1</v>
      </c>
      <c r="S127" s="2" t="b">
        <f>'Variar Nominales c222'!$N128&gt;80</f>
        <v>0</v>
      </c>
    </row>
    <row r="128" spans="11:19" ht="14.25" customHeight="1" x14ac:dyDescent="0.3">
      <c r="K128" s="2">
        <v>127</v>
      </c>
      <c r="L128" s="2" t="b">
        <f>'Variar Nominales c112'!$G129&gt;80</f>
        <v>0</v>
      </c>
      <c r="M128" s="2" t="b">
        <f>'Variar Nominales c112'!$N129&gt;80</f>
        <v>0</v>
      </c>
      <c r="O128" s="2" t="b">
        <f>'Variar Nominales c211'!$G129&gt;80</f>
        <v>1</v>
      </c>
      <c r="P128" s="2" t="b">
        <f>'Variar Nominales c211'!$N129&gt;80</f>
        <v>0</v>
      </c>
      <c r="R128" s="2" t="b">
        <f>'Variar Nominales c222'!$G129&gt;80</f>
        <v>1</v>
      </c>
      <c r="S128" s="2" t="b">
        <f>'Variar Nominales c222'!$N129&gt;80</f>
        <v>0</v>
      </c>
    </row>
    <row r="129" spans="11:19" ht="14.25" customHeight="1" x14ac:dyDescent="0.3">
      <c r="K129" s="2">
        <v>128</v>
      </c>
      <c r="L129" s="2" t="b">
        <f>'Variar Nominales c112'!$G130&gt;80</f>
        <v>0</v>
      </c>
      <c r="M129" s="2" t="b">
        <f>'Variar Nominales c112'!$N130&gt;80</f>
        <v>0</v>
      </c>
      <c r="O129" s="2" t="b">
        <f>'Variar Nominales c211'!$G130&gt;80</f>
        <v>0</v>
      </c>
      <c r="P129" s="2" t="b">
        <f>'Variar Nominales c211'!$N130&gt;80</f>
        <v>0</v>
      </c>
      <c r="R129" s="2" t="b">
        <f>'Variar Nominales c222'!$G130&gt;80</f>
        <v>1</v>
      </c>
      <c r="S129" s="2" t="b">
        <f>'Variar Nominales c222'!$N130&gt;80</f>
        <v>0</v>
      </c>
    </row>
    <row r="130" spans="11:19" ht="14.25" customHeight="1" x14ac:dyDescent="0.3">
      <c r="K130" s="2">
        <v>129</v>
      </c>
      <c r="L130" s="2" t="b">
        <f>'Variar Nominales c112'!$G131&gt;80</f>
        <v>0</v>
      </c>
      <c r="M130" s="2" t="b">
        <f>'Variar Nominales c112'!$N131&gt;80</f>
        <v>0</v>
      </c>
      <c r="O130" s="2" t="b">
        <f>'Variar Nominales c211'!$G131&gt;80</f>
        <v>1</v>
      </c>
      <c r="P130" s="2" t="b">
        <f>'Variar Nominales c211'!$N131&gt;80</f>
        <v>0</v>
      </c>
      <c r="R130" s="2" t="b">
        <f>'Variar Nominales c222'!$G131&gt;80</f>
        <v>0</v>
      </c>
      <c r="S130" s="2" t="b">
        <f>'Variar Nominales c222'!$N131&gt;80</f>
        <v>0</v>
      </c>
    </row>
    <row r="131" spans="11:19" ht="14.25" customHeight="1" x14ac:dyDescent="0.3">
      <c r="K131" s="2">
        <v>130</v>
      </c>
      <c r="L131" s="2" t="b">
        <f>'Variar Nominales c112'!$G132&gt;80</f>
        <v>1</v>
      </c>
      <c r="M131" s="2" t="b">
        <f>'Variar Nominales c112'!$N132&gt;80</f>
        <v>0</v>
      </c>
      <c r="O131" s="2" t="b">
        <f>'Variar Nominales c211'!$G132&gt;80</f>
        <v>1</v>
      </c>
      <c r="P131" s="2" t="b">
        <f>'Variar Nominales c211'!$N132&gt;80</f>
        <v>0</v>
      </c>
      <c r="R131" s="2" t="b">
        <f>'Variar Nominales c222'!$G132&gt;80</f>
        <v>1</v>
      </c>
      <c r="S131" s="2" t="b">
        <f>'Variar Nominales c222'!$N132&gt;80</f>
        <v>0</v>
      </c>
    </row>
    <row r="132" spans="11:19" ht="14.25" customHeight="1" x14ac:dyDescent="0.3">
      <c r="K132" s="2">
        <v>131</v>
      </c>
      <c r="L132" s="2" t="b">
        <f>'Variar Nominales c112'!$G133&gt;80</f>
        <v>1</v>
      </c>
      <c r="M132" s="2" t="b">
        <f>'Variar Nominales c112'!$N133&gt;80</f>
        <v>0</v>
      </c>
      <c r="O132" s="2" t="b">
        <f>'Variar Nominales c211'!$G133&gt;80</f>
        <v>1</v>
      </c>
      <c r="P132" s="2" t="b">
        <f>'Variar Nominales c211'!$N133&gt;80</f>
        <v>0</v>
      </c>
      <c r="R132" s="2" t="b">
        <f>'Variar Nominales c222'!$G133&gt;80</f>
        <v>1</v>
      </c>
      <c r="S132" s="2" t="b">
        <f>'Variar Nominales c222'!$N133&gt;80</f>
        <v>0</v>
      </c>
    </row>
    <row r="133" spans="11:19" ht="14.25" customHeight="1" x14ac:dyDescent="0.3">
      <c r="K133" s="2">
        <v>132</v>
      </c>
      <c r="L133" s="2" t="b">
        <f>'Variar Nominales c112'!$G134&gt;80</f>
        <v>0</v>
      </c>
      <c r="M133" s="2" t="b">
        <f>'Variar Nominales c112'!$N134&gt;80</f>
        <v>0</v>
      </c>
      <c r="O133" s="2" t="b">
        <f>'Variar Nominales c211'!$G134&gt;80</f>
        <v>1</v>
      </c>
      <c r="P133" s="2" t="b">
        <f>'Variar Nominales c211'!$N134&gt;80</f>
        <v>0</v>
      </c>
      <c r="R133" s="2" t="b">
        <f>'Variar Nominales c222'!$G134&gt;80</f>
        <v>1</v>
      </c>
      <c r="S133" s="2" t="b">
        <f>'Variar Nominales c222'!$N134&gt;80</f>
        <v>0</v>
      </c>
    </row>
    <row r="134" spans="11:19" ht="14.25" customHeight="1" x14ac:dyDescent="0.3">
      <c r="K134" s="2">
        <v>133</v>
      </c>
      <c r="L134" s="2" t="b">
        <f>'Variar Nominales c112'!$G135&gt;80</f>
        <v>0</v>
      </c>
      <c r="M134" s="2" t="b">
        <f>'Variar Nominales c112'!$N135&gt;80</f>
        <v>0</v>
      </c>
      <c r="O134" s="2" t="b">
        <f>'Variar Nominales c211'!$G135&gt;80</f>
        <v>0</v>
      </c>
      <c r="P134" s="2" t="b">
        <f>'Variar Nominales c211'!$N135&gt;80</f>
        <v>0</v>
      </c>
      <c r="R134" s="2" t="b">
        <f>'Variar Nominales c222'!$G135&gt;80</f>
        <v>1</v>
      </c>
      <c r="S134" s="2" t="b">
        <f>'Variar Nominales c222'!$N135&gt;80</f>
        <v>0</v>
      </c>
    </row>
    <row r="135" spans="11:19" ht="14.25" customHeight="1" x14ac:dyDescent="0.3">
      <c r="K135" s="2">
        <v>134</v>
      </c>
      <c r="L135" s="2" t="b">
        <f>'Variar Nominales c112'!$G136&gt;80</f>
        <v>0</v>
      </c>
      <c r="M135" s="2" t="b">
        <f>'Variar Nominales c112'!$N136&gt;80</f>
        <v>0</v>
      </c>
      <c r="O135" s="2" t="b">
        <f>'Variar Nominales c211'!$G136&gt;80</f>
        <v>1</v>
      </c>
      <c r="P135" s="2" t="b">
        <f>'Variar Nominales c211'!$N136&gt;80</f>
        <v>0</v>
      </c>
      <c r="R135" s="2" t="b">
        <f>'Variar Nominales c222'!$G136&gt;80</f>
        <v>0</v>
      </c>
      <c r="S135" s="2" t="b">
        <f>'Variar Nominales c222'!$N136&gt;80</f>
        <v>0</v>
      </c>
    </row>
    <row r="136" spans="11:19" ht="14.25" customHeight="1" x14ac:dyDescent="0.3">
      <c r="K136" s="2">
        <v>135</v>
      </c>
      <c r="L136" s="2" t="b">
        <f>'Variar Nominales c112'!$G137&gt;80</f>
        <v>1</v>
      </c>
      <c r="M136" s="2" t="b">
        <f>'Variar Nominales c112'!$N137&gt;80</f>
        <v>0</v>
      </c>
      <c r="O136" s="2" t="b">
        <f>'Variar Nominales c211'!$G137&gt;80</f>
        <v>1</v>
      </c>
      <c r="P136" s="2" t="b">
        <f>'Variar Nominales c211'!$N137&gt;80</f>
        <v>0</v>
      </c>
      <c r="R136" s="2" t="b">
        <f>'Variar Nominales c222'!$G137&gt;80</f>
        <v>1</v>
      </c>
      <c r="S136" s="2" t="b">
        <f>'Variar Nominales c222'!$N137&gt;80</f>
        <v>0</v>
      </c>
    </row>
    <row r="137" spans="11:19" ht="14.25" customHeight="1" x14ac:dyDescent="0.3">
      <c r="K137" s="2">
        <v>136</v>
      </c>
      <c r="L137" s="2" t="b">
        <f>'Variar Nominales c112'!$G138&gt;80</f>
        <v>1</v>
      </c>
      <c r="M137" s="2" t="b">
        <f>'Variar Nominales c112'!$N138&gt;80</f>
        <v>0</v>
      </c>
      <c r="O137" s="2" t="b">
        <f>'Variar Nominales c211'!$G138&gt;80</f>
        <v>1</v>
      </c>
      <c r="P137" s="2" t="b">
        <f>'Variar Nominales c211'!$N138&gt;80</f>
        <v>0</v>
      </c>
      <c r="R137" s="2" t="b">
        <f>'Variar Nominales c222'!$G138&gt;80</f>
        <v>1</v>
      </c>
      <c r="S137" s="2" t="b">
        <f>'Variar Nominales c222'!$N138&gt;80</f>
        <v>0</v>
      </c>
    </row>
    <row r="138" spans="11:19" ht="14.25" customHeight="1" x14ac:dyDescent="0.3">
      <c r="K138" s="2">
        <v>137</v>
      </c>
      <c r="L138" s="2" t="b">
        <f>'Variar Nominales c112'!$G139&gt;80</f>
        <v>0</v>
      </c>
      <c r="M138" s="2" t="b">
        <f>'Variar Nominales c112'!$N139&gt;80</f>
        <v>0</v>
      </c>
      <c r="O138" s="2" t="b">
        <f>'Variar Nominales c211'!$G139&gt;80</f>
        <v>1</v>
      </c>
      <c r="P138" s="2" t="b">
        <f>'Variar Nominales c211'!$N139&gt;80</f>
        <v>0</v>
      </c>
      <c r="R138" s="2" t="b">
        <f>'Variar Nominales c222'!$G139&gt;80</f>
        <v>1</v>
      </c>
      <c r="S138" s="2" t="b">
        <f>'Variar Nominales c222'!$N139&gt;80</f>
        <v>0</v>
      </c>
    </row>
    <row r="139" spans="11:19" ht="14.25" customHeight="1" x14ac:dyDescent="0.3">
      <c r="K139" s="2">
        <v>138</v>
      </c>
      <c r="L139" s="2" t="b">
        <f>'Variar Nominales c112'!$G140&gt;80</f>
        <v>0</v>
      </c>
      <c r="M139" s="2" t="b">
        <f>'Variar Nominales c112'!$N140&gt;80</f>
        <v>0</v>
      </c>
      <c r="O139" s="2" t="b">
        <f>'Variar Nominales c211'!$G140&gt;80</f>
        <v>0</v>
      </c>
      <c r="P139" s="2" t="b">
        <f>'Variar Nominales c211'!$N140&gt;80</f>
        <v>0</v>
      </c>
      <c r="R139" s="2" t="b">
        <f>'Variar Nominales c222'!$G140&gt;80</f>
        <v>1</v>
      </c>
      <c r="S139" s="2" t="b">
        <f>'Variar Nominales c222'!$N140&gt;80</f>
        <v>0</v>
      </c>
    </row>
    <row r="140" spans="11:19" ht="14.25" customHeight="1" x14ac:dyDescent="0.3">
      <c r="K140" s="2">
        <v>139</v>
      </c>
      <c r="L140" s="2" t="b">
        <f>'Variar Nominales c112'!$G141&gt;80</f>
        <v>0</v>
      </c>
      <c r="M140" s="2" t="b">
        <f>'Variar Nominales c112'!$N141&gt;80</f>
        <v>0</v>
      </c>
      <c r="O140" s="2" t="b">
        <f>'Variar Nominales c211'!$G141&gt;80</f>
        <v>1</v>
      </c>
      <c r="P140" s="2" t="b">
        <f>'Variar Nominales c211'!$N141&gt;80</f>
        <v>0</v>
      </c>
      <c r="R140" s="2" t="b">
        <f>'Variar Nominales c222'!$G141&gt;80</f>
        <v>0</v>
      </c>
      <c r="S140" s="2" t="b">
        <f>'Variar Nominales c222'!$N141&gt;80</f>
        <v>0</v>
      </c>
    </row>
    <row r="141" spans="11:19" ht="14.25" customHeight="1" x14ac:dyDescent="0.3">
      <c r="K141" s="2">
        <v>140</v>
      </c>
      <c r="L141" s="2" t="b">
        <f>'Variar Nominales c112'!$G142&gt;80</f>
        <v>1</v>
      </c>
      <c r="M141" s="2" t="b">
        <f>'Variar Nominales c112'!$N142&gt;80</f>
        <v>0</v>
      </c>
      <c r="O141" s="2" t="b">
        <f>'Variar Nominales c211'!$G142&gt;80</f>
        <v>1</v>
      </c>
      <c r="P141" s="2" t="b">
        <f>'Variar Nominales c211'!$N142&gt;80</f>
        <v>0</v>
      </c>
      <c r="R141" s="2" t="b">
        <f>'Variar Nominales c222'!$G142&gt;80</f>
        <v>1</v>
      </c>
      <c r="S141" s="2" t="b">
        <f>'Variar Nominales c222'!$N142&gt;80</f>
        <v>0</v>
      </c>
    </row>
    <row r="142" spans="11:19" ht="14.25" customHeight="1" x14ac:dyDescent="0.3">
      <c r="K142" s="2">
        <v>141</v>
      </c>
      <c r="L142" s="2" t="b">
        <f>'Variar Nominales c112'!$G143&gt;80</f>
        <v>1</v>
      </c>
      <c r="M142" s="2" t="b">
        <f>'Variar Nominales c112'!$N143&gt;80</f>
        <v>0</v>
      </c>
      <c r="O142" s="2" t="b">
        <f>'Variar Nominales c211'!$G143&gt;80</f>
        <v>1</v>
      </c>
      <c r="P142" s="2" t="b">
        <f>'Variar Nominales c211'!$N143&gt;80</f>
        <v>0</v>
      </c>
      <c r="R142" s="2" t="b">
        <f>'Variar Nominales c222'!$G143&gt;80</f>
        <v>1</v>
      </c>
      <c r="S142" s="2" t="b">
        <f>'Variar Nominales c222'!$N143&gt;80</f>
        <v>0</v>
      </c>
    </row>
    <row r="143" spans="11:19" ht="14.25" customHeight="1" x14ac:dyDescent="0.3">
      <c r="K143" s="2">
        <v>142</v>
      </c>
      <c r="L143" s="2" t="b">
        <f>'Variar Nominales c112'!$G144&gt;80</f>
        <v>0</v>
      </c>
      <c r="M143" s="2" t="b">
        <f>'Variar Nominales c112'!$N144&gt;80</f>
        <v>0</v>
      </c>
      <c r="O143" s="2" t="b">
        <f>'Variar Nominales c211'!$G144&gt;80</f>
        <v>1</v>
      </c>
      <c r="P143" s="2" t="b">
        <f>'Variar Nominales c211'!$N144&gt;80</f>
        <v>0</v>
      </c>
      <c r="R143" s="2" t="b">
        <f>'Variar Nominales c222'!$G144&gt;80</f>
        <v>1</v>
      </c>
      <c r="S143" s="2" t="b">
        <f>'Variar Nominales c222'!$N144&gt;80</f>
        <v>0</v>
      </c>
    </row>
    <row r="144" spans="11:19" ht="14.25" customHeight="1" x14ac:dyDescent="0.3">
      <c r="K144" s="2">
        <v>143</v>
      </c>
      <c r="L144" s="2" t="b">
        <f>'Variar Nominales c112'!$G145&gt;80</f>
        <v>0</v>
      </c>
      <c r="M144" s="2" t="b">
        <f>'Variar Nominales c112'!$N145&gt;80</f>
        <v>0</v>
      </c>
      <c r="O144" s="2" t="b">
        <f>'Variar Nominales c211'!$G145&gt;80</f>
        <v>0</v>
      </c>
      <c r="P144" s="2" t="b">
        <f>'Variar Nominales c211'!$N145&gt;80</f>
        <v>0</v>
      </c>
      <c r="R144" s="2" t="b">
        <f>'Variar Nominales c222'!$G145&gt;80</f>
        <v>1</v>
      </c>
      <c r="S144" s="2" t="b">
        <f>'Variar Nominales c222'!$N145&gt;80</f>
        <v>0</v>
      </c>
    </row>
    <row r="145" spans="11:19" ht="14.25" customHeight="1" x14ac:dyDescent="0.3">
      <c r="K145" s="2">
        <v>144</v>
      </c>
      <c r="L145" s="2" t="b">
        <f>'Variar Nominales c112'!$G146&gt;80</f>
        <v>0</v>
      </c>
      <c r="M145" s="2" t="b">
        <f>'Variar Nominales c112'!$N146&gt;80</f>
        <v>0</v>
      </c>
      <c r="O145" s="2" t="b">
        <f>'Variar Nominales c211'!$G146&gt;80</f>
        <v>1</v>
      </c>
      <c r="P145" s="2" t="b">
        <f>'Variar Nominales c211'!$N146&gt;80</f>
        <v>0</v>
      </c>
      <c r="R145" s="2" t="b">
        <f>'Variar Nominales c222'!$G146&gt;80</f>
        <v>0</v>
      </c>
      <c r="S145" s="2" t="b">
        <f>'Variar Nominales c222'!$N146&gt;80</f>
        <v>0</v>
      </c>
    </row>
    <row r="146" spans="11:19" ht="14.25" customHeight="1" x14ac:dyDescent="0.3">
      <c r="K146" s="2">
        <v>145</v>
      </c>
      <c r="L146" s="2" t="b">
        <f>'Variar Nominales c112'!$G147&gt;80</f>
        <v>1</v>
      </c>
      <c r="M146" s="2" t="b">
        <f>'Variar Nominales c112'!$N147&gt;80</f>
        <v>0</v>
      </c>
      <c r="O146" s="2" t="b">
        <f>'Variar Nominales c211'!$G147&gt;80</f>
        <v>1</v>
      </c>
      <c r="P146" s="2" t="b">
        <f>'Variar Nominales c211'!$N147&gt;80</f>
        <v>0</v>
      </c>
      <c r="R146" s="2" t="b">
        <f>'Variar Nominales c222'!$G147&gt;80</f>
        <v>1</v>
      </c>
      <c r="S146" s="2" t="b">
        <f>'Variar Nominales c222'!$N147&gt;80</f>
        <v>0</v>
      </c>
    </row>
    <row r="147" spans="11:19" ht="14.25" customHeight="1" x14ac:dyDescent="0.3">
      <c r="K147" s="2">
        <v>146</v>
      </c>
      <c r="L147" s="2" t="b">
        <f>'Variar Nominales c112'!$G148&gt;80</f>
        <v>1</v>
      </c>
      <c r="M147" s="2" t="b">
        <f>'Variar Nominales c112'!$N148&gt;80</f>
        <v>0</v>
      </c>
      <c r="O147" s="2" t="b">
        <f>'Variar Nominales c211'!$G148&gt;80</f>
        <v>1</v>
      </c>
      <c r="P147" s="2" t="b">
        <f>'Variar Nominales c211'!$N148&gt;80</f>
        <v>0</v>
      </c>
      <c r="R147" s="2" t="b">
        <f>'Variar Nominales c222'!$G148&gt;80</f>
        <v>1</v>
      </c>
      <c r="S147" s="2" t="b">
        <f>'Variar Nominales c222'!$N148&gt;80</f>
        <v>0</v>
      </c>
    </row>
    <row r="148" spans="11:19" ht="14.25" customHeight="1" x14ac:dyDescent="0.3">
      <c r="K148" s="2">
        <v>147</v>
      </c>
      <c r="L148" s="2" t="b">
        <f>'Variar Nominales c112'!$G149&gt;80</f>
        <v>0</v>
      </c>
      <c r="M148" s="2" t="b">
        <f>'Variar Nominales c112'!$N149&gt;80</f>
        <v>0</v>
      </c>
      <c r="O148" s="2" t="b">
        <f>'Variar Nominales c211'!$G149&gt;80</f>
        <v>1</v>
      </c>
      <c r="P148" s="2" t="b">
        <f>'Variar Nominales c211'!$N149&gt;80</f>
        <v>0</v>
      </c>
      <c r="R148" s="2" t="b">
        <f>'Variar Nominales c222'!$G149&gt;80</f>
        <v>1</v>
      </c>
      <c r="S148" s="2" t="b">
        <f>'Variar Nominales c222'!$N149&gt;80</f>
        <v>0</v>
      </c>
    </row>
    <row r="149" spans="11:19" ht="14.25" customHeight="1" x14ac:dyDescent="0.3">
      <c r="K149" s="2">
        <v>148</v>
      </c>
      <c r="L149" s="2" t="b">
        <f>'Variar Nominales c112'!$G150&gt;80</f>
        <v>0</v>
      </c>
      <c r="M149" s="2" t="b">
        <f>'Variar Nominales c112'!$N150&gt;80</f>
        <v>0</v>
      </c>
      <c r="O149" s="2" t="b">
        <f>'Variar Nominales c211'!$G150&gt;80</f>
        <v>0</v>
      </c>
      <c r="P149" s="2" t="b">
        <f>'Variar Nominales c211'!$N150&gt;80</f>
        <v>0</v>
      </c>
      <c r="R149" s="2" t="b">
        <f>'Variar Nominales c222'!$G150&gt;80</f>
        <v>1</v>
      </c>
      <c r="S149" s="2" t="b">
        <f>'Variar Nominales c222'!$N150&gt;80</f>
        <v>0</v>
      </c>
    </row>
    <row r="150" spans="11:19" ht="14.25" customHeight="1" x14ac:dyDescent="0.3">
      <c r="K150" s="2">
        <v>149</v>
      </c>
      <c r="L150" s="2" t="b">
        <f>'Variar Nominales c112'!$G151&gt;80</f>
        <v>0</v>
      </c>
      <c r="M150" s="2" t="b">
        <f>'Variar Nominales c112'!$N151&gt;80</f>
        <v>0</v>
      </c>
      <c r="O150" s="2" t="b">
        <f>'Variar Nominales c211'!$G151&gt;80</f>
        <v>1</v>
      </c>
      <c r="P150" s="2" t="b">
        <f>'Variar Nominales c211'!$N151&gt;80</f>
        <v>0</v>
      </c>
      <c r="R150" s="2" t="b">
        <f>'Variar Nominales c222'!$G151&gt;80</f>
        <v>0</v>
      </c>
      <c r="S150" s="2" t="b">
        <f>'Variar Nominales c222'!$N151&gt;80</f>
        <v>0</v>
      </c>
    </row>
    <row r="151" spans="11:19" ht="14.25" customHeight="1" x14ac:dyDescent="0.3">
      <c r="K151" s="2">
        <v>150</v>
      </c>
      <c r="L151" s="2" t="b">
        <f>'Variar Nominales c112'!$G152&gt;80</f>
        <v>1</v>
      </c>
      <c r="M151" s="2" t="b">
        <f>'Variar Nominales c112'!$N152&gt;80</f>
        <v>0</v>
      </c>
      <c r="O151" s="2" t="b">
        <f>'Variar Nominales c211'!$G152&gt;80</f>
        <v>1</v>
      </c>
      <c r="P151" s="2" t="b">
        <f>'Variar Nominales c211'!$N152&gt;80</f>
        <v>0</v>
      </c>
      <c r="R151" s="2" t="b">
        <f>'Variar Nominales c222'!$G152&gt;80</f>
        <v>1</v>
      </c>
      <c r="S151" s="2" t="b">
        <f>'Variar Nominales c222'!$N152&gt;80</f>
        <v>0</v>
      </c>
    </row>
    <row r="152" spans="11:19" ht="14.25" customHeight="1" x14ac:dyDescent="0.3"/>
    <row r="153" spans="11:19" ht="14.25" customHeight="1" x14ac:dyDescent="0.3"/>
    <row r="154" spans="11:19" ht="14.25" customHeight="1" x14ac:dyDescent="0.3"/>
    <row r="155" spans="11:19" ht="14.25" customHeight="1" x14ac:dyDescent="0.3"/>
    <row r="156" spans="11:19" ht="14.25" customHeight="1" x14ac:dyDescent="0.3"/>
    <row r="157" spans="11:19" ht="14.25" customHeight="1" x14ac:dyDescent="0.3"/>
    <row r="158" spans="11:19" ht="14.25" customHeight="1" x14ac:dyDescent="0.3"/>
    <row r="159" spans="11:19" ht="14.25" customHeight="1" x14ac:dyDescent="0.3"/>
    <row r="160" spans="11:19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H1000"/>
  <sheetViews>
    <sheetView workbookViewId="0"/>
  </sheetViews>
  <sheetFormatPr defaultColWidth="14.44140625" defaultRowHeight="15" customHeight="1" x14ac:dyDescent="0.3"/>
  <cols>
    <col min="1" max="1" width="6.5546875" customWidth="1"/>
    <col min="2" max="2" width="8.6640625" customWidth="1"/>
    <col min="3" max="6" width="21" customWidth="1"/>
    <col min="7" max="26" width="8.6640625" customWidth="1"/>
  </cols>
  <sheetData>
    <row r="1" spans="2:8" ht="14.25" customHeight="1" x14ac:dyDescent="0.3"/>
    <row r="2" spans="2:8" ht="14.25" customHeight="1" x14ac:dyDescent="0.3">
      <c r="C2" s="13" t="s">
        <v>6</v>
      </c>
      <c r="D2" s="13" t="s">
        <v>16</v>
      </c>
      <c r="E2" s="13" t="s">
        <v>17</v>
      </c>
      <c r="F2" s="13" t="s">
        <v>18</v>
      </c>
    </row>
    <row r="3" spans="2:8" ht="14.25" customHeight="1" x14ac:dyDescent="0.3">
      <c r="B3" s="13" t="s">
        <v>19</v>
      </c>
      <c r="C3" s="20" t="s">
        <v>35</v>
      </c>
      <c r="D3" s="21" t="s">
        <v>36</v>
      </c>
      <c r="E3" s="21" t="s">
        <v>36</v>
      </c>
      <c r="F3" s="21" t="s">
        <v>36</v>
      </c>
      <c r="H3" s="22" t="s">
        <v>37</v>
      </c>
    </row>
    <row r="4" spans="2:8" ht="14.25" customHeight="1" x14ac:dyDescent="0.3">
      <c r="B4" s="13" t="s">
        <v>1</v>
      </c>
      <c r="C4" s="23" t="s">
        <v>38</v>
      </c>
      <c r="D4" s="24" t="s">
        <v>39</v>
      </c>
      <c r="E4" s="21" t="s">
        <v>36</v>
      </c>
      <c r="F4" s="24" t="s">
        <v>40</v>
      </c>
    </row>
    <row r="5" spans="2:8" ht="29.25" customHeight="1" x14ac:dyDescent="0.3">
      <c r="B5" s="13" t="s">
        <v>2</v>
      </c>
      <c r="C5" s="23" t="s">
        <v>38</v>
      </c>
      <c r="D5" s="25" t="s">
        <v>41</v>
      </c>
      <c r="E5" s="23" t="s">
        <v>38</v>
      </c>
      <c r="F5" s="21" t="s">
        <v>36</v>
      </c>
    </row>
    <row r="6" spans="2:8" ht="15" customHeight="1" x14ac:dyDescent="0.3">
      <c r="B6" s="13" t="s">
        <v>28</v>
      </c>
      <c r="C6" s="21" t="s">
        <v>36</v>
      </c>
      <c r="D6" s="24" t="s">
        <v>39</v>
      </c>
      <c r="E6" s="24" t="s">
        <v>39</v>
      </c>
      <c r="F6" s="24" t="s">
        <v>39</v>
      </c>
    </row>
    <row r="7" spans="2:8" ht="14.25" customHeight="1" x14ac:dyDescent="0.3">
      <c r="B7" s="13" t="s">
        <v>4</v>
      </c>
      <c r="C7" s="23" t="s">
        <v>38</v>
      </c>
      <c r="D7" s="21" t="s">
        <v>36</v>
      </c>
      <c r="E7" s="20" t="s">
        <v>35</v>
      </c>
      <c r="F7" s="21" t="s">
        <v>36</v>
      </c>
    </row>
    <row r="8" spans="2:8" ht="14.25" customHeight="1" x14ac:dyDescent="0.3">
      <c r="B8" s="13" t="s">
        <v>5</v>
      </c>
      <c r="C8" s="23" t="s">
        <v>38</v>
      </c>
      <c r="D8" s="21" t="s">
        <v>36</v>
      </c>
      <c r="E8" s="23" t="s">
        <v>38</v>
      </c>
      <c r="F8" s="20" t="s">
        <v>35</v>
      </c>
    </row>
    <row r="9" spans="2:8" ht="14.25" customHeight="1" x14ac:dyDescent="0.3"/>
    <row r="10" spans="2:8" ht="14.25" customHeight="1" x14ac:dyDescent="0.3"/>
    <row r="11" spans="2:8" ht="14.25" customHeight="1" x14ac:dyDescent="0.3"/>
    <row r="12" spans="2:8" ht="14.25" customHeight="1" x14ac:dyDescent="0.3"/>
    <row r="13" spans="2:8" ht="14.25" customHeight="1" x14ac:dyDescent="0.3"/>
    <row r="14" spans="2:8" ht="14.25" customHeight="1" x14ac:dyDescent="0.3"/>
    <row r="15" spans="2:8" ht="14.25" customHeight="1" x14ac:dyDescent="0.3"/>
    <row r="16" spans="2:8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6565"/>
  </sheetPr>
  <dimension ref="A1:AA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6.6640625" customWidth="1"/>
    <col min="3" max="8" width="8.6640625" customWidth="1"/>
    <col min="9" max="9" width="4.88671875" customWidth="1"/>
    <col min="10" max="10" width="6.33203125" customWidth="1"/>
    <col min="11" max="15" width="8.6640625" customWidth="1"/>
    <col min="16" max="16" width="5.6640625" customWidth="1"/>
    <col min="17" max="23" width="8.6640625" customWidth="1"/>
    <col min="24" max="24" width="11" customWidth="1"/>
    <col min="25" max="27" width="8.6640625" customWidth="1"/>
  </cols>
  <sheetData>
    <row r="1" spans="1:27" ht="14.25" customHeight="1" x14ac:dyDescent="0.3">
      <c r="A1" s="2" t="s">
        <v>19</v>
      </c>
      <c r="B1" s="52" t="s">
        <v>20</v>
      </c>
      <c r="C1" s="53"/>
      <c r="D1" s="53"/>
      <c r="E1" s="53"/>
      <c r="F1" s="53"/>
      <c r="G1" s="53"/>
      <c r="H1" s="53"/>
      <c r="J1" s="52" t="s">
        <v>21</v>
      </c>
      <c r="K1" s="53"/>
      <c r="L1" s="53"/>
      <c r="M1" s="53"/>
      <c r="N1" s="53"/>
      <c r="O1" s="53"/>
      <c r="Q1" s="52" t="s">
        <v>22</v>
      </c>
      <c r="R1" s="53"/>
      <c r="S1" s="53"/>
      <c r="T1" s="53"/>
      <c r="U1" s="53"/>
      <c r="V1" s="53"/>
    </row>
    <row r="2" spans="1:27" ht="14.25" customHeight="1" x14ac:dyDescent="0.3">
      <c r="B2" s="2" t="s">
        <v>23</v>
      </c>
      <c r="C2" s="2" t="s">
        <v>24</v>
      </c>
      <c r="D2" s="2" t="s">
        <v>11</v>
      </c>
      <c r="E2" s="2" t="s">
        <v>12</v>
      </c>
      <c r="F2" s="2" t="s">
        <v>13</v>
      </c>
      <c r="G2" s="2" t="s">
        <v>25</v>
      </c>
      <c r="H2" s="2" t="s">
        <v>26</v>
      </c>
      <c r="J2" s="2" t="s">
        <v>23</v>
      </c>
      <c r="K2" s="2" t="s">
        <v>24</v>
      </c>
      <c r="L2" s="2" t="s">
        <v>11</v>
      </c>
      <c r="M2" s="2" t="s">
        <v>12</v>
      </c>
      <c r="N2" s="2" t="s">
        <v>25</v>
      </c>
      <c r="O2" s="2" t="s">
        <v>26</v>
      </c>
      <c r="Q2" s="2" t="s">
        <v>23</v>
      </c>
      <c r="R2" s="2" t="s">
        <v>24</v>
      </c>
      <c r="S2" s="2" t="s">
        <v>6</v>
      </c>
      <c r="T2" s="2" t="s">
        <v>16</v>
      </c>
      <c r="U2" s="2" t="s">
        <v>17</v>
      </c>
      <c r="V2" s="2" t="s">
        <v>18</v>
      </c>
    </row>
    <row r="3" spans="1:27" ht="14.25" customHeight="1" x14ac:dyDescent="0.3">
      <c r="B3" s="2">
        <v>1</v>
      </c>
      <c r="C3" s="5">
        <v>0.77500000000000002</v>
      </c>
      <c r="D3" s="2">
        <v>114.76135595213999</v>
      </c>
      <c r="E3" s="2">
        <v>0.16181123989920199</v>
      </c>
      <c r="F3" s="2">
        <v>7.4999999999999997E-2</v>
      </c>
      <c r="G3" s="2">
        <v>-27.9296838839795</v>
      </c>
      <c r="H3" s="5" t="s">
        <v>6</v>
      </c>
      <c r="J3" s="2">
        <v>1</v>
      </c>
      <c r="K3" s="5">
        <v>0.77500000000000002</v>
      </c>
      <c r="L3" s="2">
        <v>117.702510018932</v>
      </c>
      <c r="M3" s="15">
        <v>6.4050298759944499E-7</v>
      </c>
      <c r="N3" s="2">
        <v>-27.367860239158301</v>
      </c>
      <c r="O3" s="5" t="s">
        <v>6</v>
      </c>
      <c r="Q3" s="2">
        <v>1</v>
      </c>
      <c r="R3" s="2">
        <v>0.75</v>
      </c>
      <c r="S3" s="16">
        <v>-0.12207433347442299</v>
      </c>
      <c r="T3" s="17">
        <v>1.0758238893473E-2</v>
      </c>
      <c r="U3" s="17">
        <v>2.3849433889466799E-2</v>
      </c>
      <c r="V3" s="17">
        <v>1.1260447352516601E-2</v>
      </c>
      <c r="X3" s="2">
        <f t="shared" ref="X3:AA3" si="0">S4-S3</f>
        <v>1.1094919386452989E-2</v>
      </c>
      <c r="Y3" s="2">
        <f t="shared" si="0"/>
        <v>-1.6064123773986208E-3</v>
      </c>
      <c r="Z3" s="2">
        <f t="shared" si="0"/>
        <v>-2.017141193298197E-3</v>
      </c>
      <c r="AA3" s="2">
        <f t="shared" si="0"/>
        <v>-9.4707817301220056E-4</v>
      </c>
    </row>
    <row r="4" spans="1:27" ht="14.25" customHeight="1" x14ac:dyDescent="0.3">
      <c r="B4" s="2">
        <v>2</v>
      </c>
      <c r="C4" s="2">
        <v>0.77500000000000002</v>
      </c>
      <c r="D4" s="2">
        <v>-17.2794026229931</v>
      </c>
      <c r="E4" s="2">
        <v>2.8002746049100402</v>
      </c>
      <c r="F4" s="2">
        <v>1.462</v>
      </c>
      <c r="G4" s="2">
        <v>91.091855969766002</v>
      </c>
      <c r="H4" s="2" t="s">
        <v>16</v>
      </c>
      <c r="J4" s="2">
        <v>2</v>
      </c>
      <c r="K4" s="2">
        <v>0.77500000000000002</v>
      </c>
      <c r="L4" s="2">
        <v>-17.399134172748301</v>
      </c>
      <c r="M4" s="2">
        <v>4.3926507135622499</v>
      </c>
      <c r="N4" s="2">
        <v>81.037329112257794</v>
      </c>
      <c r="O4" s="2" t="s">
        <v>16</v>
      </c>
      <c r="Q4" s="2">
        <v>2</v>
      </c>
      <c r="R4" s="2">
        <v>0.77500000000000002</v>
      </c>
      <c r="S4" s="2">
        <v>-0.11097941408797</v>
      </c>
      <c r="T4" s="2">
        <v>9.1518265160743795E-3</v>
      </c>
      <c r="U4" s="2">
        <v>2.1832292696168602E-2</v>
      </c>
      <c r="V4" s="2">
        <v>1.03133691795044E-2</v>
      </c>
      <c r="X4" s="2">
        <f t="shared" ref="X4:AA4" si="1">S5-S4</f>
        <v>1.1100751378086804E-2</v>
      </c>
      <c r="Y4" s="2">
        <f t="shared" si="1"/>
        <v>-1.6072567804457094E-3</v>
      </c>
      <c r="Z4" s="2">
        <f t="shared" si="1"/>
        <v>-2.0182014939962023E-3</v>
      </c>
      <c r="AA4" s="2">
        <f t="shared" si="1"/>
        <v>-9.47576000117651E-4</v>
      </c>
    </row>
    <row r="5" spans="1:27" ht="14.25" customHeight="1" x14ac:dyDescent="0.3">
      <c r="B5" s="2">
        <v>3</v>
      </c>
      <c r="C5" s="2">
        <v>0.77500000000000002</v>
      </c>
      <c r="D5" s="2">
        <v>-30.324125840298301</v>
      </c>
      <c r="E5" s="2">
        <v>2.1458293572338301</v>
      </c>
      <c r="F5" s="2">
        <v>1.4750000000000001</v>
      </c>
      <c r="G5" s="2">
        <v>92.269996865517399</v>
      </c>
      <c r="H5" s="2" t="s">
        <v>17</v>
      </c>
      <c r="J5" s="2">
        <v>3</v>
      </c>
      <c r="K5" s="2">
        <v>0.77500000000000002</v>
      </c>
      <c r="L5" s="2">
        <v>-30.539048948913798</v>
      </c>
      <c r="M5" s="2">
        <v>3.77689245830148</v>
      </c>
      <c r="N5" s="2">
        <v>80.156599567094204</v>
      </c>
      <c r="O5" s="2" t="s">
        <v>17</v>
      </c>
      <c r="Q5" s="2">
        <v>3</v>
      </c>
      <c r="R5" s="2">
        <v>0.8</v>
      </c>
      <c r="S5" s="2">
        <v>-9.9878662709883201E-2</v>
      </c>
      <c r="T5" s="2">
        <v>7.5445697356286701E-3</v>
      </c>
      <c r="U5" s="2">
        <v>1.9814091202172399E-2</v>
      </c>
      <c r="V5" s="2">
        <v>9.3657931793867492E-3</v>
      </c>
      <c r="X5" s="2">
        <f t="shared" ref="X5:AA5" si="2">S6-S5</f>
        <v>1.1106884877046294E-2</v>
      </c>
      <c r="Y5" s="2">
        <f t="shared" si="2"/>
        <v>-1.6081448381442005E-3</v>
      </c>
      <c r="Z5" s="2">
        <f t="shared" si="2"/>
        <v>-2.019316610995598E-3</v>
      </c>
      <c r="AA5" s="2">
        <f t="shared" si="2"/>
        <v>-9.4809956440191842E-4</v>
      </c>
    </row>
    <row r="6" spans="1:27" ht="14.25" customHeight="1" x14ac:dyDescent="0.3">
      <c r="B6" s="2">
        <v>4</v>
      </c>
      <c r="C6" s="2">
        <v>0.77500000000000002</v>
      </c>
      <c r="D6" s="2">
        <v>-8.6510778967305804</v>
      </c>
      <c r="E6" s="2">
        <v>2.4847258430184498</v>
      </c>
      <c r="F6" s="2">
        <v>1.409</v>
      </c>
      <c r="G6" s="2">
        <v>91.734969175685606</v>
      </c>
      <c r="H6" s="2" t="s">
        <v>18</v>
      </c>
      <c r="J6" s="2">
        <v>4</v>
      </c>
      <c r="K6" s="11">
        <v>0.77500000000000002</v>
      </c>
      <c r="L6" s="2">
        <v>-8.7097399557316901</v>
      </c>
      <c r="M6" s="2">
        <v>4.0336681692549101</v>
      </c>
      <c r="N6" s="2">
        <v>81.092165618259301</v>
      </c>
      <c r="O6" s="2" t="s">
        <v>18</v>
      </c>
      <c r="Q6" s="2">
        <v>4</v>
      </c>
      <c r="R6" s="2">
        <v>0.82499999999999996</v>
      </c>
      <c r="S6" s="2">
        <v>-8.8771777832836907E-2</v>
      </c>
      <c r="T6" s="2">
        <v>5.9364248974844696E-3</v>
      </c>
      <c r="U6" s="2">
        <v>1.7794774591176801E-2</v>
      </c>
      <c r="V6" s="2">
        <v>8.4176936149848308E-3</v>
      </c>
      <c r="X6" s="2">
        <f t="shared" ref="X6:AA6" si="3">S7-S6</f>
        <v>1.1113022828529009E-2</v>
      </c>
      <c r="Y6" s="2">
        <f t="shared" si="3"/>
        <v>-1.6090335405181096E-3</v>
      </c>
      <c r="Z6" s="2">
        <f t="shared" si="3"/>
        <v>-2.0204325375265016E-3</v>
      </c>
      <c r="AA6" s="2">
        <f t="shared" si="3"/>
        <v>-9.4862350868438108E-4</v>
      </c>
    </row>
    <row r="7" spans="1:27" ht="14.25" customHeight="1" x14ac:dyDescent="0.3">
      <c r="B7" s="2">
        <v>5</v>
      </c>
      <c r="C7" s="11">
        <v>0.77500000000000002</v>
      </c>
      <c r="D7" s="2">
        <v>-123.835055694465</v>
      </c>
      <c r="E7" s="2">
        <v>0.79478572348941201</v>
      </c>
      <c r="F7" s="2">
        <v>1.2430000000000001</v>
      </c>
      <c r="G7" s="2">
        <v>98.740007518841594</v>
      </c>
      <c r="H7" s="11" t="s">
        <v>27</v>
      </c>
      <c r="J7" s="2">
        <v>5</v>
      </c>
      <c r="K7" s="5">
        <v>0.82499999999999996</v>
      </c>
      <c r="L7" s="2">
        <v>117.764363549096</v>
      </c>
      <c r="M7" s="15">
        <v>3.0190269564922E-6</v>
      </c>
      <c r="N7" s="2">
        <v>-27.3764733907467</v>
      </c>
      <c r="O7" s="5" t="s">
        <v>6</v>
      </c>
      <c r="Q7" s="2">
        <v>5</v>
      </c>
      <c r="R7" s="2">
        <v>0.85</v>
      </c>
      <c r="S7" s="2">
        <v>-7.7658755004307897E-2</v>
      </c>
      <c r="T7" s="2">
        <v>4.32739135696636E-3</v>
      </c>
      <c r="U7" s="2">
        <v>1.57743420536503E-2</v>
      </c>
      <c r="V7" s="2">
        <v>7.4690701063004497E-3</v>
      </c>
      <c r="X7" s="2">
        <f t="shared" ref="X7:AA7" si="4">S8-S7</f>
        <v>1.1119165235900896E-2</v>
      </c>
      <c r="Y7" s="2">
        <f t="shared" si="4"/>
        <v>-1.6099228880506202E-3</v>
      </c>
      <c r="Z7" s="2">
        <f t="shared" si="4"/>
        <v>-2.0215492741368999E-3</v>
      </c>
      <c r="AA7" s="2">
        <f t="shared" si="4"/>
        <v>-9.491478333663499E-4</v>
      </c>
    </row>
    <row r="8" spans="1:27" ht="14.25" customHeight="1" x14ac:dyDescent="0.3">
      <c r="B8" s="2">
        <v>6</v>
      </c>
      <c r="C8" s="5">
        <v>0.82499999999999996</v>
      </c>
      <c r="D8" s="2">
        <v>114.823737986754</v>
      </c>
      <c r="E8" s="2">
        <v>0.162543259612666</v>
      </c>
      <c r="F8" s="2">
        <v>7.6999999999999999E-2</v>
      </c>
      <c r="G8" s="2">
        <v>-27.9413951752964</v>
      </c>
      <c r="H8" s="5" t="s">
        <v>6</v>
      </c>
      <c r="J8" s="2">
        <v>6</v>
      </c>
      <c r="K8" s="2">
        <v>0.82499999999999996</v>
      </c>
      <c r="L8" s="2">
        <v>-17.4142184546103</v>
      </c>
      <c r="M8" s="2">
        <v>4.3917894901023198</v>
      </c>
      <c r="N8" s="2">
        <v>81.038690868939398</v>
      </c>
      <c r="O8" s="2" t="s">
        <v>16</v>
      </c>
      <c r="Q8" s="2">
        <v>6</v>
      </c>
      <c r="R8" s="2">
        <v>0.875</v>
      </c>
      <c r="S8" s="2">
        <v>-6.6539589768407001E-2</v>
      </c>
      <c r="T8" s="2">
        <v>2.7174684689157398E-3</v>
      </c>
      <c r="U8" s="2">
        <v>1.37527927795134E-2</v>
      </c>
      <c r="V8" s="2">
        <v>6.5199222729340998E-3</v>
      </c>
      <c r="X8" s="2">
        <f t="shared" ref="X8:AA8" si="5">S9-S8</f>
        <v>1.1125312102602099E-2</v>
      </c>
      <c r="Y8" s="2">
        <f t="shared" si="5"/>
        <v>-1.6108128812533098E-3</v>
      </c>
      <c r="Z8" s="2">
        <f t="shared" si="5"/>
        <v>-2.0226668215375995E-3</v>
      </c>
      <c r="AA8" s="2">
        <f t="shared" si="5"/>
        <v>-9.4967253866517966E-4</v>
      </c>
    </row>
    <row r="9" spans="1:27" ht="14.25" customHeight="1" x14ac:dyDescent="0.3">
      <c r="B9" s="2">
        <v>7</v>
      </c>
      <c r="C9" s="2">
        <v>0.82499999999999996</v>
      </c>
      <c r="D9" s="2">
        <v>-17.294406478962902</v>
      </c>
      <c r="E9" s="2">
        <v>2.7997103380747199</v>
      </c>
      <c r="F9" s="2">
        <v>1.4610000000000001</v>
      </c>
      <c r="G9" s="2">
        <v>91.093263867141403</v>
      </c>
      <c r="H9" s="2" t="s">
        <v>16</v>
      </c>
      <c r="J9" s="2">
        <v>7</v>
      </c>
      <c r="K9" s="2">
        <v>0.82499999999999996</v>
      </c>
      <c r="L9" s="2">
        <v>-30.560230570302</v>
      </c>
      <c r="M9" s="2">
        <v>3.7765339623855798</v>
      </c>
      <c r="N9" s="2">
        <v>80.155145660027301</v>
      </c>
      <c r="O9" s="2" t="s">
        <v>17</v>
      </c>
      <c r="Q9" s="2">
        <v>7</v>
      </c>
      <c r="R9" s="2">
        <v>0.9</v>
      </c>
      <c r="S9" s="2">
        <v>-5.5414277665804902E-2</v>
      </c>
      <c r="T9" s="2">
        <v>1.10665558766243E-3</v>
      </c>
      <c r="U9" s="2">
        <v>1.17301259579758E-2</v>
      </c>
      <c r="V9" s="2">
        <v>5.5702497342689202E-3</v>
      </c>
      <c r="X9" s="2">
        <f t="shared" ref="X9:AA9" si="6">S10-S9</f>
        <v>1.1131463432043201E-2</v>
      </c>
      <c r="Y9" s="2">
        <f t="shared" si="6"/>
        <v>-1.6117035206093529E-3</v>
      </c>
      <c r="Z9" s="2">
        <f t="shared" si="6"/>
        <v>-2.0237851802766098E-3</v>
      </c>
      <c r="AA9" s="2">
        <f t="shared" si="6"/>
        <v>-9.501976249653701E-4</v>
      </c>
    </row>
    <row r="10" spans="1:27" ht="14.25" customHeight="1" x14ac:dyDescent="0.3">
      <c r="B10" s="2">
        <v>8</v>
      </c>
      <c r="C10" s="2">
        <v>0.82499999999999996</v>
      </c>
      <c r="D10" s="2">
        <v>-30.345157931976399</v>
      </c>
      <c r="E10" s="2">
        <v>2.14538854941138</v>
      </c>
      <c r="F10" s="2">
        <v>1.4750000000000001</v>
      </c>
      <c r="G10" s="2">
        <v>92.271086188454305</v>
      </c>
      <c r="H10" s="2" t="s">
        <v>17</v>
      </c>
      <c r="J10" s="2">
        <v>8</v>
      </c>
      <c r="K10" s="11">
        <v>0.82499999999999996</v>
      </c>
      <c r="L10" s="2">
        <v>-8.7169056701447598</v>
      </c>
      <c r="M10" s="2">
        <v>4.0329695934060803</v>
      </c>
      <c r="N10" s="2">
        <v>81.092347836768795</v>
      </c>
      <c r="O10" s="2" t="s">
        <v>18</v>
      </c>
      <c r="Q10" s="2">
        <v>8</v>
      </c>
      <c r="R10" s="2">
        <v>0.92500000000000004</v>
      </c>
      <c r="S10" s="2">
        <v>-4.4282814233761701E-2</v>
      </c>
      <c r="T10" s="2">
        <v>-5.0504793294692295E-4</v>
      </c>
      <c r="U10" s="2">
        <v>9.7063407776991906E-3</v>
      </c>
      <c r="V10" s="2">
        <v>4.6200521093035501E-3</v>
      </c>
      <c r="X10" s="2">
        <f t="shared" ref="X10:AA10" si="7">S11-S10</f>
        <v>1.1137917601870398E-2</v>
      </c>
      <c r="Y10" s="2">
        <f t="shared" si="7"/>
        <v>-1.6126380076286768E-3</v>
      </c>
      <c r="Z10" s="2">
        <f t="shared" si="7"/>
        <v>-2.0249585976728204E-3</v>
      </c>
      <c r="AA10" s="2">
        <f t="shared" si="7"/>
        <v>-9.5074856211432987E-4</v>
      </c>
    </row>
    <row r="11" spans="1:27" ht="14.25" customHeight="1" x14ac:dyDescent="0.3">
      <c r="B11" s="2">
        <v>9</v>
      </c>
      <c r="C11" s="2">
        <v>0.82499999999999996</v>
      </c>
      <c r="D11" s="2">
        <v>-8.6582024061440794</v>
      </c>
      <c r="E11" s="2">
        <v>2.4841789853994598</v>
      </c>
      <c r="F11" s="2">
        <v>1.4079999999999999</v>
      </c>
      <c r="G11" s="2">
        <v>91.7363966996774</v>
      </c>
      <c r="H11" s="2" t="s">
        <v>18</v>
      </c>
      <c r="J11" s="2">
        <v>9</v>
      </c>
      <c r="K11" s="5">
        <v>0.875</v>
      </c>
      <c r="L11" s="2">
        <v>117.82660599406999</v>
      </c>
      <c r="M11" s="15">
        <v>6.1348858150064301E-6</v>
      </c>
      <c r="N11" s="2">
        <v>-27.385126099001599</v>
      </c>
      <c r="O11" s="5" t="s">
        <v>6</v>
      </c>
      <c r="Q11" s="2">
        <v>9</v>
      </c>
      <c r="R11" s="2">
        <v>0.95</v>
      </c>
      <c r="S11" s="2">
        <v>-3.3144896631891303E-2</v>
      </c>
      <c r="T11" s="2">
        <v>-2.1176859405755998E-3</v>
      </c>
      <c r="U11" s="2">
        <v>7.6813821800263702E-3</v>
      </c>
      <c r="V11" s="2">
        <v>3.6693035471892202E-3</v>
      </c>
      <c r="X11" s="2">
        <f t="shared" ref="X11:AA11" si="8">S12-S11</f>
        <v>1.1143779657825304E-2</v>
      </c>
      <c r="Y11" s="2">
        <f t="shared" si="8"/>
        <v>-1.6134867636026203E-3</v>
      </c>
      <c r="Z11" s="2">
        <f t="shared" si="8"/>
        <v>-2.0260243643122006E-3</v>
      </c>
      <c r="AA11" s="2">
        <f t="shared" si="8"/>
        <v>-9.5124895558323019E-4</v>
      </c>
    </row>
    <row r="12" spans="1:27" ht="14.25" customHeight="1" x14ac:dyDescent="0.3">
      <c r="B12" s="2">
        <v>10</v>
      </c>
      <c r="C12" s="11">
        <v>0.82499999999999996</v>
      </c>
      <c r="D12" s="2">
        <v>-123.772591666883</v>
      </c>
      <c r="E12" s="2">
        <v>0.79544438940986895</v>
      </c>
      <c r="F12" s="2">
        <v>1.2430000000000001</v>
      </c>
      <c r="G12" s="2">
        <v>98.7387879821609</v>
      </c>
      <c r="H12" s="11" t="s">
        <v>27</v>
      </c>
      <c r="J12" s="2">
        <v>10</v>
      </c>
      <c r="K12" s="2">
        <v>0.875</v>
      </c>
      <c r="L12" s="2">
        <v>-17.426629025823502</v>
      </c>
      <c r="M12" s="2">
        <v>4.3913334331889704</v>
      </c>
      <c r="N12" s="2">
        <v>81.038272489413004</v>
      </c>
      <c r="O12" s="2" t="s">
        <v>16</v>
      </c>
      <c r="Q12" s="2">
        <v>10</v>
      </c>
      <c r="R12" s="2">
        <v>0.97499999999999998</v>
      </c>
      <c r="S12" s="2">
        <v>-2.2001116974065999E-2</v>
      </c>
      <c r="T12" s="2">
        <v>-3.7311727041782201E-3</v>
      </c>
      <c r="U12" s="2">
        <v>5.6553578157141696E-3</v>
      </c>
      <c r="V12" s="2">
        <v>2.71805459160599E-3</v>
      </c>
      <c r="X12" s="2">
        <f t="shared" ref="X12:AA12" si="9">S13-S12</f>
        <v>1.1149944396008799E-2</v>
      </c>
      <c r="Y12" s="2">
        <f t="shared" si="9"/>
        <v>-1.6143793443888E-3</v>
      </c>
      <c r="Z12" s="2">
        <f t="shared" si="9"/>
        <v>-2.0271451608420794E-3</v>
      </c>
      <c r="AA12" s="2">
        <f t="shared" si="9"/>
        <v>-9.5177518645909011E-4</v>
      </c>
    </row>
    <row r="13" spans="1:27" ht="14.25" customHeight="1" x14ac:dyDescent="0.3">
      <c r="B13" s="2">
        <v>11</v>
      </c>
      <c r="C13" s="5">
        <v>0.875</v>
      </c>
      <c r="D13" s="2">
        <v>114.886340796298</v>
      </c>
      <c r="E13" s="2">
        <v>0.162947297847645</v>
      </c>
      <c r="F13" s="2">
        <v>8.1000000000000003E-2</v>
      </c>
      <c r="G13" s="2">
        <v>-27.9533743853661</v>
      </c>
      <c r="H13" s="5" t="s">
        <v>6</v>
      </c>
      <c r="J13" s="2">
        <v>11</v>
      </c>
      <c r="K13" s="2">
        <v>0.875</v>
      </c>
      <c r="L13" s="2">
        <v>-30.579673718083399</v>
      </c>
      <c r="M13" s="2">
        <v>3.7762932151789999</v>
      </c>
      <c r="N13" s="2">
        <v>80.153205910314</v>
      </c>
      <c r="O13" s="2" t="s">
        <v>17</v>
      </c>
      <c r="Q13" s="2">
        <v>11</v>
      </c>
      <c r="R13" s="2">
        <v>1</v>
      </c>
      <c r="S13" s="2">
        <v>-1.08511725780572E-2</v>
      </c>
      <c r="T13" s="2">
        <v>-5.3455520485670201E-3</v>
      </c>
      <c r="U13" s="2">
        <v>3.6282126548720902E-3</v>
      </c>
      <c r="V13" s="2">
        <v>1.7662794051468999E-3</v>
      </c>
      <c r="X13" s="2">
        <f t="shared" ref="X13:AA13" si="10">S14-S13</f>
        <v>1.1156113610663243E-2</v>
      </c>
      <c r="Y13" s="2">
        <f t="shared" si="10"/>
        <v>-1.6152725732894099E-3</v>
      </c>
      <c r="Z13" s="2">
        <f t="shared" si="10"/>
        <v>-2.0282667712479001E-3</v>
      </c>
      <c r="AA13" s="2">
        <f t="shared" si="10"/>
        <v>-9.5230179942304492E-4</v>
      </c>
    </row>
    <row r="14" spans="1:27" ht="14.25" customHeight="1" x14ac:dyDescent="0.3">
      <c r="B14" s="2">
        <v>12</v>
      </c>
      <c r="C14" s="2">
        <v>0.875</v>
      </c>
      <c r="D14" s="2">
        <v>-17.306735942567801</v>
      </c>
      <c r="E14" s="2">
        <v>2.79927840965843</v>
      </c>
      <c r="F14" s="2">
        <v>1.4610000000000001</v>
      </c>
      <c r="G14" s="2">
        <v>91.093939777144001</v>
      </c>
      <c r="H14" s="2" t="s">
        <v>16</v>
      </c>
      <c r="J14" s="2">
        <v>12</v>
      </c>
      <c r="K14" s="11">
        <v>0.875</v>
      </c>
      <c r="L14" s="2">
        <v>-8.7230719181403398</v>
      </c>
      <c r="M14" s="2">
        <v>4.0325381169527397</v>
      </c>
      <c r="N14" s="2">
        <v>81.091602551339903</v>
      </c>
      <c r="O14" s="2" t="s">
        <v>18</v>
      </c>
      <c r="Q14" s="2">
        <v>12</v>
      </c>
      <c r="R14" s="2">
        <v>1.0249999999999999</v>
      </c>
      <c r="S14" s="2">
        <v>3.0494103260604198E-4</v>
      </c>
      <c r="T14" s="2">
        <v>-6.9608246218564301E-3</v>
      </c>
      <c r="U14" s="2">
        <v>1.5999458836241901E-3</v>
      </c>
      <c r="V14" s="2">
        <v>8.1397760572385499E-4</v>
      </c>
      <c r="X14" s="2">
        <f t="shared" ref="X14:AA14" si="11">S15-S14</f>
        <v>1.1162287305110558E-2</v>
      </c>
      <c r="Y14" s="2">
        <f t="shared" si="11"/>
        <v>-1.6161664508445098E-3</v>
      </c>
      <c r="Z14" s="2">
        <f t="shared" si="11"/>
        <v>-2.0293891961184092E-3</v>
      </c>
      <c r="AA14" s="2">
        <f t="shared" si="11"/>
        <v>-9.5282879480945997E-4</v>
      </c>
    </row>
    <row r="15" spans="1:27" ht="14.25" customHeight="1" x14ac:dyDescent="0.3">
      <c r="B15" s="2">
        <v>13</v>
      </c>
      <c r="C15" s="2">
        <v>0.875</v>
      </c>
      <c r="D15" s="2">
        <v>-30.3644533885508</v>
      </c>
      <c r="E15" s="2">
        <v>2.1449849830172498</v>
      </c>
      <c r="F15" s="2">
        <v>1.4750000000000001</v>
      </c>
      <c r="G15" s="2">
        <v>92.271918877241006</v>
      </c>
      <c r="H15" s="2" t="s">
        <v>17</v>
      </c>
      <c r="J15" s="2">
        <v>13</v>
      </c>
      <c r="K15" s="5">
        <v>0.92500000000000004</v>
      </c>
      <c r="L15" s="2">
        <v>117.889888249367</v>
      </c>
      <c r="M15" s="15">
        <v>6.2362222816968798E-6</v>
      </c>
      <c r="N15" s="2">
        <v>-27.3939170457394</v>
      </c>
      <c r="O15" s="5" t="s">
        <v>6</v>
      </c>
      <c r="Q15" s="2">
        <v>13</v>
      </c>
      <c r="R15" s="2">
        <v>1.05</v>
      </c>
      <c r="S15" s="2">
        <v>1.1467228337716601E-2</v>
      </c>
      <c r="T15" s="2">
        <v>-8.5769910727009398E-3</v>
      </c>
      <c r="U15" s="2">
        <v>-4.2944331249421898E-4</v>
      </c>
      <c r="V15" s="2">
        <v>-1.38851189085605E-4</v>
      </c>
      <c r="X15" s="2">
        <f t="shared" ref="X15:AA15" si="12">S16-S15</f>
        <v>1.1168465482776099E-2</v>
      </c>
      <c r="Y15" s="2">
        <f t="shared" si="12"/>
        <v>-1.6170609774661601E-3</v>
      </c>
      <c r="Z15" s="2">
        <f t="shared" si="12"/>
        <v>-2.0305124360423411E-3</v>
      </c>
      <c r="AA15" s="2">
        <f t="shared" si="12"/>
        <v>-9.5335617286911511E-4</v>
      </c>
    </row>
    <row r="16" spans="1:27" ht="14.25" customHeight="1" x14ac:dyDescent="0.3">
      <c r="B16" s="2">
        <v>14</v>
      </c>
      <c r="C16" s="2">
        <v>0.875</v>
      </c>
      <c r="D16" s="2">
        <v>-8.6643284355371097</v>
      </c>
      <c r="E16" s="2">
        <v>2.4837353228658499</v>
      </c>
      <c r="F16" s="2">
        <v>1.4079999999999999</v>
      </c>
      <c r="G16" s="2">
        <v>91.737336533991595</v>
      </c>
      <c r="H16" s="2" t="s">
        <v>18</v>
      </c>
      <c r="J16" s="2">
        <v>14</v>
      </c>
      <c r="K16" s="2">
        <v>0.92500000000000004</v>
      </c>
      <c r="L16" s="2">
        <v>-17.431000358119199</v>
      </c>
      <c r="M16" s="2">
        <v>4.3920874829074297</v>
      </c>
      <c r="N16" s="2">
        <v>81.032525757908104</v>
      </c>
      <c r="O16" s="2" t="s">
        <v>16</v>
      </c>
      <c r="Q16" s="2">
        <v>14</v>
      </c>
      <c r="R16" s="2">
        <v>1.075</v>
      </c>
      <c r="S16" s="2">
        <v>2.26356938204927E-2</v>
      </c>
      <c r="T16" s="2">
        <v>-1.01940520501671E-2</v>
      </c>
      <c r="U16" s="2">
        <v>-2.4599557485365602E-3</v>
      </c>
      <c r="V16" s="2">
        <v>-1.0922073619547201E-3</v>
      </c>
      <c r="X16" s="2">
        <f t="shared" ref="X16:AA16" si="13">S17-S16</f>
        <v>1.1174648147100202E-2</v>
      </c>
      <c r="Y16" s="2">
        <f t="shared" si="13"/>
        <v>-1.6179561537938997E-3</v>
      </c>
      <c r="Z16" s="2">
        <f t="shared" si="13"/>
        <v>-2.0316364917302297E-3</v>
      </c>
      <c r="AA16" s="2">
        <f t="shared" si="13"/>
        <v>-9.5388393395309974E-4</v>
      </c>
    </row>
    <row r="17" spans="2:27" ht="14.25" customHeight="1" x14ac:dyDescent="0.3">
      <c r="B17" s="2">
        <v>15</v>
      </c>
      <c r="C17" s="11">
        <v>0.875</v>
      </c>
      <c r="D17" s="2">
        <v>-123.709730230731</v>
      </c>
      <c r="E17" s="2">
        <v>0.79610576550287704</v>
      </c>
      <c r="F17" s="2">
        <v>1.2430000000000001</v>
      </c>
      <c r="G17" s="2">
        <v>98.737477908536903</v>
      </c>
      <c r="H17" s="11" t="s">
        <v>27</v>
      </c>
      <c r="J17" s="2">
        <v>15</v>
      </c>
      <c r="K17" s="2">
        <v>0.92500000000000004</v>
      </c>
      <c r="L17" s="2">
        <v>-30.593866962345299</v>
      </c>
      <c r="M17" s="2">
        <v>3.7763975955656202</v>
      </c>
      <c r="N17" s="2">
        <v>80.149803647875103</v>
      </c>
      <c r="O17" s="2" t="s">
        <v>17</v>
      </c>
      <c r="Q17" s="2">
        <v>15</v>
      </c>
      <c r="R17" s="2">
        <v>1.1000000000000001</v>
      </c>
      <c r="S17" s="2">
        <v>3.3810341967592902E-2</v>
      </c>
      <c r="T17" s="2">
        <v>-1.1812008203961E-2</v>
      </c>
      <c r="U17" s="2">
        <v>-4.49159224026679E-3</v>
      </c>
      <c r="V17" s="2">
        <v>-2.0460912959078198E-3</v>
      </c>
      <c r="X17" s="2">
        <f t="shared" ref="X17:AA17" si="14">S18-S17</f>
        <v>1.1181134833666395E-2</v>
      </c>
      <c r="Y17" s="2">
        <f t="shared" si="14"/>
        <v>-1.6188953487982997E-3</v>
      </c>
      <c r="Z17" s="2">
        <f t="shared" si="14"/>
        <v>-2.03281582094356E-3</v>
      </c>
      <c r="AA17" s="2">
        <f t="shared" si="14"/>
        <v>-9.5443764678292999E-4</v>
      </c>
    </row>
    <row r="18" spans="2:27" ht="14.25" customHeight="1" x14ac:dyDescent="0.3">
      <c r="B18" s="2">
        <v>16</v>
      </c>
      <c r="C18" s="5">
        <v>0.92500000000000004</v>
      </c>
      <c r="D18" s="2">
        <v>114.949890586778</v>
      </c>
      <c r="E18" s="2">
        <v>0.16269974629895501</v>
      </c>
      <c r="F18" s="2">
        <v>0.09</v>
      </c>
      <c r="G18" s="2">
        <v>-27.966389047434902</v>
      </c>
      <c r="H18" s="5" t="s">
        <v>6</v>
      </c>
      <c r="J18" s="2">
        <v>16</v>
      </c>
      <c r="K18" s="11">
        <v>0.92500000000000004</v>
      </c>
      <c r="L18" s="2">
        <v>-8.7262306314134399</v>
      </c>
      <c r="M18" s="2">
        <v>4.0329035387037404</v>
      </c>
      <c r="N18" s="2">
        <v>81.088079331616299</v>
      </c>
      <c r="O18" s="2" t="s">
        <v>18</v>
      </c>
      <c r="Q18" s="2">
        <v>16</v>
      </c>
      <c r="R18" s="2">
        <v>1.125</v>
      </c>
      <c r="S18" s="2">
        <v>4.4991476801259297E-2</v>
      </c>
      <c r="T18" s="2">
        <v>-1.3430903552759299E-2</v>
      </c>
      <c r="U18" s="2">
        <v>-6.5244080612103499E-3</v>
      </c>
      <c r="V18" s="2">
        <v>-3.0005289426907498E-3</v>
      </c>
      <c r="X18" s="2">
        <f t="shared" ref="X18:AA18" si="15">S19-S18</f>
        <v>1.1187027115334001E-2</v>
      </c>
      <c r="Y18" s="2">
        <f t="shared" si="15"/>
        <v>-1.6197484811187011E-3</v>
      </c>
      <c r="Z18" s="2">
        <f t="shared" si="15"/>
        <v>-2.0338870828189599E-3</v>
      </c>
      <c r="AA18" s="2">
        <f t="shared" si="15"/>
        <v>-9.5494062035789053E-4</v>
      </c>
    </row>
    <row r="19" spans="2:27" ht="14.25" customHeight="1" x14ac:dyDescent="0.3">
      <c r="B19" s="2">
        <v>17</v>
      </c>
      <c r="C19" s="2">
        <v>0.92500000000000004</v>
      </c>
      <c r="D19" s="2">
        <v>-17.311024278778898</v>
      </c>
      <c r="E19" s="2">
        <v>2.7992403379980599</v>
      </c>
      <c r="F19" s="2">
        <v>1.462</v>
      </c>
      <c r="G19" s="2">
        <v>91.092427694148398</v>
      </c>
      <c r="H19" s="2" t="s">
        <v>16</v>
      </c>
      <c r="J19" s="2">
        <v>17</v>
      </c>
      <c r="K19" s="5">
        <v>0.97499999999999998</v>
      </c>
      <c r="L19" s="2">
        <v>117.94664660121801</v>
      </c>
      <c r="M19" s="15">
        <v>2.0841851982245901E-10</v>
      </c>
      <c r="N19" s="2">
        <v>-27.401687471574199</v>
      </c>
      <c r="O19" s="5" t="s">
        <v>6</v>
      </c>
      <c r="Q19" s="2">
        <v>17</v>
      </c>
      <c r="R19" s="2">
        <v>1.1499999999999999</v>
      </c>
      <c r="S19" s="2">
        <v>5.6178503916593299E-2</v>
      </c>
      <c r="T19" s="2">
        <v>-1.5050652033878001E-2</v>
      </c>
      <c r="U19" s="2">
        <v>-8.5582951440293098E-3</v>
      </c>
      <c r="V19" s="2">
        <v>-3.9554695630486403E-3</v>
      </c>
      <c r="X19" s="2">
        <f t="shared" ref="X19:AA19" si="16">S20-S19</f>
        <v>1.1193223260303704E-2</v>
      </c>
      <c r="Y19" s="2">
        <f t="shared" si="16"/>
        <v>-1.620645609236299E-3</v>
      </c>
      <c r="Z19" s="2">
        <f t="shared" si="16"/>
        <v>-2.0350135893311902E-3</v>
      </c>
      <c r="AA19" s="2">
        <f t="shared" si="16"/>
        <v>-9.5546953213656964E-4</v>
      </c>
    </row>
    <row r="20" spans="2:27" ht="14.25" customHeight="1" x14ac:dyDescent="0.3">
      <c r="B20" s="2">
        <v>18</v>
      </c>
      <c r="C20" s="2">
        <v>0.92500000000000004</v>
      </c>
      <c r="D20" s="2">
        <v>-30.378506978304902</v>
      </c>
      <c r="E20" s="2">
        <v>2.1446911646517801</v>
      </c>
      <c r="F20" s="2">
        <v>1.476</v>
      </c>
      <c r="G20" s="2">
        <v>92.271991088314095</v>
      </c>
      <c r="H20" s="2" t="s">
        <v>17</v>
      </c>
      <c r="J20" s="2">
        <v>18</v>
      </c>
      <c r="K20" s="2">
        <v>0.97499999999999998</v>
      </c>
      <c r="L20" s="2">
        <v>-17.484820479502901</v>
      </c>
      <c r="M20" s="2">
        <v>4.3858110493445999</v>
      </c>
      <c r="N20" s="2">
        <v>81.055963911323303</v>
      </c>
      <c r="O20" s="2" t="s">
        <v>16</v>
      </c>
      <c r="Q20" s="2">
        <v>18</v>
      </c>
      <c r="R20" s="2">
        <v>1.175</v>
      </c>
      <c r="S20" s="2">
        <v>6.7371727176897003E-2</v>
      </c>
      <c r="T20" s="2">
        <v>-1.66712976431143E-2</v>
      </c>
      <c r="U20" s="2">
        <v>-1.05933087333605E-2</v>
      </c>
      <c r="V20" s="2">
        <v>-4.91093909518521E-3</v>
      </c>
      <c r="X20" s="2">
        <f t="shared" ref="X20:AA20" si="17">S21-S20</f>
        <v>1.1199423905648195E-2</v>
      </c>
      <c r="Y20" s="2">
        <f t="shared" si="17"/>
        <v>-1.6215433889356992E-3</v>
      </c>
      <c r="Z20" s="2">
        <f t="shared" si="17"/>
        <v>-2.0361409141044003E-3</v>
      </c>
      <c r="AA20" s="2">
        <f t="shared" si="17"/>
        <v>-9.5599882810989013E-4</v>
      </c>
    </row>
    <row r="21" spans="2:27" ht="14.25" customHeight="1" x14ac:dyDescent="0.3">
      <c r="B21" s="2">
        <v>19</v>
      </c>
      <c r="C21" s="2">
        <v>0.92500000000000004</v>
      </c>
      <c r="D21" s="2">
        <v>-8.66744995523349</v>
      </c>
      <c r="E21" s="2">
        <v>2.4835980932271302</v>
      </c>
      <c r="F21" s="2">
        <v>1.409</v>
      </c>
      <c r="G21" s="2">
        <v>91.736821254728596</v>
      </c>
      <c r="H21" s="2" t="s">
        <v>18</v>
      </c>
      <c r="J21" s="2">
        <v>19</v>
      </c>
      <c r="K21" s="2">
        <v>0.97499999999999998</v>
      </c>
      <c r="L21" s="2">
        <v>-30.648945139479999</v>
      </c>
      <c r="M21" s="2">
        <v>3.7738736175514198</v>
      </c>
      <c r="N21" s="2">
        <v>80.156622110539303</v>
      </c>
      <c r="O21" s="2" t="s">
        <v>17</v>
      </c>
      <c r="Q21" s="2">
        <v>19</v>
      </c>
      <c r="R21" s="2">
        <v>1.2</v>
      </c>
      <c r="S21" s="2">
        <v>7.8571151082545199E-2</v>
      </c>
      <c r="T21" s="2">
        <v>-1.8292841032049999E-2</v>
      </c>
      <c r="U21" s="2">
        <v>-1.26294496474649E-2</v>
      </c>
      <c r="V21" s="2">
        <v>-5.8669379232951001E-3</v>
      </c>
      <c r="X21" s="2">
        <f t="shared" ref="X21:AA21" si="18">S22-S21</f>
        <v>1.1205629054748201E-2</v>
      </c>
      <c r="Y21" s="2">
        <f t="shared" si="18"/>
        <v>-1.6224418207287025E-3</v>
      </c>
      <c r="Z21" s="2">
        <f t="shared" si="18"/>
        <v>-2.037269057666399E-3</v>
      </c>
      <c r="AA21" s="2">
        <f t="shared" si="18"/>
        <v>-9.565285084784797E-4</v>
      </c>
    </row>
    <row r="22" spans="2:27" ht="14.25" customHeight="1" x14ac:dyDescent="0.3">
      <c r="B22" s="2">
        <v>20</v>
      </c>
      <c r="C22" s="11">
        <v>0.92500000000000004</v>
      </c>
      <c r="D22" s="2">
        <v>-123.645807183785</v>
      </c>
      <c r="E22" s="2">
        <v>0.79677056723838002</v>
      </c>
      <c r="F22" s="2">
        <v>1.242</v>
      </c>
      <c r="G22" s="2">
        <v>98.736191398798496</v>
      </c>
      <c r="H22" s="11" t="s">
        <v>27</v>
      </c>
      <c r="J22" s="2">
        <v>20</v>
      </c>
      <c r="K22" s="11">
        <v>0.97499999999999998</v>
      </c>
      <c r="L22" s="2">
        <v>-8.7515468654833803</v>
      </c>
      <c r="M22" s="2">
        <v>4.02750380190591</v>
      </c>
      <c r="N22" s="2">
        <v>81.105933135917994</v>
      </c>
      <c r="O22" s="2" t="s">
        <v>18</v>
      </c>
      <c r="Q22" s="2">
        <v>20</v>
      </c>
      <c r="R22" s="2">
        <v>1.2250000000000001</v>
      </c>
      <c r="S22" s="2">
        <v>8.9776780137293399E-2</v>
      </c>
      <c r="T22" s="2">
        <v>-1.9915282852778701E-2</v>
      </c>
      <c r="U22" s="2">
        <v>-1.4666718705131299E-2</v>
      </c>
      <c r="V22" s="2">
        <v>-6.8234664317735798E-3</v>
      </c>
      <c r="X22" s="2">
        <f t="shared" ref="X22:AA22" si="19">S23-S22</f>
        <v>1.1211838711132599E-2</v>
      </c>
      <c r="Y22" s="2">
        <f t="shared" si="19"/>
        <v>-1.6233409051124997E-3</v>
      </c>
      <c r="Z22" s="2">
        <f t="shared" si="19"/>
        <v>-2.0383980206466999E-3</v>
      </c>
      <c r="AA22" s="2">
        <f t="shared" si="19"/>
        <v>-9.5705857362685977E-4</v>
      </c>
    </row>
    <row r="23" spans="2:27" ht="14.25" customHeight="1" x14ac:dyDescent="0.3">
      <c r="B23" s="2">
        <v>21</v>
      </c>
      <c r="C23" s="5">
        <v>0.97499999999999998</v>
      </c>
      <c r="D23" s="2">
        <v>115.006820718423</v>
      </c>
      <c r="E23" s="2">
        <v>0.16402808692531601</v>
      </c>
      <c r="F23" s="2">
        <v>9.0999999999999998E-2</v>
      </c>
      <c r="G23" s="2">
        <v>-27.979046802222399</v>
      </c>
      <c r="H23" s="5" t="s">
        <v>6</v>
      </c>
      <c r="J23" s="2">
        <v>21</v>
      </c>
      <c r="K23" s="5">
        <v>1.0249999999999999</v>
      </c>
      <c r="L23" s="2">
        <v>118.022987728909</v>
      </c>
      <c r="M23" s="15">
        <v>3.2300249780243702E-6</v>
      </c>
      <c r="N23" s="2">
        <v>-27.4124435657113</v>
      </c>
      <c r="O23" s="5" t="s">
        <v>6</v>
      </c>
      <c r="Q23" s="2">
        <v>21</v>
      </c>
      <c r="R23" s="2">
        <v>1.25</v>
      </c>
      <c r="S23" s="16">
        <v>0.100988618848426</v>
      </c>
      <c r="T23" s="17">
        <v>-2.1538623757891201E-2</v>
      </c>
      <c r="U23" s="17">
        <v>-1.6705116725777999E-2</v>
      </c>
      <c r="V23" s="17">
        <v>-7.7805250054004396E-3</v>
      </c>
    </row>
    <row r="24" spans="2:27" ht="14.25" customHeight="1" x14ac:dyDescent="0.3">
      <c r="B24" s="2">
        <v>22</v>
      </c>
      <c r="C24" s="2">
        <v>0.97499999999999998</v>
      </c>
      <c r="D24" s="2">
        <v>-17.3647350721238</v>
      </c>
      <c r="E24" s="2">
        <v>2.7966698524115001</v>
      </c>
      <c r="F24" s="2">
        <v>1.4590000000000001</v>
      </c>
      <c r="G24" s="2">
        <v>91.103581176153796</v>
      </c>
      <c r="H24" s="2" t="s">
        <v>16</v>
      </c>
      <c r="J24" s="2">
        <v>22</v>
      </c>
      <c r="K24" s="2">
        <v>1.0249999999999999</v>
      </c>
      <c r="L24" s="2">
        <v>-17.397235901383301</v>
      </c>
      <c r="M24" s="2">
        <v>4.3992494106034199</v>
      </c>
      <c r="N24" s="2">
        <v>80.999503415117601</v>
      </c>
      <c r="O24" s="2" t="s">
        <v>16</v>
      </c>
    </row>
    <row r="25" spans="2:27" ht="14.25" customHeight="1" x14ac:dyDescent="0.3">
      <c r="B25" s="2">
        <v>23</v>
      </c>
      <c r="C25" s="2">
        <v>0.97499999999999998</v>
      </c>
      <c r="D25" s="2">
        <v>-30.433376955760298</v>
      </c>
      <c r="E25" s="2">
        <v>2.14347952857822</v>
      </c>
      <c r="F25" s="2">
        <v>1.474</v>
      </c>
      <c r="G25" s="2">
        <v>92.277720261103596</v>
      </c>
      <c r="H25" s="2" t="s">
        <v>17</v>
      </c>
      <c r="J25" s="2">
        <v>23</v>
      </c>
      <c r="K25" s="2">
        <v>1.0249999999999999</v>
      </c>
      <c r="L25" s="2">
        <v>-30.577424988105399</v>
      </c>
      <c r="M25" s="2">
        <v>3.7794478927287098</v>
      </c>
      <c r="N25" s="2">
        <v>80.132725477704</v>
      </c>
      <c r="O25" s="2" t="s">
        <v>17</v>
      </c>
    </row>
    <row r="26" spans="2:27" ht="14.25" customHeight="1" x14ac:dyDescent="0.3">
      <c r="B26" s="2">
        <v>24</v>
      </c>
      <c r="C26" s="2">
        <v>0.97499999999999998</v>
      </c>
      <c r="D26" s="2">
        <v>-8.69271244046082</v>
      </c>
      <c r="E26" s="2">
        <v>2.4814355740281799</v>
      </c>
      <c r="F26" s="2">
        <v>1.4059999999999999</v>
      </c>
      <c r="G26" s="2">
        <v>91.747131720383805</v>
      </c>
      <c r="H26" s="2" t="s">
        <v>18</v>
      </c>
      <c r="J26" s="2">
        <v>24</v>
      </c>
      <c r="K26" s="11">
        <v>1.0249999999999999</v>
      </c>
      <c r="L26" s="2">
        <v>-8.70934332342099</v>
      </c>
      <c r="M26" s="2">
        <v>4.03964111309506</v>
      </c>
      <c r="N26" s="2">
        <v>81.057294614156305</v>
      </c>
      <c r="O26" s="2" t="s">
        <v>18</v>
      </c>
      <c r="R26" s="2">
        <v>0.77500000000000002</v>
      </c>
      <c r="S26" s="2">
        <v>-0.11097941408797</v>
      </c>
      <c r="T26" s="2">
        <v>9.1518265160601703E-3</v>
      </c>
      <c r="U26" s="2">
        <v>2.1832292696168602E-2</v>
      </c>
      <c r="V26" s="2">
        <v>1.03133691795044E-2</v>
      </c>
      <c r="X26" s="2">
        <f t="shared" ref="X26:AA26" si="20">S27-S26</f>
        <v>2.2207636255133098E-2</v>
      </c>
      <c r="Y26" s="2">
        <f t="shared" si="20"/>
        <v>-3.2154016185757008E-3</v>
      </c>
      <c r="Z26" s="2">
        <f t="shared" si="20"/>
        <v>-4.0375181049918003E-3</v>
      </c>
      <c r="AA26" s="2">
        <f t="shared" si="20"/>
        <v>-1.8956755645195694E-3</v>
      </c>
    </row>
    <row r="27" spans="2:27" ht="14.25" customHeight="1" x14ac:dyDescent="0.3">
      <c r="B27" s="2">
        <v>25</v>
      </c>
      <c r="C27" s="11">
        <v>0.97499999999999998</v>
      </c>
      <c r="D27" s="2">
        <v>-123.588550085514</v>
      </c>
      <c r="E27" s="2">
        <v>0.79743153797167299</v>
      </c>
      <c r="F27" s="2">
        <v>1.242</v>
      </c>
      <c r="G27" s="2">
        <v>98.734933958521907</v>
      </c>
      <c r="H27" s="11" t="s">
        <v>27</v>
      </c>
      <c r="J27" s="2">
        <v>25</v>
      </c>
      <c r="K27" s="5">
        <v>1.075</v>
      </c>
      <c r="L27" s="2">
        <v>118.0813641252</v>
      </c>
      <c r="M27" s="15">
        <v>1.08406995885604E-10</v>
      </c>
      <c r="N27" s="2">
        <v>-27.4204203702092</v>
      </c>
      <c r="O27" s="5" t="s">
        <v>6</v>
      </c>
      <c r="R27" s="2">
        <v>0.82499999999999996</v>
      </c>
      <c r="S27" s="2">
        <v>-8.8771777832836907E-2</v>
      </c>
      <c r="T27" s="2">
        <v>5.9364248974844696E-3</v>
      </c>
      <c r="U27" s="2">
        <v>1.7794774591176801E-2</v>
      </c>
      <c r="V27" s="2">
        <v>8.4176936149848308E-3</v>
      </c>
      <c r="X27" s="2">
        <f t="shared" ref="X27:AA27" si="21">S28-S27</f>
        <v>2.2232188064429906E-2</v>
      </c>
      <c r="Y27" s="2">
        <f t="shared" si="21"/>
        <v>-3.2189564285687298E-3</v>
      </c>
      <c r="Z27" s="2">
        <f t="shared" si="21"/>
        <v>-4.0419818116634015E-3</v>
      </c>
      <c r="AA27" s="2">
        <f t="shared" si="21"/>
        <v>-1.8977713420340213E-3</v>
      </c>
    </row>
    <row r="28" spans="2:27" ht="14.25" customHeight="1" x14ac:dyDescent="0.3">
      <c r="B28" s="2">
        <v>26</v>
      </c>
      <c r="C28" s="5">
        <v>1.0249999999999999</v>
      </c>
      <c r="D28" s="2">
        <v>115.083747650109</v>
      </c>
      <c r="E28" s="2">
        <v>0.1648806842759</v>
      </c>
      <c r="F28" s="2">
        <v>9.2999999999999999E-2</v>
      </c>
      <c r="G28" s="2">
        <v>-27.993803261351299</v>
      </c>
      <c r="H28" s="5" t="s">
        <v>6</v>
      </c>
      <c r="J28" s="2">
        <v>26</v>
      </c>
      <c r="K28" s="2">
        <v>1.075</v>
      </c>
      <c r="L28" s="2">
        <v>-17.4393194980989</v>
      </c>
      <c r="M28" s="2">
        <v>4.3946603332777698</v>
      </c>
      <c r="N28" s="2">
        <v>81.015860033617301</v>
      </c>
      <c r="O28" s="2" t="s">
        <v>16</v>
      </c>
      <c r="R28" s="2">
        <v>0.875</v>
      </c>
      <c r="S28" s="2">
        <v>-6.6539589768407001E-2</v>
      </c>
      <c r="T28" s="2">
        <v>2.7174684689157398E-3</v>
      </c>
      <c r="U28" s="2">
        <v>1.37527927795134E-2</v>
      </c>
      <c r="V28" s="2">
        <v>6.5199222729508096E-3</v>
      </c>
      <c r="X28" s="2">
        <f t="shared" ref="X28:AA28" si="22">S29-S28</f>
        <v>2.22567755346453E-2</v>
      </c>
      <c r="Y28" s="2">
        <f t="shared" si="22"/>
        <v>-3.2225164018626629E-3</v>
      </c>
      <c r="Z28" s="2">
        <f t="shared" si="22"/>
        <v>-4.0464520018142092E-3</v>
      </c>
      <c r="AA28" s="2">
        <f t="shared" si="22"/>
        <v>-1.8998701636472595E-3</v>
      </c>
    </row>
    <row r="29" spans="2:27" ht="14.25" customHeight="1" x14ac:dyDescent="0.3">
      <c r="B29" s="2">
        <v>27</v>
      </c>
      <c r="C29" s="2">
        <v>1.0249999999999999</v>
      </c>
      <c r="D29" s="2">
        <v>-17.27715658736</v>
      </c>
      <c r="E29" s="2">
        <v>2.8014881566588299</v>
      </c>
      <c r="F29" s="2">
        <v>1.4670000000000001</v>
      </c>
      <c r="G29" s="2">
        <v>91.079276707564503</v>
      </c>
      <c r="H29" s="2" t="s">
        <v>16</v>
      </c>
      <c r="J29" s="2">
        <v>27</v>
      </c>
      <c r="K29" s="2">
        <v>1.075</v>
      </c>
      <c r="L29" s="2">
        <v>-30.6239002188894</v>
      </c>
      <c r="M29" s="2">
        <v>3.77748314768793</v>
      </c>
      <c r="N29" s="2">
        <v>80.137346155322106</v>
      </c>
      <c r="O29" s="2" t="s">
        <v>17</v>
      </c>
      <c r="R29" s="2">
        <v>0.92500000000000004</v>
      </c>
      <c r="S29" s="2">
        <v>-4.4282814233761701E-2</v>
      </c>
      <c r="T29" s="2">
        <v>-5.0504793294692295E-4</v>
      </c>
      <c r="U29" s="2">
        <v>9.7063407776991906E-3</v>
      </c>
      <c r="V29" s="2">
        <v>4.6200521093035501E-3</v>
      </c>
      <c r="X29" s="2">
        <f t="shared" ref="X29:AA29" si="23">S30-S29</f>
        <v>2.2281697259695702E-2</v>
      </c>
      <c r="Y29" s="2">
        <f t="shared" si="23"/>
        <v>-3.226124771245507E-3</v>
      </c>
      <c r="Z29" s="2">
        <f t="shared" si="23"/>
        <v>-4.0509829619647204E-3</v>
      </c>
      <c r="AA29" s="2">
        <f t="shared" si="23"/>
        <v>-1.9019975176975601E-3</v>
      </c>
    </row>
    <row r="30" spans="2:27" ht="14.25" customHeight="1" x14ac:dyDescent="0.3">
      <c r="B30" s="2">
        <v>28</v>
      </c>
      <c r="C30" s="2">
        <v>1.0249999999999999</v>
      </c>
      <c r="D30" s="2">
        <v>-30.361872304923999</v>
      </c>
      <c r="E30" s="2">
        <v>2.1451872581475602</v>
      </c>
      <c r="F30" s="2">
        <v>1.478</v>
      </c>
      <c r="G30" s="2">
        <v>92.266114202516704</v>
      </c>
      <c r="H30" s="2" t="s">
        <v>17</v>
      </c>
      <c r="J30" s="2">
        <v>28</v>
      </c>
      <c r="K30" s="11">
        <v>1.075</v>
      </c>
      <c r="L30" s="2">
        <v>-8.7298639227645705</v>
      </c>
      <c r="M30" s="2">
        <v>4.0354725102676596</v>
      </c>
      <c r="N30" s="2">
        <v>81.070905598290693</v>
      </c>
      <c r="O30" s="2" t="s">
        <v>18</v>
      </c>
      <c r="R30" s="2">
        <v>0.97499999999999998</v>
      </c>
      <c r="S30" s="2">
        <v>-2.2001116974065999E-2</v>
      </c>
      <c r="T30" s="2">
        <v>-3.7311727041924301E-3</v>
      </c>
      <c r="U30" s="2">
        <v>5.6553578157344702E-3</v>
      </c>
      <c r="V30" s="2">
        <v>2.71805459160599E-3</v>
      </c>
      <c r="X30" s="2">
        <f t="shared" ref="X30:AA30" si="24">S31-S30</f>
        <v>2.2306058006672042E-2</v>
      </c>
      <c r="Y30" s="2">
        <f t="shared" si="24"/>
        <v>-3.229651917664E-3</v>
      </c>
      <c r="Z30" s="2">
        <f t="shared" si="24"/>
        <v>-4.0554119320899799E-3</v>
      </c>
      <c r="AA30" s="2">
        <f t="shared" si="24"/>
        <v>-1.904076985882135E-3</v>
      </c>
    </row>
    <row r="31" spans="2:27" ht="14.25" customHeight="1" x14ac:dyDescent="0.3">
      <c r="B31" s="2">
        <v>29</v>
      </c>
      <c r="C31" s="2">
        <v>1.0249999999999999</v>
      </c>
      <c r="D31" s="2">
        <v>-8.6504990664631105</v>
      </c>
      <c r="E31" s="2">
        <v>2.48524484401679</v>
      </c>
      <c r="F31" s="2">
        <v>1.4139999999999999</v>
      </c>
      <c r="G31" s="2">
        <v>91.724260176970503</v>
      </c>
      <c r="H31" s="2" t="s">
        <v>18</v>
      </c>
      <c r="J31" s="2">
        <v>29</v>
      </c>
      <c r="K31" s="5">
        <v>1.125</v>
      </c>
      <c r="L31" s="2">
        <v>118.142516028731</v>
      </c>
      <c r="M31" s="15">
        <v>1.1034423780567399E-10</v>
      </c>
      <c r="N31" s="2">
        <v>-27.428804396016901</v>
      </c>
      <c r="O31" s="5" t="s">
        <v>6</v>
      </c>
      <c r="R31" s="2">
        <v>1.0249999999999999</v>
      </c>
      <c r="S31" s="2">
        <v>3.0494103260604198E-4</v>
      </c>
      <c r="T31" s="2">
        <v>-6.9608246218564301E-3</v>
      </c>
      <c r="U31" s="2">
        <v>1.59994588364449E-3</v>
      </c>
      <c r="V31" s="2">
        <v>8.1397760572385499E-4</v>
      </c>
      <c r="X31" s="2">
        <f t="shared" ref="X31:AA31" si="25">S32-S31</f>
        <v>2.2330752787886658E-2</v>
      </c>
      <c r="Y31" s="2">
        <f t="shared" si="25"/>
        <v>-3.2332274283248703E-3</v>
      </c>
      <c r="Z31" s="2">
        <f t="shared" si="25"/>
        <v>-4.0599016322013497E-3</v>
      </c>
      <c r="AA31" s="2">
        <f t="shared" si="25"/>
        <v>-1.9061849676785751E-3</v>
      </c>
    </row>
    <row r="32" spans="2:27" ht="14.25" customHeight="1" x14ac:dyDescent="0.3">
      <c r="B32" s="2">
        <v>30</v>
      </c>
      <c r="C32" s="11">
        <v>1.0249999999999999</v>
      </c>
      <c r="D32" s="2">
        <v>-123.511293609764</v>
      </c>
      <c r="E32" s="2">
        <v>0.79811230109631004</v>
      </c>
      <c r="F32" s="2">
        <v>1.242</v>
      </c>
      <c r="G32" s="2">
        <v>98.7334749869365</v>
      </c>
      <c r="H32" s="11" t="s">
        <v>27</v>
      </c>
      <c r="J32" s="2">
        <v>30</v>
      </c>
      <c r="K32" s="2">
        <v>1.125</v>
      </c>
      <c r="L32" s="2">
        <v>-17.462533203378801</v>
      </c>
      <c r="M32" s="2">
        <v>4.3926577881685498</v>
      </c>
      <c r="N32" s="2">
        <v>81.021993960919204</v>
      </c>
      <c r="O32" s="2" t="s">
        <v>16</v>
      </c>
      <c r="R32" s="2">
        <v>1.075</v>
      </c>
      <c r="S32" s="2">
        <v>2.26356938204927E-2</v>
      </c>
      <c r="T32" s="2">
        <v>-1.01940520501813E-2</v>
      </c>
      <c r="U32" s="2">
        <v>-2.4599557485568599E-3</v>
      </c>
      <c r="V32" s="2">
        <v>-1.0922073619547201E-3</v>
      </c>
      <c r="X32" s="2">
        <f t="shared" ref="X32:AA32" si="26">S33-S32</f>
        <v>2.2355782980766598E-2</v>
      </c>
      <c r="Y32" s="2">
        <f t="shared" si="26"/>
        <v>-3.236851502577999E-3</v>
      </c>
      <c r="Z32" s="2">
        <f t="shared" si="26"/>
        <v>-4.0644523126534896E-3</v>
      </c>
      <c r="AA32" s="2">
        <f t="shared" si="26"/>
        <v>-1.9083215807360297E-3</v>
      </c>
    </row>
    <row r="33" spans="2:27" ht="14.25" customHeight="1" x14ac:dyDescent="0.3">
      <c r="B33" s="2">
        <v>31</v>
      </c>
      <c r="C33" s="5">
        <v>1.075</v>
      </c>
      <c r="D33" s="2">
        <v>115.142522414477</v>
      </c>
      <c r="E33" s="2">
        <v>0.16588161062866699</v>
      </c>
      <c r="F33" s="2">
        <v>9.2999999999999999E-2</v>
      </c>
      <c r="G33" s="2">
        <v>-28.005172826863699</v>
      </c>
      <c r="H33" s="5" t="s">
        <v>6</v>
      </c>
      <c r="J33" s="2">
        <v>31</v>
      </c>
      <c r="K33" s="2">
        <v>1.125</v>
      </c>
      <c r="L33" s="2">
        <v>-30.6519796122539</v>
      </c>
      <c r="M33" s="2">
        <v>3.77669652337923</v>
      </c>
      <c r="N33" s="2">
        <v>80.137611358402694</v>
      </c>
      <c r="O33" s="2" t="s">
        <v>17</v>
      </c>
      <c r="R33" s="2">
        <v>1.125</v>
      </c>
      <c r="S33" s="2">
        <v>4.4991476801259297E-2</v>
      </c>
      <c r="T33" s="2">
        <v>-1.3430903552759299E-2</v>
      </c>
      <c r="U33" s="2">
        <v>-6.5244080612103499E-3</v>
      </c>
      <c r="V33" s="2">
        <v>-3.0005289426907498E-3</v>
      </c>
      <c r="X33" s="2">
        <f t="shared" ref="X33:AA33" si="27">S34-S33</f>
        <v>2.2380250375637706E-2</v>
      </c>
      <c r="Y33" s="2">
        <f t="shared" si="27"/>
        <v>-3.2403940903406991E-3</v>
      </c>
      <c r="Z33" s="2">
        <f t="shared" si="27"/>
        <v>-4.0689006721704498E-3</v>
      </c>
      <c r="AA33" s="2">
        <f t="shared" si="27"/>
        <v>-1.9104101524944602E-3</v>
      </c>
    </row>
    <row r="34" spans="2:27" ht="14.25" customHeight="1" x14ac:dyDescent="0.3">
      <c r="B34" s="2">
        <v>32</v>
      </c>
      <c r="C34" s="2">
        <v>1.075</v>
      </c>
      <c r="D34" s="2">
        <v>-17.319133807172499</v>
      </c>
      <c r="E34" s="2">
        <v>2.79950296915576</v>
      </c>
      <c r="F34" s="2">
        <v>1.464</v>
      </c>
      <c r="G34" s="2">
        <v>91.087380145425897</v>
      </c>
      <c r="H34" s="2" t="s">
        <v>16</v>
      </c>
      <c r="J34" s="2">
        <v>32</v>
      </c>
      <c r="K34" s="11">
        <v>1.125</v>
      </c>
      <c r="L34" s="2">
        <v>-8.7407281017795899</v>
      </c>
      <c r="M34" s="2">
        <v>4.0338209443651802</v>
      </c>
      <c r="N34" s="2">
        <v>81.074703346599406</v>
      </c>
      <c r="O34" s="2" t="s">
        <v>18</v>
      </c>
      <c r="R34" s="2">
        <v>1.175</v>
      </c>
      <c r="S34" s="2">
        <v>6.7371727176897003E-2</v>
      </c>
      <c r="T34" s="2">
        <v>-1.6671297643099998E-2</v>
      </c>
      <c r="U34" s="2">
        <v>-1.05933087333808E-2</v>
      </c>
      <c r="V34" s="2">
        <v>-4.91093909518521E-3</v>
      </c>
      <c r="X34" s="2">
        <f t="shared" ref="X34:AA34" si="28">S35-S34</f>
        <v>2.2405052960396396E-2</v>
      </c>
      <c r="Y34" s="2">
        <f t="shared" si="28"/>
        <v>-3.2439852096787028E-3</v>
      </c>
      <c r="Z34" s="2">
        <f t="shared" si="28"/>
        <v>-4.0734099717301998E-3</v>
      </c>
      <c r="AA34" s="2">
        <f t="shared" si="28"/>
        <v>-1.9125273365883698E-3</v>
      </c>
    </row>
    <row r="35" spans="2:27" ht="14.25" customHeight="1" x14ac:dyDescent="0.3">
      <c r="B35" s="2">
        <v>33</v>
      </c>
      <c r="C35" s="2">
        <v>1.075</v>
      </c>
      <c r="D35" s="2">
        <v>-30.408151287787</v>
      </c>
      <c r="E35" s="2">
        <v>2.1441629688880601</v>
      </c>
      <c r="F35" s="2">
        <v>1.4770000000000001</v>
      </c>
      <c r="G35" s="2">
        <v>92.270635837891803</v>
      </c>
      <c r="H35" s="2" t="s">
        <v>17</v>
      </c>
      <c r="J35" s="2">
        <v>33</v>
      </c>
      <c r="K35" s="5">
        <v>1.175</v>
      </c>
      <c r="L35" s="2">
        <v>118.206035834345</v>
      </c>
      <c r="M35" s="15">
        <v>1.6944021412446001E-6</v>
      </c>
      <c r="N35" s="2">
        <v>-27.437527367801501</v>
      </c>
      <c r="O35" s="5" t="s">
        <v>6</v>
      </c>
      <c r="R35" s="2">
        <v>1.2250000000000001</v>
      </c>
      <c r="S35" s="2">
        <v>8.9776780137293399E-2</v>
      </c>
      <c r="T35" s="2">
        <v>-1.9915282852778701E-2</v>
      </c>
      <c r="U35" s="2">
        <v>-1.4666718705111E-2</v>
      </c>
      <c r="V35" s="2">
        <v>-6.8234664317735798E-3</v>
      </c>
    </row>
    <row r="36" spans="2:27" ht="14.25" customHeight="1" x14ac:dyDescent="0.3">
      <c r="B36" s="2">
        <v>34</v>
      </c>
      <c r="C36" s="2">
        <v>1.075</v>
      </c>
      <c r="D36" s="2">
        <v>-8.6709706097054493</v>
      </c>
      <c r="E36" s="2">
        <v>2.48354451487072</v>
      </c>
      <c r="F36" s="2">
        <v>1.411</v>
      </c>
      <c r="G36" s="2">
        <v>91.732270144902401</v>
      </c>
      <c r="H36" s="2" t="s">
        <v>18</v>
      </c>
      <c r="J36" s="2">
        <v>34</v>
      </c>
      <c r="K36" s="2">
        <v>1.175</v>
      </c>
      <c r="L36" s="2">
        <v>-17.467948402688101</v>
      </c>
      <c r="M36" s="2">
        <v>4.39323763242494</v>
      </c>
      <c r="N36" s="2">
        <v>81.017143126872696</v>
      </c>
      <c r="O36" s="2" t="s">
        <v>16</v>
      </c>
    </row>
    <row r="37" spans="2:27" ht="14.25" customHeight="1" x14ac:dyDescent="0.3">
      <c r="B37" s="2">
        <v>35</v>
      </c>
      <c r="C37" s="11">
        <v>1.075</v>
      </c>
      <c r="D37" s="2">
        <v>-123.452385610805</v>
      </c>
      <c r="E37" s="2">
        <v>0.79877952744672298</v>
      </c>
      <c r="F37" s="2">
        <v>1.2410000000000001</v>
      </c>
      <c r="G37" s="2">
        <v>98.732057766550497</v>
      </c>
      <c r="H37" s="11" t="s">
        <v>27</v>
      </c>
      <c r="J37" s="2">
        <v>35</v>
      </c>
      <c r="K37" s="2">
        <v>1.175</v>
      </c>
      <c r="L37" s="2">
        <v>-30.6663405722846</v>
      </c>
      <c r="M37" s="2">
        <v>3.77679767034848</v>
      </c>
      <c r="N37" s="2">
        <v>80.1343244860727</v>
      </c>
      <c r="O37" s="2" t="s">
        <v>17</v>
      </c>
      <c r="X37" s="2">
        <v>385</v>
      </c>
      <c r="Y37" s="2">
        <v>400</v>
      </c>
      <c r="Z37" s="2">
        <v>560</v>
      </c>
      <c r="AA37" s="2">
        <v>340</v>
      </c>
    </row>
    <row r="38" spans="2:27" ht="14.25" customHeight="1" x14ac:dyDescent="0.3">
      <c r="B38" s="2">
        <v>36</v>
      </c>
      <c r="C38" s="5">
        <v>1.125</v>
      </c>
      <c r="D38" s="2">
        <v>115.20429787478901</v>
      </c>
      <c r="E38" s="2">
        <v>0.16653054263853301</v>
      </c>
      <c r="F38" s="2">
        <v>9.2999999999999999E-2</v>
      </c>
      <c r="G38" s="2">
        <v>-28.015738094844899</v>
      </c>
      <c r="H38" s="5" t="s">
        <v>6</v>
      </c>
      <c r="J38" s="2">
        <v>36</v>
      </c>
      <c r="K38" s="11">
        <v>1.175</v>
      </c>
      <c r="L38" s="2">
        <v>-8.7440400585598397</v>
      </c>
      <c r="M38" s="2">
        <v>4.0341485111626296</v>
      </c>
      <c r="N38" s="2">
        <v>81.071238372526196</v>
      </c>
      <c r="O38" s="2" t="s">
        <v>18</v>
      </c>
    </row>
    <row r="39" spans="2:27" ht="14.25" customHeight="1" x14ac:dyDescent="0.3">
      <c r="B39" s="2">
        <v>37</v>
      </c>
      <c r="C39" s="2">
        <v>1.125</v>
      </c>
      <c r="D39" s="2">
        <v>-17.3422620994981</v>
      </c>
      <c r="E39" s="2">
        <v>2.79852934507017</v>
      </c>
      <c r="F39" s="2">
        <v>1.4630000000000001</v>
      </c>
      <c r="G39" s="2">
        <v>91.090845607235195</v>
      </c>
      <c r="H39" s="2" t="s">
        <v>16</v>
      </c>
      <c r="J39" s="2">
        <v>37</v>
      </c>
      <c r="K39" s="5">
        <v>1.2250000000000001</v>
      </c>
      <c r="L39" s="2">
        <v>118.268896447819</v>
      </c>
      <c r="M39" s="15">
        <v>3.44578372064359E-6</v>
      </c>
      <c r="N39" s="2">
        <v>-27.446130063075898</v>
      </c>
      <c r="O39" s="5" t="s">
        <v>6</v>
      </c>
      <c r="X39" s="2">
        <f t="shared" ref="X39:AA39" si="29">AVERAGE(X22:X34)*X37%</f>
        <v>8.1607692680512461E-2</v>
      </c>
      <c r="Y39" s="2">
        <f t="shared" si="29"/>
        <v>-1.2276180109580547E-2</v>
      </c>
      <c r="Z39" s="2">
        <f t="shared" si="29"/>
        <v>-2.1580949276278731E-2</v>
      </c>
      <c r="AA39" s="2">
        <f t="shared" si="29"/>
        <v>-6.1519240228676457E-3</v>
      </c>
    </row>
    <row r="40" spans="2:27" ht="14.25" customHeight="1" x14ac:dyDescent="0.3">
      <c r="B40" s="2">
        <v>38</v>
      </c>
      <c r="C40" s="2">
        <v>1.125</v>
      </c>
      <c r="D40" s="2">
        <v>-30.436067122369298</v>
      </c>
      <c r="E40" s="2">
        <v>2.1435746855131299</v>
      </c>
      <c r="F40" s="2">
        <v>1.4770000000000001</v>
      </c>
      <c r="G40" s="2">
        <v>92.272655899646296</v>
      </c>
      <c r="H40" s="2" t="s">
        <v>17</v>
      </c>
      <c r="J40" s="2">
        <v>38</v>
      </c>
      <c r="K40" s="2">
        <v>1.2250000000000001</v>
      </c>
      <c r="L40" s="2">
        <v>-17.479189758620102</v>
      </c>
      <c r="M40" s="2">
        <v>4.3929566594297302</v>
      </c>
      <c r="N40" s="2">
        <v>81.016051160318398</v>
      </c>
      <c r="O40" s="2" t="s">
        <v>16</v>
      </c>
      <c r="X40" s="2">
        <f t="shared" ref="X40:AA40" si="30">_xlfn.STDEV.P(X26:X34)</f>
        <v>6.3728957875342098E-5</v>
      </c>
      <c r="Y40" s="2">
        <f t="shared" si="30"/>
        <v>9.2271951853424064E-6</v>
      </c>
      <c r="Z40" s="2">
        <f t="shared" si="30"/>
        <v>1.1586411908374556E-5</v>
      </c>
      <c r="AA40" s="2">
        <f t="shared" si="30"/>
        <v>5.4399949123657842E-6</v>
      </c>
    </row>
    <row r="41" spans="2:27" ht="14.25" customHeight="1" x14ac:dyDescent="0.3">
      <c r="B41" s="2">
        <v>39</v>
      </c>
      <c r="C41" s="2">
        <v>1.125</v>
      </c>
      <c r="D41" s="2">
        <v>-8.6817908365141001</v>
      </c>
      <c r="E41" s="2">
        <v>2.48267126054676</v>
      </c>
      <c r="F41" s="2">
        <v>1.411</v>
      </c>
      <c r="G41" s="2">
        <v>91.735497674114995</v>
      </c>
      <c r="H41" s="2" t="s">
        <v>18</v>
      </c>
      <c r="J41" s="2">
        <v>39</v>
      </c>
      <c r="K41" s="2">
        <v>1.2250000000000001</v>
      </c>
      <c r="L41" s="2">
        <v>-30.684775239598501</v>
      </c>
      <c r="M41" s="2">
        <v>3.7766324900771999</v>
      </c>
      <c r="N41" s="2">
        <v>80.132139495896197</v>
      </c>
      <c r="O41" s="2" t="s">
        <v>17</v>
      </c>
    </row>
    <row r="42" spans="2:27" ht="14.25" customHeight="1" x14ac:dyDescent="0.3">
      <c r="B42" s="2">
        <v>40</v>
      </c>
      <c r="C42" s="11">
        <v>1.125</v>
      </c>
      <c r="D42" s="2">
        <v>-123.390642020244</v>
      </c>
      <c r="E42" s="2">
        <v>0.79945139821339695</v>
      </c>
      <c r="F42" s="2">
        <v>1.2410000000000001</v>
      </c>
      <c r="G42" s="2">
        <v>98.730706153577202</v>
      </c>
      <c r="H42" s="11" t="s">
        <v>27</v>
      </c>
      <c r="J42" s="2">
        <v>40</v>
      </c>
      <c r="K42" s="11">
        <v>1.2250000000000001</v>
      </c>
      <c r="L42" s="2">
        <v>-8.7496418243153098</v>
      </c>
      <c r="M42" s="2">
        <v>4.0338758995924797</v>
      </c>
      <c r="N42" s="2">
        <v>81.069923770519694</v>
      </c>
      <c r="O42" s="2" t="s">
        <v>18</v>
      </c>
    </row>
    <row r="43" spans="2:27" ht="14.25" customHeight="1" x14ac:dyDescent="0.3">
      <c r="B43" s="2">
        <v>41</v>
      </c>
      <c r="C43" s="5">
        <v>1.175</v>
      </c>
      <c r="D43" s="2">
        <v>115.268093386179</v>
      </c>
      <c r="E43" s="2">
        <v>0.167374267309675</v>
      </c>
      <c r="F43" s="2">
        <v>9.2999999999999999E-2</v>
      </c>
      <c r="G43" s="2">
        <v>-28.02747771001</v>
      </c>
      <c r="H43" s="5" t="s">
        <v>6</v>
      </c>
    </row>
    <row r="44" spans="2:27" ht="14.25" customHeight="1" x14ac:dyDescent="0.3">
      <c r="B44" s="2">
        <v>42</v>
      </c>
      <c r="C44" s="2">
        <v>1.175</v>
      </c>
      <c r="D44" s="2">
        <v>-17.3475967161081</v>
      </c>
      <c r="E44" s="2">
        <v>2.79845408924839</v>
      </c>
      <c r="F44" s="2">
        <v>1.464</v>
      </c>
      <c r="G44" s="2">
        <v>91.089649637280402</v>
      </c>
      <c r="H44" s="2" t="s">
        <v>16</v>
      </c>
    </row>
    <row r="45" spans="2:27" ht="14.25" customHeight="1" x14ac:dyDescent="0.3">
      <c r="B45" s="2">
        <v>43</v>
      </c>
      <c r="C45" s="2">
        <v>1.175</v>
      </c>
      <c r="D45" s="2">
        <v>-30.450287046203702</v>
      </c>
      <c r="E45" s="2">
        <v>2.1432888303079598</v>
      </c>
      <c r="F45" s="2">
        <v>1.4770000000000001</v>
      </c>
      <c r="G45" s="2">
        <v>92.272747199973594</v>
      </c>
      <c r="H45" s="2" t="s">
        <v>17</v>
      </c>
      <c r="L45" s="2">
        <f t="shared" ref="L45:N45" si="31">AVERAGE(L31,L27,L23,L19,L15,L11,L7,L3,L35,L39)</f>
        <v>117.9851814577687</v>
      </c>
      <c r="M45" s="18">
        <f t="shared" si="31"/>
        <v>2.440127605046103E-6</v>
      </c>
      <c r="N45" s="2">
        <f t="shared" si="31"/>
        <v>-27.407039000903495</v>
      </c>
    </row>
    <row r="46" spans="2:27" ht="14.25" customHeight="1" x14ac:dyDescent="0.3">
      <c r="B46" s="2">
        <v>44</v>
      </c>
      <c r="C46" s="2">
        <v>1.175</v>
      </c>
      <c r="D46" s="2">
        <v>-8.6850649418087098</v>
      </c>
      <c r="E46" s="2">
        <v>2.4825103860718798</v>
      </c>
      <c r="F46" s="2">
        <v>1.411</v>
      </c>
      <c r="G46" s="2">
        <v>91.7350275559089</v>
      </c>
      <c r="H46" s="2" t="s">
        <v>18</v>
      </c>
      <c r="L46" s="2">
        <f t="shared" ref="L46:N46" si="32">AVERAGE(L32,L28,L24,L20,L16,L12,L8,L4,L36,L40)</f>
        <v>-17.440202925497339</v>
      </c>
      <c r="M46" s="2">
        <f t="shared" si="32"/>
        <v>4.3926433993009972</v>
      </c>
      <c r="N46" s="2">
        <f t="shared" si="32"/>
        <v>81.027333383668676</v>
      </c>
    </row>
    <row r="47" spans="2:27" ht="14.25" customHeight="1" x14ac:dyDescent="0.3">
      <c r="B47" s="2">
        <v>45</v>
      </c>
      <c r="C47" s="11">
        <v>1.175</v>
      </c>
      <c r="D47" s="2">
        <v>-123.32648591933</v>
      </c>
      <c r="E47" s="2">
        <v>0.80012798919638894</v>
      </c>
      <c r="F47" s="2">
        <v>1.2410000000000001</v>
      </c>
      <c r="G47" s="2">
        <v>98.729248651569094</v>
      </c>
      <c r="H47" s="11" t="s">
        <v>27</v>
      </c>
      <c r="L47" s="2">
        <f t="shared" ref="L47:N47" si="33">AVERAGE(L33,L29,L25,L21,L17,L13,L9,L5,L37,L41)</f>
        <v>-30.612618597025623</v>
      </c>
      <c r="M47" s="2">
        <f t="shared" si="33"/>
        <v>3.7767048573204649</v>
      </c>
      <c r="N47" s="2">
        <f t="shared" si="33"/>
        <v>80.144552386924772</v>
      </c>
    </row>
    <row r="48" spans="2:27" ht="14.25" customHeight="1" x14ac:dyDescent="0.3">
      <c r="B48" s="2">
        <v>46</v>
      </c>
      <c r="C48" s="5">
        <v>1.2250000000000001</v>
      </c>
      <c r="D48" s="2">
        <v>115.331230340087</v>
      </c>
      <c r="E48" s="2">
        <v>0.16794396292299499</v>
      </c>
      <c r="F48" s="2">
        <v>0.1</v>
      </c>
      <c r="G48" s="2">
        <v>-28.042873901998</v>
      </c>
      <c r="H48" s="5" t="s">
        <v>6</v>
      </c>
      <c r="L48" s="2">
        <f t="shared" ref="L48:N48" si="34">AVERAGE(L34,L30,L26,L22,L18,L14,L10,L6,L38,L42)</f>
        <v>-8.7301112271753922</v>
      </c>
      <c r="M48" s="2">
        <f t="shared" si="34"/>
        <v>4.0336542198706393</v>
      </c>
      <c r="N48" s="2">
        <f t="shared" si="34"/>
        <v>81.081419417599463</v>
      </c>
    </row>
    <row r="49" spans="2:8" ht="14.25" customHeight="1" x14ac:dyDescent="0.3">
      <c r="B49" s="2">
        <v>47</v>
      </c>
      <c r="C49" s="2">
        <v>1.2250000000000001</v>
      </c>
      <c r="D49" s="2">
        <v>-17.3587576752697</v>
      </c>
      <c r="E49" s="2">
        <v>2.7980930383836302</v>
      </c>
      <c r="F49" s="2">
        <v>1.464</v>
      </c>
      <c r="G49" s="2">
        <v>91.090009551104998</v>
      </c>
      <c r="H49" s="2" t="s">
        <v>16</v>
      </c>
    </row>
    <row r="50" spans="2:8" ht="14.25" customHeight="1" x14ac:dyDescent="0.3">
      <c r="B50" s="2">
        <v>48</v>
      </c>
      <c r="C50" s="2">
        <v>1.2250000000000001</v>
      </c>
      <c r="D50" s="2">
        <v>-30.468575534655699</v>
      </c>
      <c r="E50" s="2">
        <v>2.1429188418813601</v>
      </c>
      <c r="F50" s="2">
        <v>1.478</v>
      </c>
      <c r="G50" s="2">
        <v>92.273413242141004</v>
      </c>
      <c r="H50" s="2" t="s">
        <v>17</v>
      </c>
    </row>
    <row r="51" spans="2:8" ht="14.25" customHeight="1" x14ac:dyDescent="0.3">
      <c r="B51" s="2">
        <v>49</v>
      </c>
      <c r="C51" s="2">
        <v>1.2250000000000001</v>
      </c>
      <c r="D51" s="2">
        <v>-8.6906267032513398</v>
      </c>
      <c r="E51" s="2">
        <v>2.4821260322349299</v>
      </c>
      <c r="F51" s="2">
        <v>1.411</v>
      </c>
      <c r="G51" s="2">
        <v>91.735664657464099</v>
      </c>
      <c r="H51" s="2" t="s">
        <v>18</v>
      </c>
    </row>
    <row r="52" spans="2:8" ht="14.25" customHeight="1" x14ac:dyDescent="0.3">
      <c r="B52" s="2">
        <v>50</v>
      </c>
      <c r="C52" s="11">
        <v>1.2250000000000001</v>
      </c>
      <c r="D52" s="2">
        <v>-123.26300203506599</v>
      </c>
      <c r="E52" s="2">
        <v>0.80080618322532804</v>
      </c>
      <c r="F52" s="2">
        <v>1.2410000000000001</v>
      </c>
      <c r="G52" s="2">
        <v>98.727705678774797</v>
      </c>
      <c r="H52" s="11" t="s">
        <v>27</v>
      </c>
    </row>
    <row r="53" spans="2:8" ht="14.25" customHeight="1" x14ac:dyDescent="0.3"/>
    <row r="54" spans="2:8" ht="14.25" customHeight="1" x14ac:dyDescent="0.3"/>
    <row r="55" spans="2:8" ht="14.25" customHeight="1" x14ac:dyDescent="0.3">
      <c r="D55" s="2">
        <f t="shared" ref="D55:G55" si="35">AVERAGE(D48,D43,D38,D33,D28,D23,D18,D13,D8,D3)</f>
        <v>115.0458037706034</v>
      </c>
      <c r="E55" s="2">
        <f t="shared" si="35"/>
        <v>0.16466406983595538</v>
      </c>
      <c r="F55" s="2">
        <f t="shared" si="35"/>
        <v>8.8599999999999984E-2</v>
      </c>
      <c r="G55" s="2">
        <f t="shared" si="35"/>
        <v>-27.985495508936719</v>
      </c>
    </row>
    <row r="56" spans="2:8" ht="14.25" customHeight="1" x14ac:dyDescent="0.3">
      <c r="D56" s="2">
        <f t="shared" ref="D56:G56" si="36">AVERAGE(D49,D44,D39,D34,D29,D24,D19,D14,D9,D4)</f>
        <v>-17.320121128083493</v>
      </c>
      <c r="E56" s="2">
        <f t="shared" si="36"/>
        <v>2.7991241141569536</v>
      </c>
      <c r="F56" s="2">
        <f t="shared" si="36"/>
        <v>1.4627000000000001</v>
      </c>
      <c r="G56" s="2">
        <f t="shared" si="36"/>
        <v>91.091223013296457</v>
      </c>
    </row>
    <row r="57" spans="2:8" ht="14.25" customHeight="1" x14ac:dyDescent="0.3">
      <c r="D57" s="2">
        <f t="shared" ref="D57:G57" si="37">AVERAGE(D50,D45,D40,D35,D30,D25,D20,D15,D10,D5)</f>
        <v>-30.397057439083039</v>
      </c>
      <c r="E57" s="2">
        <f t="shared" si="37"/>
        <v>2.1443506167630533</v>
      </c>
      <c r="F57" s="2">
        <f t="shared" si="37"/>
        <v>1.4762</v>
      </c>
      <c r="G57" s="2">
        <f t="shared" si="37"/>
        <v>92.271827966279972</v>
      </c>
    </row>
    <row r="58" spans="2:8" ht="14.25" customHeight="1" x14ac:dyDescent="0.3">
      <c r="D58" s="2">
        <f t="shared" ref="D58:G58" si="38">AVERAGE(D51,D46,D41,D36,D31,D26,D21,D16,D11,D6)</f>
        <v>-8.6712723291848821</v>
      </c>
      <c r="E58" s="2">
        <f t="shared" si="38"/>
        <v>2.4833770856280148</v>
      </c>
      <c r="F58" s="2">
        <f t="shared" si="38"/>
        <v>1.4098000000000002</v>
      </c>
      <c r="G58" s="2">
        <f t="shared" si="38"/>
        <v>91.735537559382792</v>
      </c>
    </row>
    <row r="59" spans="2:8" ht="14.25" customHeight="1" x14ac:dyDescent="0.3">
      <c r="D59" s="2">
        <f t="shared" ref="D59:G59" si="39">AVERAGE(D52,D47,D42,D37,D32,D27,D22,D17,D12,D7)</f>
        <v>-123.54955440565871</v>
      </c>
      <c r="E59" s="2">
        <f t="shared" si="39"/>
        <v>0.79778153827903575</v>
      </c>
      <c r="F59" s="2">
        <f t="shared" si="39"/>
        <v>1.2419000000000002</v>
      </c>
      <c r="G59" s="2">
        <f t="shared" si="39"/>
        <v>98.734059200426799</v>
      </c>
    </row>
    <row r="60" spans="2:8" ht="14.25" customHeight="1" x14ac:dyDescent="0.3"/>
    <row r="61" spans="2:8" ht="14.25" customHeight="1" x14ac:dyDescent="0.3"/>
    <row r="62" spans="2:8" ht="14.25" customHeight="1" x14ac:dyDescent="0.3"/>
    <row r="63" spans="2:8" ht="14.25" customHeight="1" x14ac:dyDescent="0.3"/>
    <row r="64" spans="2:8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B1:H1"/>
    <mergeCell ref="J1:O1"/>
    <mergeCell ref="Q1:V1"/>
  </mergeCells>
  <conditionalFormatting sqref="G3:G54 G60:G100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44 N50:N100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6565"/>
  </sheetPr>
  <dimension ref="A1:AA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6.6640625" customWidth="1"/>
    <col min="3" max="8" width="8.6640625" customWidth="1"/>
    <col min="9" max="9" width="4.88671875" customWidth="1"/>
    <col min="10" max="10" width="6.33203125" customWidth="1"/>
    <col min="11" max="12" width="8.6640625" customWidth="1"/>
    <col min="13" max="13" width="8.88671875" customWidth="1"/>
    <col min="14" max="15" width="8.6640625" customWidth="1"/>
    <col min="16" max="16" width="5.109375" customWidth="1"/>
    <col min="17" max="27" width="8.6640625" customWidth="1"/>
  </cols>
  <sheetData>
    <row r="1" spans="1:27" ht="14.25" customHeight="1" x14ac:dyDescent="0.3">
      <c r="A1" s="2" t="s">
        <v>1</v>
      </c>
      <c r="B1" s="52" t="s">
        <v>20</v>
      </c>
      <c r="C1" s="53"/>
      <c r="D1" s="53"/>
      <c r="E1" s="53"/>
      <c r="F1" s="53"/>
      <c r="G1" s="53"/>
      <c r="H1" s="53"/>
      <c r="J1" s="52" t="s">
        <v>21</v>
      </c>
      <c r="K1" s="53"/>
      <c r="L1" s="53"/>
      <c r="M1" s="53"/>
      <c r="N1" s="53"/>
      <c r="O1" s="53"/>
      <c r="Q1" s="52" t="s">
        <v>22</v>
      </c>
      <c r="R1" s="53"/>
      <c r="S1" s="53"/>
      <c r="T1" s="53"/>
      <c r="U1" s="53"/>
      <c r="V1" s="53"/>
    </row>
    <row r="2" spans="1:27" ht="14.25" customHeight="1" x14ac:dyDescent="0.3">
      <c r="B2" s="2" t="s">
        <v>23</v>
      </c>
      <c r="C2" s="2" t="s">
        <v>24</v>
      </c>
      <c r="D2" s="2" t="s">
        <v>11</v>
      </c>
      <c r="E2" s="2" t="s">
        <v>12</v>
      </c>
      <c r="F2" s="2" t="s">
        <v>13</v>
      </c>
      <c r="G2" s="2" t="s">
        <v>25</v>
      </c>
      <c r="H2" s="2" t="s">
        <v>26</v>
      </c>
      <c r="J2" s="2" t="s">
        <v>23</v>
      </c>
      <c r="K2" s="2" t="s">
        <v>24</v>
      </c>
      <c r="L2" s="2" t="s">
        <v>11</v>
      </c>
      <c r="M2" s="26" t="s">
        <v>12</v>
      </c>
      <c r="N2" s="2" t="s">
        <v>25</v>
      </c>
      <c r="O2" s="2" t="s">
        <v>26</v>
      </c>
      <c r="Q2" s="2" t="s">
        <v>23</v>
      </c>
      <c r="R2" s="2" t="s">
        <v>24</v>
      </c>
      <c r="S2" s="2" t="s">
        <v>6</v>
      </c>
      <c r="T2" s="2" t="s">
        <v>16</v>
      </c>
      <c r="U2" s="2" t="s">
        <v>17</v>
      </c>
      <c r="V2" s="2" t="s">
        <v>18</v>
      </c>
    </row>
    <row r="3" spans="1:27" ht="14.25" customHeight="1" x14ac:dyDescent="0.3">
      <c r="B3" s="2">
        <v>1</v>
      </c>
      <c r="C3" s="5">
        <v>0.77500000000000002</v>
      </c>
      <c r="D3" s="2">
        <v>0</v>
      </c>
      <c r="E3" s="2">
        <v>0</v>
      </c>
      <c r="F3" s="2">
        <v>0</v>
      </c>
      <c r="G3" s="2">
        <v>0</v>
      </c>
      <c r="H3" s="5" t="s">
        <v>6</v>
      </c>
      <c r="J3" s="2">
        <v>1</v>
      </c>
      <c r="K3" s="5">
        <v>0.77500000000000002</v>
      </c>
      <c r="L3" s="2">
        <v>0</v>
      </c>
      <c r="M3" s="27">
        <v>0</v>
      </c>
      <c r="N3" s="2">
        <v>0</v>
      </c>
      <c r="O3" s="5" t="s">
        <v>6</v>
      </c>
      <c r="Q3" s="2">
        <v>1</v>
      </c>
      <c r="R3" s="2">
        <v>0.75</v>
      </c>
      <c r="S3" s="16">
        <v>-1.08512107889858E-2</v>
      </c>
      <c r="T3" s="17">
        <v>-0.12512888782089299</v>
      </c>
      <c r="U3" s="17">
        <v>0.137603284630643</v>
      </c>
      <c r="V3" s="17">
        <v>-6.8853310181663505E-2</v>
      </c>
      <c r="X3" s="2">
        <v>0</v>
      </c>
      <c r="Y3" s="2">
        <f t="shared" ref="Y3:AA3" si="0">T4-T3</f>
        <v>1.1852872851960988E-2</v>
      </c>
      <c r="Z3" s="2">
        <f t="shared" si="0"/>
        <v>-1.3257180788437004E-2</v>
      </c>
      <c r="AA3" s="2">
        <f t="shared" si="0"/>
        <v>6.9879922013757062E-3</v>
      </c>
    </row>
    <row r="4" spans="1:27" ht="14.25" customHeight="1" x14ac:dyDescent="0.3">
      <c r="B4" s="2">
        <v>2</v>
      </c>
      <c r="C4" s="2">
        <v>0.77500000000000002</v>
      </c>
      <c r="D4" s="2">
        <v>37.259599151353697</v>
      </c>
      <c r="E4" s="2">
        <v>0.44645813589274302</v>
      </c>
      <c r="F4" s="2">
        <v>6.5919999999999996</v>
      </c>
      <c r="G4" s="2">
        <v>52.0359730727833</v>
      </c>
      <c r="H4" s="2" t="s">
        <v>16</v>
      </c>
      <c r="J4" s="2">
        <v>2</v>
      </c>
      <c r="K4" s="2">
        <v>0.77500000000000002</v>
      </c>
      <c r="L4" s="2">
        <v>37.073846020046098</v>
      </c>
      <c r="M4" s="26">
        <v>4.5473648404848097</v>
      </c>
      <c r="N4" s="2">
        <v>47.430683369532403</v>
      </c>
      <c r="O4" s="2" t="s">
        <v>16</v>
      </c>
      <c r="Q4" s="2">
        <v>2</v>
      </c>
      <c r="R4" s="2">
        <v>0.77500000000000002</v>
      </c>
      <c r="S4" s="2">
        <v>-1.08512107889858E-2</v>
      </c>
      <c r="T4" s="2">
        <v>-0.113276014968932</v>
      </c>
      <c r="U4" s="2">
        <v>0.124346103842206</v>
      </c>
      <c r="V4" s="2">
        <v>-6.1865317980287798E-2</v>
      </c>
      <c r="X4" s="2">
        <v>0</v>
      </c>
      <c r="Y4" s="2">
        <f t="shared" ref="Y4:AA4" si="1">T5-T4</f>
        <v>1.1880597047650002E-2</v>
      </c>
      <c r="Z4" s="2">
        <f t="shared" si="1"/>
        <v>-1.3288189698994993E-2</v>
      </c>
      <c r="AA4" s="2">
        <f t="shared" si="1"/>
        <v>7.0043373073378004E-3</v>
      </c>
    </row>
    <row r="5" spans="1:27" ht="14.25" customHeight="1" x14ac:dyDescent="0.3">
      <c r="B5" s="2">
        <v>3</v>
      </c>
      <c r="C5" s="2">
        <v>0.77500000000000002</v>
      </c>
      <c r="D5" s="2">
        <v>-56.804720601424897</v>
      </c>
      <c r="E5" s="2">
        <v>2.2704146802856</v>
      </c>
      <c r="F5" s="2">
        <v>7.37</v>
      </c>
      <c r="G5" s="2">
        <v>90.909438626862396</v>
      </c>
      <c r="H5" s="2" t="s">
        <v>17</v>
      </c>
      <c r="J5" s="2">
        <v>3</v>
      </c>
      <c r="K5" s="2">
        <v>0.77500000000000002</v>
      </c>
      <c r="L5" s="2">
        <v>-58.471741547952398</v>
      </c>
      <c r="M5" s="26">
        <v>10.2021825443425</v>
      </c>
      <c r="N5" s="2">
        <v>64.189537740055698</v>
      </c>
      <c r="O5" s="2" t="s">
        <v>17</v>
      </c>
      <c r="Q5" s="2">
        <v>3</v>
      </c>
      <c r="R5" s="2">
        <v>0.8</v>
      </c>
      <c r="S5" s="2">
        <v>-1.0851210789000599E-2</v>
      </c>
      <c r="T5" s="2">
        <v>-0.101395417921282</v>
      </c>
      <c r="U5" s="2">
        <v>0.11105791414321101</v>
      </c>
      <c r="V5" s="2">
        <v>-5.4860980672949998E-2</v>
      </c>
      <c r="X5" s="2">
        <v>0</v>
      </c>
      <c r="Y5" s="2">
        <f t="shared" ref="Y5:AA5" si="2">T6-T5</f>
        <v>1.190823086028589E-2</v>
      </c>
      <c r="Z5" s="2">
        <f t="shared" si="2"/>
        <v>-1.3319097518100703E-2</v>
      </c>
      <c r="AA5" s="2">
        <f t="shared" si="2"/>
        <v>7.020629127075198E-3</v>
      </c>
    </row>
    <row r="6" spans="1:27" ht="14.25" customHeight="1" x14ac:dyDescent="0.3">
      <c r="B6" s="2">
        <v>4</v>
      </c>
      <c r="C6" s="2">
        <v>0.77500000000000002</v>
      </c>
      <c r="D6" s="2">
        <v>18.790359496412201</v>
      </c>
      <c r="E6" s="2">
        <v>1.59997873333665</v>
      </c>
      <c r="F6" s="2">
        <v>1.782</v>
      </c>
      <c r="G6" s="2">
        <v>51.304474247545102</v>
      </c>
      <c r="H6" s="2" t="s">
        <v>18</v>
      </c>
      <c r="J6" s="2">
        <v>4</v>
      </c>
      <c r="K6" s="11">
        <v>0.77500000000000002</v>
      </c>
      <c r="L6" s="2">
        <v>18.7536412855546</v>
      </c>
      <c r="M6" s="26">
        <v>2.8353604013960898</v>
      </c>
      <c r="N6" s="2">
        <v>44.616284089163898</v>
      </c>
      <c r="O6" s="2" t="s">
        <v>18</v>
      </c>
      <c r="Q6" s="2">
        <v>4</v>
      </c>
      <c r="R6" s="2">
        <v>0.82499999999999996</v>
      </c>
      <c r="S6" s="2">
        <v>-1.0851210789000599E-2</v>
      </c>
      <c r="T6" s="2">
        <v>-8.9487187060996107E-2</v>
      </c>
      <c r="U6" s="2">
        <v>9.7738816625110303E-2</v>
      </c>
      <c r="V6" s="2">
        <v>-4.78403515458748E-2</v>
      </c>
      <c r="X6" s="2">
        <v>0</v>
      </c>
      <c r="Y6" s="2">
        <f t="shared" ref="Y6:AA6" si="3">T7-T6</f>
        <v>1.1936043532685403E-2</v>
      </c>
      <c r="Z6" s="2">
        <f t="shared" si="3"/>
        <v>-1.3350205387995709E-2</v>
      </c>
      <c r="AA6" s="2">
        <f t="shared" si="3"/>
        <v>7.0370263954673967E-3</v>
      </c>
    </row>
    <row r="7" spans="1:27" ht="14.25" customHeight="1" x14ac:dyDescent="0.3">
      <c r="B7" s="2">
        <v>5</v>
      </c>
      <c r="C7" s="11">
        <v>0.77500000000000002</v>
      </c>
      <c r="D7" s="2">
        <v>0</v>
      </c>
      <c r="E7" s="2">
        <v>0</v>
      </c>
      <c r="F7" s="2">
        <v>0</v>
      </c>
      <c r="G7" s="2">
        <v>0</v>
      </c>
      <c r="H7" s="11" t="s">
        <v>42</v>
      </c>
      <c r="I7" s="28"/>
      <c r="J7" s="2">
        <v>5</v>
      </c>
      <c r="K7" s="5">
        <v>0.82499999999999996</v>
      </c>
      <c r="L7" s="2">
        <v>0</v>
      </c>
      <c r="M7" s="27">
        <v>0</v>
      </c>
      <c r="N7" s="2">
        <v>0</v>
      </c>
      <c r="O7" s="5" t="s">
        <v>6</v>
      </c>
      <c r="Q7" s="2">
        <v>5</v>
      </c>
      <c r="R7" s="2">
        <v>0.85</v>
      </c>
      <c r="S7" s="2">
        <v>-1.08512107889858E-2</v>
      </c>
      <c r="T7" s="2">
        <v>-7.7551143528310704E-2</v>
      </c>
      <c r="U7" s="2">
        <v>8.4388611237114594E-2</v>
      </c>
      <c r="V7" s="2">
        <v>-4.0803325150407403E-2</v>
      </c>
      <c r="X7" s="2">
        <v>0</v>
      </c>
      <c r="Y7" s="2">
        <f t="shared" ref="Y7:AA7" si="4">T8-T7</f>
        <v>1.1964036246809001E-2</v>
      </c>
      <c r="Z7" s="2">
        <f t="shared" si="4"/>
        <v>-1.338151463057459E-2</v>
      </c>
      <c r="AA7" s="2">
        <f t="shared" si="4"/>
        <v>7.0535298094984017E-3</v>
      </c>
    </row>
    <row r="8" spans="1:27" ht="14.25" customHeight="1" x14ac:dyDescent="0.3">
      <c r="B8" s="2">
        <v>6</v>
      </c>
      <c r="C8" s="5">
        <v>0.82499999999999996</v>
      </c>
      <c r="D8" s="2">
        <v>0</v>
      </c>
      <c r="E8" s="2">
        <v>0</v>
      </c>
      <c r="F8" s="2">
        <v>0</v>
      </c>
      <c r="G8" s="2">
        <v>0</v>
      </c>
      <c r="H8" s="5" t="s">
        <v>6</v>
      </c>
      <c r="J8" s="2">
        <v>6</v>
      </c>
      <c r="K8" s="2">
        <v>0.82499999999999996</v>
      </c>
      <c r="L8" s="2">
        <v>37.137478915617898</v>
      </c>
      <c r="M8" s="26">
        <v>4.2135361937251199</v>
      </c>
      <c r="N8" s="2">
        <v>49.010122041915103</v>
      </c>
      <c r="O8" s="2" t="s">
        <v>16</v>
      </c>
      <c r="Q8" s="2">
        <v>6</v>
      </c>
      <c r="R8" s="2">
        <v>0.875</v>
      </c>
      <c r="S8" s="2">
        <v>-1.08512107889858E-2</v>
      </c>
      <c r="T8" s="2">
        <v>-6.5587107281501703E-2</v>
      </c>
      <c r="U8" s="2">
        <v>7.1007096606540004E-2</v>
      </c>
      <c r="V8" s="2">
        <v>-3.3749795340909002E-2</v>
      </c>
      <c r="X8" s="2">
        <v>0</v>
      </c>
      <c r="Y8" s="2">
        <f t="shared" ref="Y8:AA8" si="5">T9-T8</f>
        <v>1.1991938345047901E-2</v>
      </c>
      <c r="Z8" s="2">
        <f t="shared" si="5"/>
        <v>-1.3412722521337607E-2</v>
      </c>
      <c r="AA8" s="2">
        <f t="shared" si="5"/>
        <v>7.0699797999275033E-3</v>
      </c>
    </row>
    <row r="9" spans="1:27" ht="14.25" customHeight="1" x14ac:dyDescent="0.3">
      <c r="B9" s="2">
        <v>7</v>
      </c>
      <c r="C9" s="2">
        <v>0.82499999999999996</v>
      </c>
      <c r="D9" s="2">
        <v>37.279478854222504</v>
      </c>
      <c r="E9" s="2">
        <v>0.59739443571322504</v>
      </c>
      <c r="F9" s="2">
        <v>5.5880000000000001</v>
      </c>
      <c r="G9" s="2">
        <v>55.8760054040645</v>
      </c>
      <c r="H9" s="2" t="s">
        <v>16</v>
      </c>
      <c r="J9" s="2">
        <v>7</v>
      </c>
      <c r="K9" s="2">
        <v>0.82499999999999996</v>
      </c>
      <c r="L9" s="2">
        <v>-58.471601507490597</v>
      </c>
      <c r="M9" s="26">
        <v>9.4485644281817507</v>
      </c>
      <c r="N9" s="2">
        <v>64.677170492768099</v>
      </c>
      <c r="O9" s="2" t="s">
        <v>17</v>
      </c>
      <c r="Q9" s="2">
        <v>7</v>
      </c>
      <c r="R9" s="2">
        <v>0.9</v>
      </c>
      <c r="S9" s="2">
        <v>-1.0851210789000599E-2</v>
      </c>
      <c r="T9" s="2">
        <v>-5.3595168936453802E-2</v>
      </c>
      <c r="U9" s="2">
        <v>5.7594374085202397E-2</v>
      </c>
      <c r="V9" s="2">
        <v>-2.6679815540981498E-2</v>
      </c>
      <c r="X9" s="2">
        <v>0</v>
      </c>
      <c r="Y9" s="2">
        <f t="shared" ref="Y9:AA9" si="6">T10-T9</f>
        <v>1.2020020962651805E-2</v>
      </c>
      <c r="Z9" s="2">
        <f t="shared" si="6"/>
        <v>-1.3444132319031195E-2</v>
      </c>
      <c r="AA9" s="2">
        <f t="shared" si="6"/>
        <v>7.0865362175374993E-3</v>
      </c>
    </row>
    <row r="10" spans="1:27" ht="14.25" customHeight="1" x14ac:dyDescent="0.3">
      <c r="B10" s="2">
        <v>8</v>
      </c>
      <c r="C10" s="2">
        <v>0.82499999999999996</v>
      </c>
      <c r="D10" s="2">
        <v>-57.084266603394397</v>
      </c>
      <c r="E10" s="2">
        <v>3.0276406178636299</v>
      </c>
      <c r="F10" s="2">
        <v>5.8540000000000001</v>
      </c>
      <c r="G10" s="2">
        <v>90.678083962957601</v>
      </c>
      <c r="H10" s="2" t="s">
        <v>17</v>
      </c>
      <c r="J10" s="2">
        <v>8</v>
      </c>
      <c r="K10" s="11">
        <v>0.82499999999999996</v>
      </c>
      <c r="L10" s="2">
        <v>18.773954910600001</v>
      </c>
      <c r="M10" s="26">
        <v>2.6511270120368202</v>
      </c>
      <c r="N10" s="2">
        <v>45.585274423545499</v>
      </c>
      <c r="O10" s="2" t="s">
        <v>18</v>
      </c>
      <c r="Q10" s="2">
        <v>8</v>
      </c>
      <c r="R10" s="2">
        <v>0.92500000000000004</v>
      </c>
      <c r="S10" s="2">
        <v>-1.0851210789000599E-2</v>
      </c>
      <c r="T10" s="2">
        <v>-4.1575147973801997E-2</v>
      </c>
      <c r="U10" s="2">
        <v>4.4150241766171203E-2</v>
      </c>
      <c r="V10" s="2">
        <v>-1.9593279323443999E-2</v>
      </c>
      <c r="X10" s="2">
        <v>0</v>
      </c>
      <c r="Y10" s="2">
        <f t="shared" ref="Y10:AA10" si="7">T11-T10</f>
        <v>1.2048285293644698E-2</v>
      </c>
      <c r="Z10" s="2">
        <f t="shared" si="7"/>
        <v>-1.3475745359211803E-2</v>
      </c>
      <c r="AA10" s="2">
        <f t="shared" si="7"/>
        <v>7.1031997662671983E-3</v>
      </c>
    </row>
    <row r="11" spans="1:27" ht="14.25" customHeight="1" x14ac:dyDescent="0.3">
      <c r="B11" s="2">
        <v>9</v>
      </c>
      <c r="C11" s="2">
        <v>0.82499999999999996</v>
      </c>
      <c r="D11" s="2">
        <v>18.809710589044499</v>
      </c>
      <c r="E11" s="2">
        <v>1.43948830188504</v>
      </c>
      <c r="F11" s="2">
        <v>1.7390000000000001</v>
      </c>
      <c r="G11" s="2">
        <v>52.640986529621102</v>
      </c>
      <c r="H11" s="2" t="s">
        <v>18</v>
      </c>
      <c r="J11" s="2">
        <v>9</v>
      </c>
      <c r="K11" s="5">
        <v>0.875</v>
      </c>
      <c r="L11" s="2">
        <v>0</v>
      </c>
      <c r="M11" s="27">
        <v>0</v>
      </c>
      <c r="N11" s="2">
        <v>0</v>
      </c>
      <c r="O11" s="5" t="s">
        <v>6</v>
      </c>
      <c r="Q11" s="2">
        <v>9</v>
      </c>
      <c r="R11" s="2">
        <v>0.95</v>
      </c>
      <c r="S11" s="2">
        <v>-1.08512107889858E-2</v>
      </c>
      <c r="T11" s="2">
        <v>-2.9526862680157299E-2</v>
      </c>
      <c r="U11" s="2">
        <v>3.0674496406959399E-2</v>
      </c>
      <c r="V11" s="2">
        <v>-1.2490079557176801E-2</v>
      </c>
      <c r="X11" s="2">
        <v>0</v>
      </c>
      <c r="Y11" s="2">
        <f t="shared" ref="Y11:AA11" si="8">T12-T11</f>
        <v>1.2076458775951E-2</v>
      </c>
      <c r="Z11" s="2">
        <f t="shared" si="8"/>
        <v>-1.3507256787132098E-2</v>
      </c>
      <c r="AA11" s="2">
        <f t="shared" si="8"/>
        <v>7.119809754201711E-3</v>
      </c>
    </row>
    <row r="12" spans="1:27" ht="14.25" customHeight="1" x14ac:dyDescent="0.3">
      <c r="B12" s="2">
        <v>10</v>
      </c>
      <c r="C12" s="11">
        <v>0.82499999999999996</v>
      </c>
      <c r="D12" s="2">
        <v>0</v>
      </c>
      <c r="E12" s="2">
        <v>0</v>
      </c>
      <c r="F12" s="2">
        <v>0</v>
      </c>
      <c r="G12" s="2">
        <v>0</v>
      </c>
      <c r="H12" s="11" t="s">
        <v>42</v>
      </c>
      <c r="J12" s="2">
        <v>10</v>
      </c>
      <c r="K12" s="2">
        <v>0.875</v>
      </c>
      <c r="L12" s="2">
        <v>37.142379028432202</v>
      </c>
      <c r="M12" s="26">
        <v>3.87050041810277</v>
      </c>
      <c r="N12" s="2">
        <v>50.888582389316298</v>
      </c>
      <c r="O12" s="2" t="s">
        <v>16</v>
      </c>
      <c r="Q12" s="2">
        <v>10</v>
      </c>
      <c r="R12" s="2">
        <v>0.97499999999999998</v>
      </c>
      <c r="S12" s="2">
        <v>-1.0851210789000599E-2</v>
      </c>
      <c r="T12" s="2">
        <v>-1.74504039042063E-2</v>
      </c>
      <c r="U12" s="2">
        <v>1.7167239619827301E-2</v>
      </c>
      <c r="V12" s="2">
        <v>-5.3702698029750896E-3</v>
      </c>
      <c r="X12" s="2">
        <v>0</v>
      </c>
      <c r="Y12" s="2">
        <f t="shared" ref="Y12:AA12" si="9">T13-T12</f>
        <v>1.210481445542658E-2</v>
      </c>
      <c r="Z12" s="2">
        <f t="shared" si="9"/>
        <v>-1.3538971998607551E-2</v>
      </c>
      <c r="AA12" s="2">
        <f t="shared" si="9"/>
        <v>7.13652715840935E-3</v>
      </c>
    </row>
    <row r="13" spans="1:27" ht="14.25" customHeight="1" x14ac:dyDescent="0.3">
      <c r="B13" s="2">
        <v>11</v>
      </c>
      <c r="C13" s="5">
        <v>0.875</v>
      </c>
      <c r="D13" s="2">
        <v>0</v>
      </c>
      <c r="E13" s="2">
        <v>0</v>
      </c>
      <c r="F13" s="2">
        <v>0</v>
      </c>
      <c r="G13" s="2">
        <v>0</v>
      </c>
      <c r="H13" s="5" t="s">
        <v>6</v>
      </c>
      <c r="J13" s="2">
        <v>11</v>
      </c>
      <c r="K13" s="2">
        <v>0.875</v>
      </c>
      <c r="L13" s="2">
        <v>-58.412815858213399</v>
      </c>
      <c r="M13" s="26">
        <v>8.5638139212630993</v>
      </c>
      <c r="N13" s="2">
        <v>64.9566958087091</v>
      </c>
      <c r="O13" s="2" t="s">
        <v>17</v>
      </c>
      <c r="Q13" s="2">
        <v>11</v>
      </c>
      <c r="R13" s="2">
        <v>1</v>
      </c>
      <c r="S13" s="2">
        <v>-1.08512107889858E-2</v>
      </c>
      <c r="T13" s="2">
        <v>-5.3455894487797204E-3</v>
      </c>
      <c r="U13" s="2">
        <v>3.6282676212197498E-3</v>
      </c>
      <c r="V13" s="2">
        <v>1.76625735543426E-3</v>
      </c>
      <c r="X13" s="2">
        <v>0</v>
      </c>
      <c r="Y13" s="2">
        <f t="shared" ref="Y13:AA13" si="10">T14-T13</f>
        <v>1.2133353538402499E-2</v>
      </c>
      <c r="Z13" s="2">
        <f t="shared" si="10"/>
        <v>-1.3570892342938481E-2</v>
      </c>
      <c r="AA13" s="2">
        <f t="shared" si="10"/>
        <v>7.1533526902519094E-3</v>
      </c>
    </row>
    <row r="14" spans="1:27" ht="14.25" customHeight="1" x14ac:dyDescent="0.3">
      <c r="B14" s="2">
        <v>12</v>
      </c>
      <c r="C14" s="2">
        <v>0.875</v>
      </c>
      <c r="D14" s="2">
        <v>36.8187319073552</v>
      </c>
      <c r="E14" s="2">
        <v>0.12682506830361001</v>
      </c>
      <c r="F14" s="2">
        <v>5.89</v>
      </c>
      <c r="G14" s="2">
        <v>56.697708691655301</v>
      </c>
      <c r="H14" s="2" t="s">
        <v>16</v>
      </c>
      <c r="J14" s="2">
        <v>12</v>
      </c>
      <c r="K14" s="11">
        <v>0.875</v>
      </c>
      <c r="L14" s="2">
        <v>18.7603522169379</v>
      </c>
      <c r="M14" s="26">
        <v>2.4350033758699099</v>
      </c>
      <c r="N14" s="2">
        <v>46.552106667464898</v>
      </c>
      <c r="O14" s="2" t="s">
        <v>18</v>
      </c>
      <c r="Q14" s="2">
        <v>12</v>
      </c>
      <c r="R14" s="2">
        <v>1.0249999999999999</v>
      </c>
      <c r="S14" s="2">
        <v>-1.08512107889858E-2</v>
      </c>
      <c r="T14" s="2">
        <v>6.7877640896227796E-3</v>
      </c>
      <c r="U14" s="2">
        <v>-9.9426247217187305E-3</v>
      </c>
      <c r="V14" s="2">
        <v>8.9196100456861698E-3</v>
      </c>
      <c r="X14" s="2">
        <v>0</v>
      </c>
      <c r="Y14" s="2">
        <f t="shared" ref="Y14:AA14" si="11">T15-T14</f>
        <v>1.2161801539804222E-2</v>
      </c>
      <c r="Z14" s="2">
        <f t="shared" si="11"/>
        <v>-1.3602710814483669E-2</v>
      </c>
      <c r="AA14" s="2">
        <f t="shared" si="11"/>
        <v>7.1701245239390293E-3</v>
      </c>
    </row>
    <row r="15" spans="1:27" ht="14.25" customHeight="1" x14ac:dyDescent="0.3">
      <c r="B15" s="2">
        <v>13</v>
      </c>
      <c r="C15" s="2">
        <v>0.875</v>
      </c>
      <c r="D15" s="2">
        <v>-56.954309256805402</v>
      </c>
      <c r="E15" s="2">
        <v>1.2946947089191601</v>
      </c>
      <c r="F15" s="2">
        <v>7.1349999999999998</v>
      </c>
      <c r="G15" s="2">
        <v>84.095343555374797</v>
      </c>
      <c r="H15" s="2" t="s">
        <v>17</v>
      </c>
      <c r="J15" s="2">
        <v>13</v>
      </c>
      <c r="K15" s="5">
        <v>0.92500000000000004</v>
      </c>
      <c r="L15" s="2">
        <v>0</v>
      </c>
      <c r="M15" s="27">
        <v>0</v>
      </c>
      <c r="N15" s="2">
        <v>0</v>
      </c>
      <c r="O15" s="5" t="s">
        <v>6</v>
      </c>
      <c r="Q15" s="2">
        <v>13</v>
      </c>
      <c r="R15" s="2">
        <v>1.05</v>
      </c>
      <c r="S15" s="2">
        <v>-1.08512107889858E-2</v>
      </c>
      <c r="T15" s="2">
        <v>1.8949565629427002E-2</v>
      </c>
      <c r="U15" s="2">
        <v>-2.3545335536202399E-2</v>
      </c>
      <c r="V15" s="2">
        <v>1.6089734569625199E-2</v>
      </c>
      <c r="X15" s="2">
        <v>0</v>
      </c>
      <c r="Y15" s="2">
        <f t="shared" ref="Y15:AA15" si="12">T16-T15</f>
        <v>1.2190433434611198E-2</v>
      </c>
      <c r="Z15" s="2">
        <f t="shared" si="12"/>
        <v>-1.3634734966793901E-2</v>
      </c>
      <c r="AA15" s="2">
        <f t="shared" si="12"/>
        <v>7.1870047739420011E-3</v>
      </c>
    </row>
    <row r="16" spans="1:27" ht="14.25" customHeight="1" x14ac:dyDescent="0.3">
      <c r="B16" s="2">
        <v>14</v>
      </c>
      <c r="C16" s="2">
        <v>0.875</v>
      </c>
      <c r="D16" s="2">
        <v>18.7927255514401</v>
      </c>
      <c r="E16" s="2">
        <v>1.24658449999524</v>
      </c>
      <c r="F16" s="2">
        <v>1.6859999999999999</v>
      </c>
      <c r="G16" s="2">
        <v>53.984637361247302</v>
      </c>
      <c r="H16" s="2" t="s">
        <v>18</v>
      </c>
      <c r="J16" s="2">
        <v>14</v>
      </c>
      <c r="K16" s="2">
        <v>0.92500000000000004</v>
      </c>
      <c r="L16" s="2">
        <v>37.173901157907103</v>
      </c>
      <c r="M16" s="26">
        <v>3.4536770333686801</v>
      </c>
      <c r="N16" s="2">
        <v>50.080092378113001</v>
      </c>
      <c r="O16" s="2" t="s">
        <v>16</v>
      </c>
      <c r="Q16" s="2">
        <v>14</v>
      </c>
      <c r="R16" s="2">
        <v>1.075</v>
      </c>
      <c r="S16" s="2">
        <v>-1.0851210789000599E-2</v>
      </c>
      <c r="T16" s="2">
        <v>3.11399990640382E-2</v>
      </c>
      <c r="U16" s="2">
        <v>-3.71800705029963E-2</v>
      </c>
      <c r="V16" s="2">
        <v>2.32767393435672E-2</v>
      </c>
      <c r="X16" s="2">
        <v>0</v>
      </c>
      <c r="Y16" s="2">
        <f t="shared" ref="Y16:AA16" si="13">T17-T16</f>
        <v>1.2219250441646103E-2</v>
      </c>
      <c r="Z16" s="2">
        <f t="shared" si="13"/>
        <v>-1.3666966163157199E-2</v>
      </c>
      <c r="AA16" s="2">
        <f t="shared" si="13"/>
        <v>7.2039941589959015E-3</v>
      </c>
    </row>
    <row r="17" spans="2:27" ht="14.25" customHeight="1" x14ac:dyDescent="0.3">
      <c r="B17" s="2">
        <v>15</v>
      </c>
      <c r="C17" s="11">
        <v>0.875</v>
      </c>
      <c r="D17" s="2">
        <v>0</v>
      </c>
      <c r="E17" s="2">
        <v>0</v>
      </c>
      <c r="F17" s="2">
        <v>0</v>
      </c>
      <c r="G17" s="2">
        <v>0</v>
      </c>
      <c r="H17" s="11" t="s">
        <v>42</v>
      </c>
      <c r="J17" s="2">
        <v>15</v>
      </c>
      <c r="K17" s="2">
        <v>0.92500000000000004</v>
      </c>
      <c r="L17" s="2">
        <v>-58.3467006610624</v>
      </c>
      <c r="M17" s="26">
        <v>7.6171262537623203</v>
      </c>
      <c r="N17" s="2">
        <v>65.667868625949595</v>
      </c>
      <c r="O17" s="2" t="s">
        <v>17</v>
      </c>
      <c r="Q17" s="2">
        <v>15</v>
      </c>
      <c r="R17" s="2">
        <v>1.1000000000000001</v>
      </c>
      <c r="S17" s="2">
        <v>-1.0851210789000599E-2</v>
      </c>
      <c r="T17" s="2">
        <v>4.3359249505684302E-2</v>
      </c>
      <c r="U17" s="2">
        <v>-5.0847036666153499E-2</v>
      </c>
      <c r="V17" s="2">
        <v>3.0480733502563102E-2</v>
      </c>
      <c r="X17" s="2">
        <v>0</v>
      </c>
      <c r="Y17" s="2">
        <f t="shared" ref="Y17:AA17" si="14">T18-T17</f>
        <v>1.2247976134020094E-2</v>
      </c>
      <c r="Z17" s="2">
        <f t="shared" si="14"/>
        <v>-1.3699095226026504E-2</v>
      </c>
      <c r="AA17" s="2">
        <f t="shared" si="14"/>
        <v>7.2209297084333997E-3</v>
      </c>
    </row>
    <row r="18" spans="2:27" ht="14.25" customHeight="1" x14ac:dyDescent="0.3">
      <c r="B18" s="2">
        <v>16</v>
      </c>
      <c r="C18" s="5">
        <v>0.92500000000000004</v>
      </c>
      <c r="D18" s="2">
        <v>0</v>
      </c>
      <c r="E18" s="2">
        <v>0</v>
      </c>
      <c r="F18" s="2">
        <v>0</v>
      </c>
      <c r="G18" s="2">
        <v>0</v>
      </c>
      <c r="H18" s="5" t="s">
        <v>6</v>
      </c>
      <c r="J18" s="2">
        <v>16</v>
      </c>
      <c r="K18" s="11">
        <v>0.92500000000000004</v>
      </c>
      <c r="L18" s="2">
        <v>18.7588597257784</v>
      </c>
      <c r="M18" s="26">
        <v>2.1450713883994101</v>
      </c>
      <c r="N18" s="2">
        <v>47.331062638441203</v>
      </c>
      <c r="O18" s="2" t="s">
        <v>18</v>
      </c>
      <c r="Q18" s="2">
        <v>16</v>
      </c>
      <c r="R18" s="2">
        <v>1.125</v>
      </c>
      <c r="S18" s="2">
        <v>-1.0851210789000599E-2</v>
      </c>
      <c r="T18" s="2">
        <v>5.5607225639704397E-2</v>
      </c>
      <c r="U18" s="2">
        <v>-6.4546131892180003E-2</v>
      </c>
      <c r="V18" s="2">
        <v>3.7701663210996501E-2</v>
      </c>
      <c r="X18" s="2">
        <v>0</v>
      </c>
      <c r="Y18" s="2">
        <f t="shared" ref="Y18:AA18" si="15">T19-T18</f>
        <v>1.2276887434680403E-2</v>
      </c>
      <c r="Z18" s="2">
        <f t="shared" si="15"/>
        <v>-1.3731431887699902E-2</v>
      </c>
      <c r="AA18" s="2">
        <f t="shared" si="15"/>
        <v>7.2379746852808957E-3</v>
      </c>
    </row>
    <row r="19" spans="2:27" ht="14.25" customHeight="1" x14ac:dyDescent="0.3">
      <c r="B19" s="2">
        <v>17</v>
      </c>
      <c r="C19" s="2">
        <v>0.92500000000000004</v>
      </c>
      <c r="D19" s="2">
        <v>37.319455598679497</v>
      </c>
      <c r="E19" s="2">
        <v>0.29777898963162502</v>
      </c>
      <c r="F19" s="2">
        <v>4.8239999999999998</v>
      </c>
      <c r="G19" s="2">
        <v>58.067807057394397</v>
      </c>
      <c r="H19" s="2" t="s">
        <v>16</v>
      </c>
      <c r="J19" s="2">
        <v>17</v>
      </c>
      <c r="K19" s="5">
        <v>0.97499999999999998</v>
      </c>
      <c r="L19" s="2">
        <v>0</v>
      </c>
      <c r="M19" s="27">
        <v>0</v>
      </c>
      <c r="N19" s="2">
        <v>0</v>
      </c>
      <c r="O19" s="5" t="s">
        <v>6</v>
      </c>
      <c r="Q19" s="2">
        <v>17</v>
      </c>
      <c r="R19" s="2">
        <v>1.1499999999999999</v>
      </c>
      <c r="S19" s="2">
        <v>-1.0851210789000599E-2</v>
      </c>
      <c r="T19" s="2">
        <v>6.78841130743848E-2</v>
      </c>
      <c r="U19" s="2">
        <v>-7.8277563779879905E-2</v>
      </c>
      <c r="V19" s="2">
        <v>4.4939637896277397E-2</v>
      </c>
      <c r="X19" s="2">
        <v>0</v>
      </c>
      <c r="Y19" s="2">
        <f t="shared" ref="Y19:AA19" si="16">T20-T19</f>
        <v>1.2305985575053996E-2</v>
      </c>
      <c r="Z19" s="2">
        <f t="shared" si="16"/>
        <v>-1.3763977525615298E-2</v>
      </c>
      <c r="AA19" s="2">
        <f t="shared" si="16"/>
        <v>7.2551298156127014E-3</v>
      </c>
    </row>
    <row r="20" spans="2:27" ht="14.25" customHeight="1" x14ac:dyDescent="0.3">
      <c r="B20" s="2">
        <v>18</v>
      </c>
      <c r="C20" s="2">
        <v>0.92500000000000004</v>
      </c>
      <c r="D20" s="2">
        <v>-57.202280517075103</v>
      </c>
      <c r="E20" s="2">
        <v>1.9439858632515601</v>
      </c>
      <c r="F20" s="2">
        <v>5.3719999999999999</v>
      </c>
      <c r="G20" s="2">
        <v>91.984126713885601</v>
      </c>
      <c r="H20" s="2" t="s">
        <v>17</v>
      </c>
      <c r="J20" s="2">
        <v>18</v>
      </c>
      <c r="K20" s="2">
        <v>0.97499999999999998</v>
      </c>
      <c r="L20" s="2">
        <v>37.263379467557897</v>
      </c>
      <c r="M20" s="26">
        <v>1.75916673656592</v>
      </c>
      <c r="N20" s="2">
        <v>58.531948299059898</v>
      </c>
      <c r="O20" s="2" t="s">
        <v>16</v>
      </c>
      <c r="Q20" s="2">
        <v>18</v>
      </c>
      <c r="R20" s="2">
        <v>1.175</v>
      </c>
      <c r="S20" s="2">
        <v>-1.0851210789000599E-2</v>
      </c>
      <c r="T20" s="2">
        <v>8.0190098649438796E-2</v>
      </c>
      <c r="U20" s="2">
        <v>-9.2041541305495203E-2</v>
      </c>
      <c r="V20" s="2">
        <v>5.2194767711890099E-2</v>
      </c>
      <c r="X20" s="2">
        <v>0</v>
      </c>
      <c r="Y20" s="2">
        <f t="shared" ref="Y20:AA20" si="17">T21-T20</f>
        <v>1.2334992167467404E-2</v>
      </c>
      <c r="Z20" s="2">
        <f t="shared" si="17"/>
        <v>-1.3796420769043791E-2</v>
      </c>
      <c r="AA20" s="2">
        <f t="shared" si="17"/>
        <v>7.2722309727503015E-3</v>
      </c>
    </row>
    <row r="21" spans="2:27" ht="14.25" customHeight="1" x14ac:dyDescent="0.3">
      <c r="B21" s="2">
        <v>19</v>
      </c>
      <c r="C21" s="2">
        <v>0.92500000000000004</v>
      </c>
      <c r="D21" s="2">
        <v>18.7876521964543</v>
      </c>
      <c r="E21" s="2">
        <v>0.98402662721383105</v>
      </c>
      <c r="F21" s="2">
        <v>1.627</v>
      </c>
      <c r="G21" s="2">
        <v>55.282919872417601</v>
      </c>
      <c r="H21" s="2" t="s">
        <v>18</v>
      </c>
      <c r="J21" s="2">
        <v>19</v>
      </c>
      <c r="K21" s="2">
        <v>0.97499999999999998</v>
      </c>
      <c r="L21" s="2">
        <v>-57.862050839920897</v>
      </c>
      <c r="M21" s="26">
        <v>4.6580769992546998</v>
      </c>
      <c r="N21" s="2">
        <v>76.010950453704197</v>
      </c>
      <c r="O21" s="2" t="s">
        <v>17</v>
      </c>
      <c r="Q21" s="2">
        <v>19</v>
      </c>
      <c r="R21" s="2">
        <v>1.2</v>
      </c>
      <c r="S21" s="2">
        <v>-1.0851210789000599E-2</v>
      </c>
      <c r="T21" s="2">
        <v>9.25250908169062E-2</v>
      </c>
      <c r="U21" s="2">
        <v>-0.10583796207453899</v>
      </c>
      <c r="V21" s="2">
        <v>5.94669986846404E-2</v>
      </c>
      <c r="X21" s="2">
        <v>0</v>
      </c>
      <c r="Y21" s="2">
        <f t="shared" ref="Y21:AA21" si="18">T22-T21</f>
        <v>1.2364186101777794E-2</v>
      </c>
      <c r="Z21" s="2">
        <f t="shared" si="18"/>
        <v>-1.3829073550390009E-2</v>
      </c>
      <c r="AA21" s="2">
        <f t="shared" si="18"/>
        <v>7.2894425794093956E-3</v>
      </c>
    </row>
    <row r="22" spans="2:27" ht="14.25" customHeight="1" x14ac:dyDescent="0.3">
      <c r="B22" s="2">
        <v>20</v>
      </c>
      <c r="C22" s="11">
        <v>0.92500000000000004</v>
      </c>
      <c r="D22" s="2">
        <v>0</v>
      </c>
      <c r="E22" s="2">
        <v>0</v>
      </c>
      <c r="F22" s="2">
        <v>0</v>
      </c>
      <c r="G22" s="2">
        <v>0</v>
      </c>
      <c r="H22" s="11" t="s">
        <v>42</v>
      </c>
      <c r="J22" s="2">
        <v>20</v>
      </c>
      <c r="K22" s="11">
        <v>0.97499999999999998</v>
      </c>
      <c r="L22" s="2">
        <v>18.786773095067801</v>
      </c>
      <c r="M22" s="26">
        <v>1.2076186645470599</v>
      </c>
      <c r="N22" s="2">
        <v>49.805686359793803</v>
      </c>
      <c r="O22" s="2" t="s">
        <v>18</v>
      </c>
      <c r="Q22" s="2">
        <v>20</v>
      </c>
      <c r="R22" s="2">
        <v>1.2250000000000001</v>
      </c>
      <c r="S22" s="2">
        <v>-1.08512107889858E-2</v>
      </c>
      <c r="T22" s="2">
        <v>0.10488927691868399</v>
      </c>
      <c r="U22" s="2">
        <v>-0.119667035624929</v>
      </c>
      <c r="V22" s="2">
        <v>6.6756441264049796E-2</v>
      </c>
      <c r="X22" s="2">
        <v>0</v>
      </c>
      <c r="Y22" s="2">
        <f t="shared" ref="Y22:AA22" si="19">T23-T22</f>
        <v>1.2393568622314E-2</v>
      </c>
      <c r="Z22" s="2">
        <f t="shared" si="19"/>
        <v>-1.3861937261217011E-2</v>
      </c>
      <c r="AA22" s="2">
        <f t="shared" si="19"/>
        <v>7.3067653691544082E-3</v>
      </c>
    </row>
    <row r="23" spans="2:27" ht="14.25" customHeight="1" x14ac:dyDescent="0.3">
      <c r="B23" s="2">
        <v>21</v>
      </c>
      <c r="C23" s="5">
        <v>0.97499999999999998</v>
      </c>
      <c r="D23" s="2">
        <v>0</v>
      </c>
      <c r="E23" s="2">
        <v>0</v>
      </c>
      <c r="F23" s="2">
        <v>0</v>
      </c>
      <c r="G23" s="2">
        <v>0</v>
      </c>
      <c r="H23" s="5" t="s">
        <v>6</v>
      </c>
      <c r="J23" s="2">
        <v>21</v>
      </c>
      <c r="K23" s="5">
        <v>1.0249999999999999</v>
      </c>
      <c r="L23" s="2">
        <v>0</v>
      </c>
      <c r="M23" s="27">
        <v>0</v>
      </c>
      <c r="N23" s="2">
        <v>0</v>
      </c>
      <c r="O23" s="5" t="s">
        <v>6</v>
      </c>
      <c r="Q23" s="2">
        <v>21</v>
      </c>
      <c r="R23" s="2">
        <v>1.25</v>
      </c>
      <c r="S23" s="16">
        <v>-1.0851210789000599E-2</v>
      </c>
      <c r="T23" s="17">
        <v>0.11728284554099799</v>
      </c>
      <c r="U23" s="17">
        <v>-0.13352897288614601</v>
      </c>
      <c r="V23" s="17">
        <v>7.4063206633204204E-2</v>
      </c>
    </row>
    <row r="24" spans="2:27" ht="14.25" customHeight="1" x14ac:dyDescent="0.3">
      <c r="B24" s="2">
        <v>22</v>
      </c>
      <c r="C24" s="2">
        <v>0.97499999999999998</v>
      </c>
      <c r="D24" s="2">
        <v>37.3118650380625</v>
      </c>
      <c r="E24" s="2">
        <v>0.50844929585477905</v>
      </c>
      <c r="F24" s="2">
        <v>1.6850000000000001</v>
      </c>
      <c r="G24" s="2">
        <v>69.7936938805436</v>
      </c>
      <c r="H24" s="2" t="s">
        <v>16</v>
      </c>
      <c r="J24" s="2">
        <v>22</v>
      </c>
      <c r="K24" s="2">
        <v>1.0249999999999999</v>
      </c>
      <c r="L24" s="2">
        <v>37.301181237980998</v>
      </c>
      <c r="M24" s="26">
        <v>1.7904390128237999</v>
      </c>
      <c r="N24" s="2">
        <v>55.393991948723901</v>
      </c>
      <c r="O24" s="2" t="s">
        <v>16</v>
      </c>
    </row>
    <row r="25" spans="2:27" ht="14.25" customHeight="1" x14ac:dyDescent="0.3">
      <c r="B25" s="2">
        <v>23</v>
      </c>
      <c r="C25" s="2">
        <v>0.97499999999999998</v>
      </c>
      <c r="D25" s="2">
        <v>-57.288691382666798</v>
      </c>
      <c r="E25" s="2">
        <v>1.5556534723231501</v>
      </c>
      <c r="F25" s="2">
        <v>3.218</v>
      </c>
      <c r="G25" s="2">
        <v>86.485932195678998</v>
      </c>
      <c r="H25" s="2" t="s">
        <v>17</v>
      </c>
      <c r="J25" s="2">
        <v>23</v>
      </c>
      <c r="K25" s="2">
        <v>1.0249999999999999</v>
      </c>
      <c r="L25" s="2">
        <v>-57.942366484489703</v>
      </c>
      <c r="M25" s="26">
        <v>4.3978872598138699</v>
      </c>
      <c r="N25" s="2">
        <v>73.049013565289897</v>
      </c>
      <c r="O25" s="2" t="s">
        <v>17</v>
      </c>
    </row>
    <row r="26" spans="2:27" ht="14.25" customHeight="1" x14ac:dyDescent="0.3">
      <c r="B26" s="2">
        <v>24</v>
      </c>
      <c r="C26" s="2">
        <v>0.97499999999999998</v>
      </c>
      <c r="D26" s="2">
        <v>18.5934221451468</v>
      </c>
      <c r="E26" s="2">
        <v>0.13718648712828199</v>
      </c>
      <c r="F26" s="2">
        <v>1.782</v>
      </c>
      <c r="G26" s="2">
        <v>60.1286494957507</v>
      </c>
      <c r="H26" s="2" t="s">
        <v>18</v>
      </c>
      <c r="J26" s="2">
        <v>24</v>
      </c>
      <c r="K26" s="11">
        <v>1.0249999999999999</v>
      </c>
      <c r="L26" s="2">
        <v>18.785315770736698</v>
      </c>
      <c r="M26" s="26">
        <v>1.2171658650265</v>
      </c>
      <c r="N26" s="2">
        <v>46.3339300195614</v>
      </c>
      <c r="O26" s="2" t="s">
        <v>18</v>
      </c>
      <c r="R26" s="2">
        <v>0.77500000000000002</v>
      </c>
      <c r="S26" s="2">
        <v>-1.0851210789000599E-2</v>
      </c>
      <c r="T26" s="2">
        <v>-0.113276014968918</v>
      </c>
      <c r="U26" s="2">
        <v>0.124346103842206</v>
      </c>
      <c r="V26" s="2">
        <v>-6.18653179803045E-2</v>
      </c>
      <c r="X26" s="2">
        <v>0</v>
      </c>
      <c r="Y26" s="2">
        <f t="shared" ref="Y26:AA26" si="20">T27-T26</f>
        <v>2.3788827907921889E-2</v>
      </c>
      <c r="Z26" s="2">
        <f t="shared" si="20"/>
        <v>-2.6607287217115999E-2</v>
      </c>
      <c r="AA26" s="2">
        <f t="shared" si="20"/>
        <v>1.4024966434412998E-2</v>
      </c>
    </row>
    <row r="27" spans="2:27" ht="14.25" customHeight="1" x14ac:dyDescent="0.3">
      <c r="B27" s="2">
        <v>25</v>
      </c>
      <c r="C27" s="11">
        <v>0.97499999999999998</v>
      </c>
      <c r="D27" s="2">
        <v>0</v>
      </c>
      <c r="E27" s="2">
        <v>0</v>
      </c>
      <c r="F27" s="2">
        <v>0</v>
      </c>
      <c r="G27" s="2">
        <v>0</v>
      </c>
      <c r="H27" s="11" t="s">
        <v>42</v>
      </c>
      <c r="J27" s="2">
        <v>25</v>
      </c>
      <c r="K27" s="5">
        <v>1.075</v>
      </c>
      <c r="L27" s="2">
        <v>0</v>
      </c>
      <c r="M27" s="27">
        <v>0</v>
      </c>
      <c r="N27" s="2">
        <v>0</v>
      </c>
      <c r="O27" s="5" t="s">
        <v>6</v>
      </c>
      <c r="R27" s="2">
        <v>0.82499999999999996</v>
      </c>
      <c r="S27" s="2">
        <v>-1.0851210789000599E-2</v>
      </c>
      <c r="T27" s="2">
        <v>-8.9487187060996107E-2</v>
      </c>
      <c r="U27" s="2">
        <v>9.773881662509E-2</v>
      </c>
      <c r="V27" s="2">
        <v>-4.7840351545891502E-2</v>
      </c>
      <c r="X27" s="2">
        <v>0</v>
      </c>
      <c r="Y27" s="2">
        <f t="shared" ref="Y27:AA27" si="21">T28-T27</f>
        <v>2.3900079779494404E-2</v>
      </c>
      <c r="Z27" s="2">
        <f t="shared" si="21"/>
        <v>-2.6731720018529706E-2</v>
      </c>
      <c r="AA27" s="2">
        <f t="shared" si="21"/>
        <v>1.40905562049825E-2</v>
      </c>
    </row>
    <row r="28" spans="2:27" ht="14.25" customHeight="1" x14ac:dyDescent="0.3">
      <c r="B28" s="2">
        <v>26</v>
      </c>
      <c r="C28" s="5">
        <v>1.0249999999999999</v>
      </c>
      <c r="D28" s="2">
        <v>0</v>
      </c>
      <c r="E28" s="2">
        <v>0</v>
      </c>
      <c r="F28" s="2">
        <v>0</v>
      </c>
      <c r="G28" s="2">
        <v>0</v>
      </c>
      <c r="H28" s="5" t="s">
        <v>6</v>
      </c>
      <c r="J28" s="2">
        <v>26</v>
      </c>
      <c r="K28" s="2">
        <v>1.075</v>
      </c>
      <c r="L28" s="2">
        <v>37.444838463948997</v>
      </c>
      <c r="M28" s="26">
        <v>3.4554226715762</v>
      </c>
      <c r="N28" s="2">
        <v>50.156241404558003</v>
      </c>
      <c r="O28" s="2" t="s">
        <v>16</v>
      </c>
      <c r="R28" s="2">
        <v>0.875</v>
      </c>
      <c r="S28" s="2">
        <v>-1.08512107889858E-2</v>
      </c>
      <c r="T28" s="2">
        <v>-6.5587107281501703E-2</v>
      </c>
      <c r="U28" s="2">
        <v>7.1007096606560294E-2</v>
      </c>
      <c r="V28" s="2">
        <v>-3.3749795340909002E-2</v>
      </c>
      <c r="X28" s="2">
        <v>0</v>
      </c>
      <c r="Y28" s="2">
        <f t="shared" ref="Y28:AA28" si="22">T29-T28</f>
        <v>2.4011959307699705E-2</v>
      </c>
      <c r="Z28" s="2">
        <f t="shared" si="22"/>
        <v>-2.6856854840389091E-2</v>
      </c>
      <c r="AA28" s="2">
        <f t="shared" si="22"/>
        <v>1.4156516017465003E-2</v>
      </c>
    </row>
    <row r="29" spans="2:27" ht="14.25" customHeight="1" x14ac:dyDescent="0.3">
      <c r="B29" s="2">
        <v>27</v>
      </c>
      <c r="C29" s="2">
        <v>1.0249999999999999</v>
      </c>
      <c r="D29" s="2">
        <v>37.336642610115298</v>
      </c>
      <c r="E29" s="2">
        <v>0.52110261832661198</v>
      </c>
      <c r="F29" s="2">
        <v>1.6779999999999999</v>
      </c>
      <c r="G29" s="2">
        <v>68.559699205196196</v>
      </c>
      <c r="H29" s="2" t="s">
        <v>16</v>
      </c>
      <c r="J29" s="2">
        <v>27</v>
      </c>
      <c r="K29" s="2">
        <v>1.075</v>
      </c>
      <c r="L29" s="2">
        <v>-58.747040323046001</v>
      </c>
      <c r="M29" s="26">
        <v>7.6044811802916001</v>
      </c>
      <c r="N29" s="2">
        <v>65.712801298691801</v>
      </c>
      <c r="O29" s="2" t="s">
        <v>17</v>
      </c>
      <c r="R29" s="2">
        <v>0.92500000000000004</v>
      </c>
      <c r="S29" s="2">
        <v>-1.08512107889858E-2</v>
      </c>
      <c r="T29" s="2">
        <v>-4.1575147973801997E-2</v>
      </c>
      <c r="U29" s="2">
        <v>4.4150241766171203E-2</v>
      </c>
      <c r="V29" s="2">
        <v>-1.9593279323443999E-2</v>
      </c>
      <c r="X29" s="2">
        <v>0</v>
      </c>
      <c r="Y29" s="2">
        <f t="shared" ref="Y29:AA29" si="23">T30-T29</f>
        <v>2.4124744069609898E-2</v>
      </c>
      <c r="Z29" s="2">
        <f t="shared" si="23"/>
        <v>-2.6983002146343901E-2</v>
      </c>
      <c r="AA29" s="2">
        <f t="shared" si="23"/>
        <v>1.422300952045219E-2</v>
      </c>
    </row>
    <row r="30" spans="2:27" ht="14.25" customHeight="1" x14ac:dyDescent="0.3">
      <c r="B30" s="2">
        <v>28</v>
      </c>
      <c r="C30" s="2">
        <v>1.0249999999999999</v>
      </c>
      <c r="D30" s="2">
        <v>-57.333386708367698</v>
      </c>
      <c r="E30" s="2">
        <v>1.1148933585463501</v>
      </c>
      <c r="F30" s="2">
        <v>3.379</v>
      </c>
      <c r="G30" s="2">
        <v>86.448470219161806</v>
      </c>
      <c r="H30" s="2" t="s">
        <v>17</v>
      </c>
      <c r="J30" s="2">
        <v>28</v>
      </c>
      <c r="K30" s="11">
        <v>1.075</v>
      </c>
      <c r="L30" s="2">
        <v>18.892861987175301</v>
      </c>
      <c r="M30" s="26">
        <v>2.1484346937876699</v>
      </c>
      <c r="N30" s="2">
        <v>47.587211092589399</v>
      </c>
      <c r="O30" s="2" t="s">
        <v>18</v>
      </c>
      <c r="R30" s="2">
        <v>0.97499999999999998</v>
      </c>
      <c r="S30" s="2">
        <v>-1.0851210789000599E-2</v>
      </c>
      <c r="T30" s="2">
        <v>-1.7450403904192099E-2</v>
      </c>
      <c r="U30" s="2">
        <v>1.7167239619827301E-2</v>
      </c>
      <c r="V30" s="2">
        <v>-5.3702698029918098E-3</v>
      </c>
      <c r="X30" s="2">
        <v>0</v>
      </c>
      <c r="Y30" s="2">
        <f t="shared" ref="Y30:AA30" si="24">T31-T30</f>
        <v>2.423816799382909E-2</v>
      </c>
      <c r="Z30" s="2">
        <f t="shared" si="24"/>
        <v>-2.7109864341525732E-2</v>
      </c>
      <c r="AA30" s="2">
        <f t="shared" si="24"/>
        <v>1.428987984867798E-2</v>
      </c>
    </row>
    <row r="31" spans="2:27" ht="14.25" customHeight="1" x14ac:dyDescent="0.3">
      <c r="B31" s="2">
        <v>29</v>
      </c>
      <c r="C31" s="2">
        <v>1.0249999999999999</v>
      </c>
      <c r="D31" s="2">
        <v>18.640455878015199</v>
      </c>
      <c r="E31" s="2">
        <v>0.13056020628008999</v>
      </c>
      <c r="F31" s="2">
        <v>1.7809999999999999</v>
      </c>
      <c r="G31" s="2">
        <v>59.322845917781102</v>
      </c>
      <c r="H31" s="2" t="s">
        <v>18</v>
      </c>
      <c r="J31" s="2">
        <v>29</v>
      </c>
      <c r="K31" s="5">
        <v>1.125</v>
      </c>
      <c r="L31" s="2">
        <v>0</v>
      </c>
      <c r="M31" s="27">
        <v>0</v>
      </c>
      <c r="N31" s="2">
        <v>0</v>
      </c>
      <c r="O31" s="5" t="s">
        <v>6</v>
      </c>
      <c r="R31" s="2">
        <v>1.0249999999999999</v>
      </c>
      <c r="S31" s="2">
        <v>-1.0851210789000599E-2</v>
      </c>
      <c r="T31" s="2">
        <v>6.7877640896369896E-3</v>
      </c>
      <c r="U31" s="2">
        <v>-9.9426247216984308E-3</v>
      </c>
      <c r="V31" s="2">
        <v>8.9196100456861698E-3</v>
      </c>
      <c r="X31" s="2">
        <v>0</v>
      </c>
      <c r="Y31" s="2">
        <f t="shared" ref="Y31:AA31" si="25">T32-T31</f>
        <v>2.435223497441541E-2</v>
      </c>
      <c r="Z31" s="2">
        <f t="shared" si="25"/>
        <v>-2.7237445781297869E-2</v>
      </c>
      <c r="AA31" s="2">
        <f t="shared" si="25"/>
        <v>1.435712929788103E-2</v>
      </c>
    </row>
    <row r="32" spans="2:27" ht="14.25" customHeight="1" x14ac:dyDescent="0.3">
      <c r="B32" s="2">
        <v>30</v>
      </c>
      <c r="C32" s="11">
        <v>1.0249999999999999</v>
      </c>
      <c r="D32" s="2">
        <v>0</v>
      </c>
      <c r="E32" s="2">
        <v>0</v>
      </c>
      <c r="F32" s="2">
        <v>0</v>
      </c>
      <c r="G32" s="2">
        <v>0</v>
      </c>
      <c r="H32" s="11" t="s">
        <v>42</v>
      </c>
      <c r="J32" s="2">
        <v>30</v>
      </c>
      <c r="K32" s="2">
        <v>1.125</v>
      </c>
      <c r="L32" s="2">
        <v>37.602601062677699</v>
      </c>
      <c r="M32" s="26">
        <v>3.7351881818702002</v>
      </c>
      <c r="N32" s="2">
        <v>50.463661685365999</v>
      </c>
      <c r="O32" s="2" t="s">
        <v>16</v>
      </c>
      <c r="R32" s="2">
        <v>1.075</v>
      </c>
      <c r="S32" s="2">
        <v>-1.08512107889858E-2</v>
      </c>
      <c r="T32" s="2">
        <v>3.11399990640524E-2</v>
      </c>
      <c r="U32" s="2">
        <v>-3.71800705029963E-2</v>
      </c>
      <c r="V32" s="2">
        <v>2.32767393435672E-2</v>
      </c>
      <c r="X32" s="2">
        <v>0</v>
      </c>
      <c r="Y32" s="2">
        <f t="shared" ref="Y32:AA32" si="26">T33-T32</f>
        <v>2.4467226575666298E-2</v>
      </c>
      <c r="Z32" s="2">
        <f t="shared" si="26"/>
        <v>-2.7366061389183703E-2</v>
      </c>
      <c r="AA32" s="2">
        <f t="shared" si="26"/>
        <v>1.4424923867429301E-2</v>
      </c>
    </row>
    <row r="33" spans="2:27" ht="14.25" customHeight="1" x14ac:dyDescent="0.3">
      <c r="B33" s="2">
        <v>31</v>
      </c>
      <c r="C33" s="5">
        <v>1.075</v>
      </c>
      <c r="D33" s="2">
        <v>0</v>
      </c>
      <c r="E33" s="2">
        <v>0</v>
      </c>
      <c r="F33" s="2">
        <v>0</v>
      </c>
      <c r="G33" s="2">
        <v>0</v>
      </c>
      <c r="H33" s="5" t="s">
        <v>6</v>
      </c>
      <c r="J33" s="2">
        <v>31</v>
      </c>
      <c r="K33" s="2">
        <v>1.125</v>
      </c>
      <c r="L33" s="2">
        <v>-59.030114162171401</v>
      </c>
      <c r="M33" s="26">
        <v>8.3347050860714909</v>
      </c>
      <c r="N33" s="2">
        <v>65.761158856163107</v>
      </c>
      <c r="O33" s="2" t="s">
        <v>17</v>
      </c>
      <c r="R33" s="2">
        <v>1.125</v>
      </c>
      <c r="S33" s="2">
        <v>-1.0851210789000599E-2</v>
      </c>
      <c r="T33" s="2">
        <v>5.5607225639718698E-2</v>
      </c>
      <c r="U33" s="2">
        <v>-6.4546131892180003E-2</v>
      </c>
      <c r="V33" s="2">
        <v>3.7701663210996501E-2</v>
      </c>
      <c r="X33" s="2">
        <v>0</v>
      </c>
      <c r="Y33" s="2">
        <f t="shared" ref="Y33:AA33" si="27">T34-T33</f>
        <v>2.4582873009720098E-2</v>
      </c>
      <c r="Z33" s="2">
        <f t="shared" si="27"/>
        <v>-2.74954094133152E-2</v>
      </c>
      <c r="AA33" s="2">
        <f t="shared" si="27"/>
        <v>1.4493104500893597E-2</v>
      </c>
    </row>
    <row r="34" spans="2:27" ht="14.25" customHeight="1" x14ac:dyDescent="0.3">
      <c r="B34" s="2">
        <v>32</v>
      </c>
      <c r="C34" s="2">
        <v>1.075</v>
      </c>
      <c r="D34" s="2">
        <v>37.5904316413556</v>
      </c>
      <c r="E34" s="2">
        <v>0.28999602397553498</v>
      </c>
      <c r="F34" s="2">
        <v>4.8289999999999997</v>
      </c>
      <c r="G34" s="2">
        <v>58.235804677460202</v>
      </c>
      <c r="H34" s="2" t="s">
        <v>16</v>
      </c>
      <c r="J34" s="2">
        <v>32</v>
      </c>
      <c r="K34" s="11">
        <v>1.125</v>
      </c>
      <c r="L34" s="2">
        <v>18.999502333757398</v>
      </c>
      <c r="M34" s="26">
        <v>2.3379956705254599</v>
      </c>
      <c r="N34" s="2">
        <v>46.674147396485402</v>
      </c>
      <c r="O34" s="2" t="s">
        <v>18</v>
      </c>
      <c r="R34" s="2">
        <v>1.175</v>
      </c>
      <c r="S34" s="2">
        <v>-1.0851210789000599E-2</v>
      </c>
      <c r="T34" s="2">
        <v>8.0190098649438796E-2</v>
      </c>
      <c r="U34" s="2">
        <v>-9.2041541305495203E-2</v>
      </c>
      <c r="V34" s="2">
        <v>5.2194767711890099E-2</v>
      </c>
      <c r="X34" s="2">
        <v>0</v>
      </c>
      <c r="Y34" s="2">
        <f t="shared" ref="Y34:AA34" si="28">T35-T34</f>
        <v>2.4699178269245198E-2</v>
      </c>
      <c r="Z34" s="2">
        <f t="shared" si="28"/>
        <v>-2.7625494319433799E-2</v>
      </c>
      <c r="AA34" s="2">
        <f t="shared" si="28"/>
        <v>1.4561673552143002E-2</v>
      </c>
    </row>
    <row r="35" spans="2:27" ht="14.25" customHeight="1" x14ac:dyDescent="0.3">
      <c r="B35" s="2">
        <v>33</v>
      </c>
      <c r="C35" s="2">
        <v>1.075</v>
      </c>
      <c r="D35" s="2">
        <v>-57.5968758619168</v>
      </c>
      <c r="E35" s="2">
        <v>1.9402349855871099</v>
      </c>
      <c r="F35" s="2">
        <v>5.3659999999999997</v>
      </c>
      <c r="G35" s="2">
        <v>91.990637264736606</v>
      </c>
      <c r="H35" s="2" t="s">
        <v>17</v>
      </c>
      <c r="J35" s="2">
        <v>33</v>
      </c>
      <c r="K35" s="5">
        <v>1.175</v>
      </c>
      <c r="L35" s="2">
        <v>0</v>
      </c>
      <c r="M35" s="27">
        <v>0</v>
      </c>
      <c r="N35" s="2">
        <v>0</v>
      </c>
      <c r="O35" s="5" t="s">
        <v>6</v>
      </c>
      <c r="R35" s="2">
        <v>1.2250000000000001</v>
      </c>
      <c r="S35" s="2">
        <v>-1.0851210789000599E-2</v>
      </c>
      <c r="T35" s="2">
        <v>0.10488927691868399</v>
      </c>
      <c r="U35" s="2">
        <v>-0.119667035624929</v>
      </c>
      <c r="V35" s="2">
        <v>6.6756441264033101E-2</v>
      </c>
    </row>
    <row r="36" spans="2:27" ht="14.25" customHeight="1" x14ac:dyDescent="0.3">
      <c r="B36" s="2">
        <v>34</v>
      </c>
      <c r="C36" s="2">
        <v>1.075</v>
      </c>
      <c r="D36" s="2">
        <v>18.921224837764001</v>
      </c>
      <c r="E36" s="2">
        <v>0.98542314294577604</v>
      </c>
      <c r="F36" s="2">
        <v>1.627</v>
      </c>
      <c r="G36" s="2">
        <v>55.588850407358201</v>
      </c>
      <c r="H36" s="2" t="s">
        <v>18</v>
      </c>
      <c r="J36" s="2">
        <v>34</v>
      </c>
      <c r="K36" s="2">
        <v>1.175</v>
      </c>
      <c r="L36" s="2">
        <v>37.715405531955199</v>
      </c>
      <c r="M36" s="26">
        <v>4.1371268735956601</v>
      </c>
      <c r="N36" s="2">
        <v>48.335609759167198</v>
      </c>
      <c r="O36" s="2" t="s">
        <v>16</v>
      </c>
    </row>
    <row r="37" spans="2:27" ht="14.25" customHeight="1" x14ac:dyDescent="0.3">
      <c r="B37" s="2">
        <v>35</v>
      </c>
      <c r="C37" s="11">
        <v>1.075</v>
      </c>
      <c r="D37" s="2">
        <v>0</v>
      </c>
      <c r="E37" s="2">
        <v>0</v>
      </c>
      <c r="F37" s="2">
        <v>0</v>
      </c>
      <c r="G37" s="2">
        <v>0</v>
      </c>
      <c r="H37" s="11" t="s">
        <v>42</v>
      </c>
      <c r="J37" s="2">
        <v>35</v>
      </c>
      <c r="K37" s="2">
        <v>1.175</v>
      </c>
      <c r="L37" s="2">
        <v>-59.329027913067598</v>
      </c>
      <c r="M37" s="26">
        <v>9.1725360208686606</v>
      </c>
      <c r="N37" s="2">
        <v>64.992497883594496</v>
      </c>
      <c r="O37" s="2" t="s">
        <v>17</v>
      </c>
      <c r="X37" s="2">
        <v>385</v>
      </c>
      <c r="Y37" s="2">
        <v>400</v>
      </c>
      <c r="Z37" s="2">
        <v>560</v>
      </c>
      <c r="AA37" s="2">
        <v>340</v>
      </c>
    </row>
    <row r="38" spans="2:27" ht="14.25" customHeight="1" x14ac:dyDescent="0.3">
      <c r="B38" s="2">
        <v>36</v>
      </c>
      <c r="C38" s="5">
        <v>1.125</v>
      </c>
      <c r="D38" s="2">
        <v>0</v>
      </c>
      <c r="E38" s="2">
        <v>0</v>
      </c>
      <c r="F38" s="2">
        <v>0</v>
      </c>
      <c r="G38" s="2">
        <v>0</v>
      </c>
      <c r="H38" s="5" t="s">
        <v>6</v>
      </c>
      <c r="J38" s="2">
        <v>36</v>
      </c>
      <c r="K38" s="11">
        <v>1.175</v>
      </c>
      <c r="L38" s="2">
        <v>19.063082362417401</v>
      </c>
      <c r="M38" s="26">
        <v>2.5607154784172899</v>
      </c>
      <c r="N38" s="2">
        <v>45.858215754682398</v>
      </c>
      <c r="O38" s="2" t="s">
        <v>18</v>
      </c>
    </row>
    <row r="39" spans="2:27" ht="14.25" customHeight="1" x14ac:dyDescent="0.3">
      <c r="B39" s="2">
        <v>37</v>
      </c>
      <c r="C39" s="2">
        <v>1.125</v>
      </c>
      <c r="D39" s="2">
        <v>37.378776897996303</v>
      </c>
      <c r="E39" s="2">
        <v>0.110629127526362</v>
      </c>
      <c r="F39" s="2">
        <v>5.9139999999999997</v>
      </c>
      <c r="G39" s="2">
        <v>52.8838550402889</v>
      </c>
      <c r="H39" s="2" t="s">
        <v>16</v>
      </c>
      <c r="J39" s="2">
        <v>37</v>
      </c>
      <c r="K39" s="5">
        <v>1.2250000000000001</v>
      </c>
      <c r="L39" s="2">
        <v>0</v>
      </c>
      <c r="M39" s="27">
        <v>0</v>
      </c>
      <c r="N39" s="2">
        <v>0</v>
      </c>
      <c r="O39" s="5" t="s">
        <v>6</v>
      </c>
      <c r="X39" s="2">
        <f t="shared" ref="X39:AA39" si="29">AVERAGE(X22:X34)*X37%</f>
        <v>0</v>
      </c>
      <c r="Y39" s="2">
        <f t="shared" si="29"/>
        <v>9.222354420396639E-2</v>
      </c>
      <c r="Z39" s="2">
        <f t="shared" si="29"/>
        <v>-0.1444100429678771</v>
      </c>
      <c r="AA39" s="2">
        <f t="shared" si="29"/>
        <v>4.6215698368587285E-2</v>
      </c>
    </row>
    <row r="40" spans="2:27" ht="14.25" customHeight="1" x14ac:dyDescent="0.3">
      <c r="B40" s="2">
        <v>38</v>
      </c>
      <c r="C40" s="2">
        <v>1.125</v>
      </c>
      <c r="D40" s="2">
        <v>-57.664232356496697</v>
      </c>
      <c r="E40" s="2">
        <v>1.7177553405219299</v>
      </c>
      <c r="F40" s="2">
        <v>6.3339999999999996</v>
      </c>
      <c r="G40" s="2">
        <v>89.523753538306096</v>
      </c>
      <c r="H40" s="2" t="s">
        <v>17</v>
      </c>
      <c r="J40" s="2">
        <v>38</v>
      </c>
      <c r="K40" s="2">
        <v>1.2250000000000001</v>
      </c>
      <c r="L40" s="2">
        <v>37.885958409663303</v>
      </c>
      <c r="M40" s="26">
        <v>4.44372836651723</v>
      </c>
      <c r="N40" s="2">
        <v>47.691894676121699</v>
      </c>
      <c r="O40" s="2" t="s">
        <v>16</v>
      </c>
      <c r="X40" s="2">
        <f t="shared" ref="X40:AA40" si="30">_xlfn.STDEV.P(X26:X34)</f>
        <v>0</v>
      </c>
      <c r="Y40" s="2">
        <f t="shared" si="30"/>
        <v>2.9382987035376254E-4</v>
      </c>
      <c r="Z40" s="2">
        <f t="shared" si="30"/>
        <v>3.2864232671837683E-4</v>
      </c>
      <c r="AA40" s="2">
        <f t="shared" si="30"/>
        <v>1.7323064781016949E-4</v>
      </c>
    </row>
    <row r="41" spans="2:27" ht="14.25" customHeight="1" x14ac:dyDescent="0.3">
      <c r="B41" s="2">
        <v>39</v>
      </c>
      <c r="C41" s="2">
        <v>1.125</v>
      </c>
      <c r="D41" s="2">
        <v>19.037913348607599</v>
      </c>
      <c r="E41" s="2">
        <v>1.1477133897946601</v>
      </c>
      <c r="F41" s="2">
        <v>1.7070000000000001</v>
      </c>
      <c r="G41" s="2">
        <v>54.794528189234398</v>
      </c>
      <c r="H41" s="2" t="s">
        <v>18</v>
      </c>
      <c r="J41" s="2">
        <v>39</v>
      </c>
      <c r="K41" s="2">
        <v>1.2250000000000001</v>
      </c>
      <c r="L41" s="2">
        <v>-59.684276124859799</v>
      </c>
      <c r="M41" s="26">
        <v>9.9821569091482498</v>
      </c>
      <c r="N41" s="2">
        <v>64.7327446375063</v>
      </c>
      <c r="O41" s="2" t="s">
        <v>17</v>
      </c>
    </row>
    <row r="42" spans="2:27" ht="14.25" customHeight="1" x14ac:dyDescent="0.3">
      <c r="B42" s="2">
        <v>40</v>
      </c>
      <c r="C42" s="11">
        <v>1.125</v>
      </c>
      <c r="D42" s="2">
        <v>0</v>
      </c>
      <c r="E42" s="2">
        <v>0</v>
      </c>
      <c r="F42" s="2">
        <v>0</v>
      </c>
      <c r="G42" s="2">
        <v>0</v>
      </c>
      <c r="H42" s="11" t="s">
        <v>42</v>
      </c>
      <c r="J42" s="2">
        <v>40</v>
      </c>
      <c r="K42" s="11">
        <v>1.2250000000000001</v>
      </c>
      <c r="L42" s="2">
        <v>19.164786525598402</v>
      </c>
      <c r="M42" s="26">
        <v>2.7473544171502899</v>
      </c>
      <c r="N42" s="2">
        <v>45.159397071366001</v>
      </c>
      <c r="O42" s="2" t="s">
        <v>18</v>
      </c>
    </row>
    <row r="43" spans="2:27" ht="14.25" customHeight="1" x14ac:dyDescent="0.3">
      <c r="B43" s="2">
        <v>41</v>
      </c>
      <c r="C43" s="5">
        <v>1.175</v>
      </c>
      <c r="D43" s="2">
        <v>0</v>
      </c>
      <c r="E43" s="2">
        <v>0</v>
      </c>
      <c r="F43" s="2">
        <v>0</v>
      </c>
      <c r="G43" s="2">
        <v>0</v>
      </c>
      <c r="H43" s="5" t="s">
        <v>6</v>
      </c>
      <c r="M43" s="26"/>
    </row>
    <row r="44" spans="2:27" ht="14.25" customHeight="1" x14ac:dyDescent="0.3">
      <c r="B44" s="2">
        <v>42</v>
      </c>
      <c r="C44" s="2">
        <v>1.175</v>
      </c>
      <c r="D44" s="2">
        <v>37.8690621395045</v>
      </c>
      <c r="E44" s="2">
        <v>0.58137878841121604</v>
      </c>
      <c r="F44" s="2">
        <v>5.5780000000000003</v>
      </c>
      <c r="G44" s="2">
        <v>54.371568037226503</v>
      </c>
      <c r="H44" s="2" t="s">
        <v>16</v>
      </c>
      <c r="M44" s="26"/>
    </row>
    <row r="45" spans="2:27" ht="14.25" customHeight="1" x14ac:dyDescent="0.3">
      <c r="B45" s="2">
        <v>43</v>
      </c>
      <c r="C45" s="2">
        <v>1.175</v>
      </c>
      <c r="D45" s="2">
        <v>-57.8837762689055</v>
      </c>
      <c r="E45" s="2">
        <v>2.2338980186821802</v>
      </c>
      <c r="F45" s="2">
        <v>6.4980000000000002</v>
      </c>
      <c r="G45" s="2">
        <v>91.5841651992191</v>
      </c>
      <c r="H45" s="2" t="s">
        <v>17</v>
      </c>
      <c r="L45" s="2">
        <f t="shared" ref="L45:N45" si="31">AVERAGE(L31,L27,L23,L19,L15,L11,L7,L3,L35,L39)</f>
        <v>0</v>
      </c>
      <c r="M45" s="29">
        <f t="shared" si="31"/>
        <v>0</v>
      </c>
      <c r="N45" s="2">
        <f t="shared" si="31"/>
        <v>0</v>
      </c>
    </row>
    <row r="46" spans="2:27" ht="14.25" customHeight="1" x14ac:dyDescent="0.3">
      <c r="B46" s="2">
        <v>44</v>
      </c>
      <c r="C46" s="2">
        <v>1.175</v>
      </c>
      <c r="D46" s="2">
        <v>19.100428265890301</v>
      </c>
      <c r="E46" s="2">
        <v>1.3420995553879</v>
      </c>
      <c r="F46" s="2">
        <v>1.7470000000000001</v>
      </c>
      <c r="G46" s="2">
        <v>53.389171266885199</v>
      </c>
      <c r="H46" s="2" t="s">
        <v>18</v>
      </c>
      <c r="L46" s="2">
        <f t="shared" ref="L46:N46" si="32">AVERAGE(L32,L28,L24,L20,L16,L12,L8,L4,L36,L40)</f>
        <v>37.374096929578741</v>
      </c>
      <c r="M46" s="30">
        <f t="shared" si="32"/>
        <v>3.5406150328630388</v>
      </c>
      <c r="N46" s="2">
        <f t="shared" si="32"/>
        <v>50.798282795187355</v>
      </c>
    </row>
    <row r="47" spans="2:27" ht="14.25" customHeight="1" x14ac:dyDescent="0.3">
      <c r="B47" s="2">
        <v>45</v>
      </c>
      <c r="C47" s="11">
        <v>1.175</v>
      </c>
      <c r="D47" s="2">
        <v>0</v>
      </c>
      <c r="E47" s="2">
        <v>0</v>
      </c>
      <c r="F47" s="2">
        <v>0</v>
      </c>
      <c r="G47" s="2">
        <v>0</v>
      </c>
      <c r="H47" s="11" t="s">
        <v>42</v>
      </c>
      <c r="L47" s="2">
        <f t="shared" ref="L47:N47" si="33">AVERAGE(L33,L29,L25,L21,L17,L13,L9,L5,L37,L41)</f>
        <v>-58.629773542227419</v>
      </c>
      <c r="M47" s="30">
        <f t="shared" si="33"/>
        <v>7.9981530602998232</v>
      </c>
      <c r="N47" s="2">
        <f t="shared" si="33"/>
        <v>66.975043936243239</v>
      </c>
    </row>
    <row r="48" spans="2:27" ht="14.25" customHeight="1" x14ac:dyDescent="0.3">
      <c r="B48" s="2">
        <v>46</v>
      </c>
      <c r="C48" s="5">
        <v>1.2250000000000001</v>
      </c>
      <c r="D48" s="2">
        <v>0</v>
      </c>
      <c r="E48" s="2">
        <v>0</v>
      </c>
      <c r="F48" s="2">
        <v>0</v>
      </c>
      <c r="G48" s="2">
        <v>0</v>
      </c>
      <c r="H48" s="5" t="s">
        <v>6</v>
      </c>
      <c r="L48" s="2">
        <f t="shared" ref="L48:N48" si="34">AVERAGE(L34,L30,L26,L22,L18,L14,L10,L6,L38,L42)</f>
        <v>18.873913021362391</v>
      </c>
      <c r="M48" s="30">
        <f t="shared" si="34"/>
        <v>2.2285846967156497</v>
      </c>
      <c r="N48" s="2">
        <f t="shared" si="34"/>
        <v>46.550331551309398</v>
      </c>
    </row>
    <row r="49" spans="2:13" ht="14.25" customHeight="1" x14ac:dyDescent="0.3">
      <c r="B49" s="2">
        <v>47</v>
      </c>
      <c r="C49" s="2">
        <v>1.2250000000000001</v>
      </c>
      <c r="D49" s="2">
        <v>37.973495142502998</v>
      </c>
      <c r="E49" s="2">
        <v>1.30062181380488</v>
      </c>
      <c r="F49" s="2">
        <v>4.5670000000000002</v>
      </c>
      <c r="G49" s="2">
        <v>55.965026127522997</v>
      </c>
      <c r="H49" s="2" t="s">
        <v>16</v>
      </c>
      <c r="M49" s="26"/>
    </row>
    <row r="50" spans="2:13" ht="14.25" customHeight="1" x14ac:dyDescent="0.3">
      <c r="B50" s="2">
        <v>48</v>
      </c>
      <c r="C50" s="2">
        <v>1.2250000000000001</v>
      </c>
      <c r="D50" s="2">
        <v>-58.012753244111003</v>
      </c>
      <c r="E50" s="2">
        <v>2.2997958919108599</v>
      </c>
      <c r="F50" s="2">
        <v>7.16</v>
      </c>
      <c r="G50" s="2">
        <v>90.382357185682594</v>
      </c>
      <c r="H50" s="2" t="s">
        <v>17</v>
      </c>
      <c r="M50" s="26"/>
    </row>
    <row r="51" spans="2:13" ht="14.25" customHeight="1" x14ac:dyDescent="0.3">
      <c r="B51" s="2">
        <v>49</v>
      </c>
      <c r="C51" s="2">
        <v>1.2250000000000001</v>
      </c>
      <c r="D51" s="2">
        <v>19.203379244030199</v>
      </c>
      <c r="E51" s="2">
        <v>1.5078792143714099</v>
      </c>
      <c r="F51" s="2">
        <v>1.7829999999999999</v>
      </c>
      <c r="G51" s="2">
        <v>52.283783306486399</v>
      </c>
      <c r="H51" s="2" t="s">
        <v>18</v>
      </c>
      <c r="M51" s="26"/>
    </row>
    <row r="52" spans="2:13" ht="14.25" customHeight="1" x14ac:dyDescent="0.3">
      <c r="B52" s="2">
        <v>50</v>
      </c>
      <c r="C52" s="11">
        <v>1.2250000000000001</v>
      </c>
      <c r="D52" s="2">
        <v>0</v>
      </c>
      <c r="E52" s="2">
        <v>0</v>
      </c>
      <c r="F52" s="2">
        <v>0</v>
      </c>
      <c r="G52" s="2">
        <v>0</v>
      </c>
      <c r="H52" s="11" t="s">
        <v>42</v>
      </c>
      <c r="M52" s="26"/>
    </row>
    <row r="53" spans="2:13" ht="14.25" customHeight="1" x14ac:dyDescent="0.3">
      <c r="M53" s="26"/>
    </row>
    <row r="54" spans="2:13" ht="14.25" customHeight="1" x14ac:dyDescent="0.3">
      <c r="M54" s="26"/>
    </row>
    <row r="55" spans="2:13" ht="14.25" customHeight="1" x14ac:dyDescent="0.3">
      <c r="D55" s="2">
        <f t="shared" ref="D55:G55" si="35">AVERAGE(D48,D43,D38,D33,D28,D23,D18,D13,D8,D3)</f>
        <v>0</v>
      </c>
      <c r="E55" s="2">
        <f t="shared" si="35"/>
        <v>0</v>
      </c>
      <c r="F55" s="2">
        <f t="shared" si="35"/>
        <v>0</v>
      </c>
      <c r="G55" s="2">
        <f t="shared" si="35"/>
        <v>0</v>
      </c>
      <c r="M55" s="26"/>
    </row>
    <row r="56" spans="2:13" ht="14.25" customHeight="1" x14ac:dyDescent="0.3">
      <c r="D56" s="2">
        <f t="shared" ref="D56:G56" si="36">AVERAGE(D49,D44,D39,D34,D29,D24,D19,D14,D9,D4)</f>
        <v>37.413753898114813</v>
      </c>
      <c r="E56" s="2">
        <f t="shared" si="36"/>
        <v>0.4780634297440588</v>
      </c>
      <c r="F56" s="2">
        <f t="shared" si="36"/>
        <v>4.7144999999999992</v>
      </c>
      <c r="G56" s="2">
        <f t="shared" si="36"/>
        <v>58.248714119413606</v>
      </c>
      <c r="M56" s="26"/>
    </row>
    <row r="57" spans="2:13" ht="14.25" customHeight="1" x14ac:dyDescent="0.3">
      <c r="D57" s="2">
        <f t="shared" ref="D57:G57" si="37">AVERAGE(D50,D45,D40,D35,D30,D25,D20,D15,D10,D5)</f>
        <v>-57.38252928011643</v>
      </c>
      <c r="E57" s="2">
        <f t="shared" si="37"/>
        <v>1.9398966937891533</v>
      </c>
      <c r="F57" s="2">
        <f t="shared" si="37"/>
        <v>5.7685999999999993</v>
      </c>
      <c r="G57" s="2">
        <f t="shared" si="37"/>
        <v>89.408230846186569</v>
      </c>
      <c r="M57" s="26"/>
    </row>
    <row r="58" spans="2:13" ht="14.25" customHeight="1" x14ac:dyDescent="0.3">
      <c r="D58" s="2">
        <f t="shared" ref="D58:G58" si="38">AVERAGE(D51,D46,D41,D36,D31,D26,D21,D16,D11,D6)</f>
        <v>18.867727155280523</v>
      </c>
      <c r="E58" s="2">
        <f t="shared" si="38"/>
        <v>1.0520940158338878</v>
      </c>
      <c r="F58" s="2">
        <f t="shared" si="38"/>
        <v>1.7261000000000002</v>
      </c>
      <c r="G58" s="2">
        <f t="shared" si="38"/>
        <v>54.872084659432709</v>
      </c>
      <c r="M58" s="26"/>
    </row>
    <row r="59" spans="2:13" ht="14.25" customHeight="1" x14ac:dyDescent="0.3">
      <c r="D59" s="2">
        <f t="shared" ref="D59:G59" si="39">AVERAGE(D52,D47,D42,D37,D32,D27,D22,D17,D12,D7)</f>
        <v>0</v>
      </c>
      <c r="E59" s="2">
        <f t="shared" si="39"/>
        <v>0</v>
      </c>
      <c r="F59" s="2">
        <f t="shared" si="39"/>
        <v>0</v>
      </c>
      <c r="G59" s="2">
        <f t="shared" si="39"/>
        <v>0</v>
      </c>
      <c r="M59" s="26"/>
    </row>
    <row r="60" spans="2:13" ht="14.25" customHeight="1" x14ac:dyDescent="0.3">
      <c r="M60" s="26"/>
    </row>
    <row r="61" spans="2:13" ht="14.25" customHeight="1" x14ac:dyDescent="0.3">
      <c r="M61" s="26"/>
    </row>
    <row r="62" spans="2:13" ht="14.25" customHeight="1" x14ac:dyDescent="0.3">
      <c r="M62" s="26"/>
    </row>
    <row r="63" spans="2:13" ht="14.25" customHeight="1" x14ac:dyDescent="0.3">
      <c r="M63" s="26"/>
    </row>
    <row r="64" spans="2:13" ht="14.25" customHeight="1" x14ac:dyDescent="0.3">
      <c r="M64" s="26"/>
    </row>
    <row r="65" spans="13:13" ht="14.25" customHeight="1" x14ac:dyDescent="0.3">
      <c r="M65" s="26"/>
    </row>
    <row r="66" spans="13:13" ht="14.25" customHeight="1" x14ac:dyDescent="0.3">
      <c r="M66" s="26"/>
    </row>
    <row r="67" spans="13:13" ht="14.25" customHeight="1" x14ac:dyDescent="0.3">
      <c r="M67" s="26"/>
    </row>
    <row r="68" spans="13:13" ht="14.25" customHeight="1" x14ac:dyDescent="0.3">
      <c r="M68" s="26"/>
    </row>
    <row r="69" spans="13:13" ht="14.25" customHeight="1" x14ac:dyDescent="0.3">
      <c r="M69" s="26"/>
    </row>
    <row r="70" spans="13:13" ht="14.25" customHeight="1" x14ac:dyDescent="0.3">
      <c r="M70" s="26"/>
    </row>
    <row r="71" spans="13:13" ht="14.25" customHeight="1" x14ac:dyDescent="0.3">
      <c r="M71" s="26"/>
    </row>
    <row r="72" spans="13:13" ht="14.25" customHeight="1" x14ac:dyDescent="0.3">
      <c r="M72" s="26"/>
    </row>
    <row r="73" spans="13:13" ht="14.25" customHeight="1" x14ac:dyDescent="0.3">
      <c r="M73" s="26"/>
    </row>
    <row r="74" spans="13:13" ht="14.25" customHeight="1" x14ac:dyDescent="0.3">
      <c r="M74" s="26"/>
    </row>
    <row r="75" spans="13:13" ht="14.25" customHeight="1" x14ac:dyDescent="0.3">
      <c r="M75" s="26"/>
    </row>
    <row r="76" spans="13:13" ht="14.25" customHeight="1" x14ac:dyDescent="0.3">
      <c r="M76" s="26"/>
    </row>
    <row r="77" spans="13:13" ht="14.25" customHeight="1" x14ac:dyDescent="0.3">
      <c r="M77" s="26"/>
    </row>
    <row r="78" spans="13:13" ht="14.25" customHeight="1" x14ac:dyDescent="0.3">
      <c r="M78" s="26"/>
    </row>
    <row r="79" spans="13:13" ht="14.25" customHeight="1" x14ac:dyDescent="0.3">
      <c r="M79" s="26"/>
    </row>
    <row r="80" spans="13:13" ht="14.25" customHeight="1" x14ac:dyDescent="0.3">
      <c r="M80" s="26"/>
    </row>
    <row r="81" spans="13:13" ht="14.25" customHeight="1" x14ac:dyDescent="0.3">
      <c r="M81" s="26"/>
    </row>
    <row r="82" spans="13:13" ht="14.25" customHeight="1" x14ac:dyDescent="0.3">
      <c r="M82" s="26"/>
    </row>
    <row r="83" spans="13:13" ht="14.25" customHeight="1" x14ac:dyDescent="0.3">
      <c r="M83" s="26"/>
    </row>
    <row r="84" spans="13:13" ht="14.25" customHeight="1" x14ac:dyDescent="0.3">
      <c r="M84" s="26"/>
    </row>
    <row r="85" spans="13:13" ht="14.25" customHeight="1" x14ac:dyDescent="0.3">
      <c r="M85" s="26"/>
    </row>
    <row r="86" spans="13:13" ht="14.25" customHeight="1" x14ac:dyDescent="0.3">
      <c r="M86" s="26"/>
    </row>
    <row r="87" spans="13:13" ht="14.25" customHeight="1" x14ac:dyDescent="0.3">
      <c r="M87" s="26"/>
    </row>
    <row r="88" spans="13:13" ht="14.25" customHeight="1" x14ac:dyDescent="0.3">
      <c r="M88" s="26"/>
    </row>
    <row r="89" spans="13:13" ht="14.25" customHeight="1" x14ac:dyDescent="0.3">
      <c r="M89" s="26"/>
    </row>
    <row r="90" spans="13:13" ht="14.25" customHeight="1" x14ac:dyDescent="0.3">
      <c r="M90" s="26"/>
    </row>
    <row r="91" spans="13:13" ht="14.25" customHeight="1" x14ac:dyDescent="0.3">
      <c r="M91" s="26"/>
    </row>
    <row r="92" spans="13:13" ht="14.25" customHeight="1" x14ac:dyDescent="0.3">
      <c r="M92" s="26"/>
    </row>
    <row r="93" spans="13:13" ht="14.25" customHeight="1" x14ac:dyDescent="0.3">
      <c r="M93" s="26"/>
    </row>
    <row r="94" spans="13:13" ht="14.25" customHeight="1" x14ac:dyDescent="0.3">
      <c r="M94" s="26"/>
    </row>
    <row r="95" spans="13:13" ht="14.25" customHeight="1" x14ac:dyDescent="0.3">
      <c r="M95" s="26"/>
    </row>
    <row r="96" spans="13:13" ht="14.25" customHeight="1" x14ac:dyDescent="0.3">
      <c r="M96" s="26"/>
    </row>
    <row r="97" spans="13:13" ht="14.25" customHeight="1" x14ac:dyDescent="0.3">
      <c r="M97" s="26"/>
    </row>
    <row r="98" spans="13:13" ht="14.25" customHeight="1" x14ac:dyDescent="0.3">
      <c r="M98" s="26"/>
    </row>
    <row r="99" spans="13:13" ht="14.25" customHeight="1" x14ac:dyDescent="0.3">
      <c r="M99" s="26"/>
    </row>
    <row r="100" spans="13:13" ht="14.25" customHeight="1" x14ac:dyDescent="0.3">
      <c r="M100" s="26"/>
    </row>
    <row r="101" spans="13:13" ht="14.25" customHeight="1" x14ac:dyDescent="0.3">
      <c r="M101" s="26"/>
    </row>
    <row r="102" spans="13:13" ht="14.25" customHeight="1" x14ac:dyDescent="0.3">
      <c r="M102" s="26"/>
    </row>
    <row r="103" spans="13:13" ht="14.25" customHeight="1" x14ac:dyDescent="0.3">
      <c r="M103" s="26"/>
    </row>
    <row r="104" spans="13:13" ht="14.25" customHeight="1" x14ac:dyDescent="0.3">
      <c r="M104" s="26"/>
    </row>
    <row r="105" spans="13:13" ht="14.25" customHeight="1" x14ac:dyDescent="0.3">
      <c r="M105" s="26"/>
    </row>
    <row r="106" spans="13:13" ht="14.25" customHeight="1" x14ac:dyDescent="0.3">
      <c r="M106" s="26"/>
    </row>
    <row r="107" spans="13:13" ht="14.25" customHeight="1" x14ac:dyDescent="0.3">
      <c r="M107" s="26"/>
    </row>
    <row r="108" spans="13:13" ht="14.25" customHeight="1" x14ac:dyDescent="0.3">
      <c r="M108" s="26"/>
    </row>
    <row r="109" spans="13:13" ht="14.25" customHeight="1" x14ac:dyDescent="0.3">
      <c r="M109" s="26"/>
    </row>
    <row r="110" spans="13:13" ht="14.25" customHeight="1" x14ac:dyDescent="0.3">
      <c r="M110" s="26"/>
    </row>
    <row r="111" spans="13:13" ht="14.25" customHeight="1" x14ac:dyDescent="0.3">
      <c r="M111" s="26"/>
    </row>
    <row r="112" spans="13:13" ht="14.25" customHeight="1" x14ac:dyDescent="0.3">
      <c r="M112" s="26"/>
    </row>
    <row r="113" spans="13:13" ht="14.25" customHeight="1" x14ac:dyDescent="0.3">
      <c r="M113" s="26"/>
    </row>
    <row r="114" spans="13:13" ht="14.25" customHeight="1" x14ac:dyDescent="0.3">
      <c r="M114" s="26"/>
    </row>
    <row r="115" spans="13:13" ht="14.25" customHeight="1" x14ac:dyDescent="0.3">
      <c r="M115" s="26"/>
    </row>
    <row r="116" spans="13:13" ht="14.25" customHeight="1" x14ac:dyDescent="0.3">
      <c r="M116" s="26"/>
    </row>
    <row r="117" spans="13:13" ht="14.25" customHeight="1" x14ac:dyDescent="0.3">
      <c r="M117" s="26"/>
    </row>
    <row r="118" spans="13:13" ht="14.25" customHeight="1" x14ac:dyDescent="0.3">
      <c r="M118" s="26"/>
    </row>
    <row r="119" spans="13:13" ht="14.25" customHeight="1" x14ac:dyDescent="0.3">
      <c r="M119" s="26"/>
    </row>
    <row r="120" spans="13:13" ht="14.25" customHeight="1" x14ac:dyDescent="0.3">
      <c r="M120" s="26"/>
    </row>
    <row r="121" spans="13:13" ht="14.25" customHeight="1" x14ac:dyDescent="0.3">
      <c r="M121" s="26"/>
    </row>
    <row r="122" spans="13:13" ht="14.25" customHeight="1" x14ac:dyDescent="0.3">
      <c r="M122" s="26"/>
    </row>
    <row r="123" spans="13:13" ht="14.25" customHeight="1" x14ac:dyDescent="0.3">
      <c r="M123" s="26"/>
    </row>
    <row r="124" spans="13:13" ht="14.25" customHeight="1" x14ac:dyDescent="0.3">
      <c r="M124" s="26"/>
    </row>
    <row r="125" spans="13:13" ht="14.25" customHeight="1" x14ac:dyDescent="0.3">
      <c r="M125" s="26"/>
    </row>
    <row r="126" spans="13:13" ht="14.25" customHeight="1" x14ac:dyDescent="0.3">
      <c r="M126" s="26"/>
    </row>
    <row r="127" spans="13:13" ht="14.25" customHeight="1" x14ac:dyDescent="0.3">
      <c r="M127" s="26"/>
    </row>
    <row r="128" spans="13:13" ht="14.25" customHeight="1" x14ac:dyDescent="0.3">
      <c r="M128" s="26"/>
    </row>
    <row r="129" spans="13:13" ht="14.25" customHeight="1" x14ac:dyDescent="0.3">
      <c r="M129" s="26"/>
    </row>
    <row r="130" spans="13:13" ht="14.25" customHeight="1" x14ac:dyDescent="0.3">
      <c r="M130" s="26"/>
    </row>
    <row r="131" spans="13:13" ht="14.25" customHeight="1" x14ac:dyDescent="0.3">
      <c r="M131" s="26"/>
    </row>
    <row r="132" spans="13:13" ht="14.25" customHeight="1" x14ac:dyDescent="0.3">
      <c r="M132" s="26"/>
    </row>
    <row r="133" spans="13:13" ht="14.25" customHeight="1" x14ac:dyDescent="0.3">
      <c r="M133" s="26"/>
    </row>
    <row r="134" spans="13:13" ht="14.25" customHeight="1" x14ac:dyDescent="0.3">
      <c r="M134" s="26"/>
    </row>
    <row r="135" spans="13:13" ht="14.25" customHeight="1" x14ac:dyDescent="0.3">
      <c r="M135" s="26"/>
    </row>
    <row r="136" spans="13:13" ht="14.25" customHeight="1" x14ac:dyDescent="0.3">
      <c r="M136" s="26"/>
    </row>
    <row r="137" spans="13:13" ht="14.25" customHeight="1" x14ac:dyDescent="0.3">
      <c r="M137" s="26"/>
    </row>
    <row r="138" spans="13:13" ht="14.25" customHeight="1" x14ac:dyDescent="0.3">
      <c r="M138" s="26"/>
    </row>
    <row r="139" spans="13:13" ht="14.25" customHeight="1" x14ac:dyDescent="0.3">
      <c r="M139" s="26"/>
    </row>
    <row r="140" spans="13:13" ht="14.25" customHeight="1" x14ac:dyDescent="0.3">
      <c r="M140" s="26"/>
    </row>
    <row r="141" spans="13:13" ht="14.25" customHeight="1" x14ac:dyDescent="0.3">
      <c r="M141" s="26"/>
    </row>
    <row r="142" spans="13:13" ht="14.25" customHeight="1" x14ac:dyDescent="0.3">
      <c r="M142" s="26"/>
    </row>
    <row r="143" spans="13:13" ht="14.25" customHeight="1" x14ac:dyDescent="0.3">
      <c r="M143" s="26"/>
    </row>
    <row r="144" spans="13:13" ht="14.25" customHeight="1" x14ac:dyDescent="0.3">
      <c r="M144" s="26"/>
    </row>
    <row r="145" spans="13:13" ht="14.25" customHeight="1" x14ac:dyDescent="0.3">
      <c r="M145" s="26"/>
    </row>
    <row r="146" spans="13:13" ht="14.25" customHeight="1" x14ac:dyDescent="0.3">
      <c r="M146" s="26"/>
    </row>
    <row r="147" spans="13:13" ht="14.25" customHeight="1" x14ac:dyDescent="0.3">
      <c r="M147" s="26"/>
    </row>
    <row r="148" spans="13:13" ht="14.25" customHeight="1" x14ac:dyDescent="0.3">
      <c r="M148" s="26"/>
    </row>
    <row r="149" spans="13:13" ht="14.25" customHeight="1" x14ac:dyDescent="0.3">
      <c r="M149" s="26"/>
    </row>
    <row r="150" spans="13:13" ht="14.25" customHeight="1" x14ac:dyDescent="0.3">
      <c r="M150" s="26"/>
    </row>
    <row r="151" spans="13:13" ht="14.25" customHeight="1" x14ac:dyDescent="0.3">
      <c r="M151" s="26"/>
    </row>
    <row r="152" spans="13:13" ht="14.25" customHeight="1" x14ac:dyDescent="0.3">
      <c r="M152" s="26"/>
    </row>
    <row r="153" spans="13:13" ht="14.25" customHeight="1" x14ac:dyDescent="0.3">
      <c r="M153" s="26"/>
    </row>
    <row r="154" spans="13:13" ht="14.25" customHeight="1" x14ac:dyDescent="0.3">
      <c r="M154" s="26"/>
    </row>
    <row r="155" spans="13:13" ht="14.25" customHeight="1" x14ac:dyDescent="0.3">
      <c r="M155" s="26"/>
    </row>
    <row r="156" spans="13:13" ht="14.25" customHeight="1" x14ac:dyDescent="0.3">
      <c r="M156" s="26"/>
    </row>
    <row r="157" spans="13:13" ht="14.25" customHeight="1" x14ac:dyDescent="0.3">
      <c r="M157" s="26"/>
    </row>
    <row r="158" spans="13:13" ht="14.25" customHeight="1" x14ac:dyDescent="0.3">
      <c r="M158" s="26"/>
    </row>
    <row r="159" spans="13:13" ht="14.25" customHeight="1" x14ac:dyDescent="0.3">
      <c r="M159" s="26"/>
    </row>
    <row r="160" spans="13:13" ht="14.25" customHeight="1" x14ac:dyDescent="0.3">
      <c r="M160" s="26"/>
    </row>
    <row r="161" spans="13:13" ht="14.25" customHeight="1" x14ac:dyDescent="0.3">
      <c r="M161" s="26"/>
    </row>
    <row r="162" spans="13:13" ht="14.25" customHeight="1" x14ac:dyDescent="0.3">
      <c r="M162" s="26"/>
    </row>
    <row r="163" spans="13:13" ht="14.25" customHeight="1" x14ac:dyDescent="0.3">
      <c r="M163" s="26"/>
    </row>
    <row r="164" spans="13:13" ht="14.25" customHeight="1" x14ac:dyDescent="0.3">
      <c r="M164" s="26"/>
    </row>
    <row r="165" spans="13:13" ht="14.25" customHeight="1" x14ac:dyDescent="0.3">
      <c r="M165" s="26"/>
    </row>
    <row r="166" spans="13:13" ht="14.25" customHeight="1" x14ac:dyDescent="0.3">
      <c r="M166" s="26"/>
    </row>
    <row r="167" spans="13:13" ht="14.25" customHeight="1" x14ac:dyDescent="0.3">
      <c r="M167" s="26"/>
    </row>
    <row r="168" spans="13:13" ht="14.25" customHeight="1" x14ac:dyDescent="0.3">
      <c r="M168" s="26"/>
    </row>
    <row r="169" spans="13:13" ht="14.25" customHeight="1" x14ac:dyDescent="0.3">
      <c r="M169" s="26"/>
    </row>
    <row r="170" spans="13:13" ht="14.25" customHeight="1" x14ac:dyDescent="0.3">
      <c r="M170" s="26"/>
    </row>
    <row r="171" spans="13:13" ht="14.25" customHeight="1" x14ac:dyDescent="0.3">
      <c r="M171" s="26"/>
    </row>
    <row r="172" spans="13:13" ht="14.25" customHeight="1" x14ac:dyDescent="0.3">
      <c r="M172" s="26"/>
    </row>
    <row r="173" spans="13:13" ht="14.25" customHeight="1" x14ac:dyDescent="0.3">
      <c r="M173" s="26"/>
    </row>
    <row r="174" spans="13:13" ht="14.25" customHeight="1" x14ac:dyDescent="0.3">
      <c r="M174" s="26"/>
    </row>
    <row r="175" spans="13:13" ht="14.25" customHeight="1" x14ac:dyDescent="0.3">
      <c r="M175" s="26"/>
    </row>
    <row r="176" spans="13:13" ht="14.25" customHeight="1" x14ac:dyDescent="0.3">
      <c r="M176" s="26"/>
    </row>
    <row r="177" spans="13:13" ht="14.25" customHeight="1" x14ac:dyDescent="0.3">
      <c r="M177" s="26"/>
    </row>
    <row r="178" spans="13:13" ht="14.25" customHeight="1" x14ac:dyDescent="0.3">
      <c r="M178" s="26"/>
    </row>
    <row r="179" spans="13:13" ht="14.25" customHeight="1" x14ac:dyDescent="0.3">
      <c r="M179" s="26"/>
    </row>
    <row r="180" spans="13:13" ht="14.25" customHeight="1" x14ac:dyDescent="0.3">
      <c r="M180" s="26"/>
    </row>
    <row r="181" spans="13:13" ht="14.25" customHeight="1" x14ac:dyDescent="0.3">
      <c r="M181" s="26"/>
    </row>
    <row r="182" spans="13:13" ht="14.25" customHeight="1" x14ac:dyDescent="0.3">
      <c r="M182" s="26"/>
    </row>
    <row r="183" spans="13:13" ht="14.25" customHeight="1" x14ac:dyDescent="0.3">
      <c r="M183" s="26"/>
    </row>
    <row r="184" spans="13:13" ht="14.25" customHeight="1" x14ac:dyDescent="0.3">
      <c r="M184" s="26"/>
    </row>
    <row r="185" spans="13:13" ht="14.25" customHeight="1" x14ac:dyDescent="0.3">
      <c r="M185" s="26"/>
    </row>
    <row r="186" spans="13:13" ht="14.25" customHeight="1" x14ac:dyDescent="0.3">
      <c r="M186" s="26"/>
    </row>
    <row r="187" spans="13:13" ht="14.25" customHeight="1" x14ac:dyDescent="0.3">
      <c r="M187" s="26"/>
    </row>
    <row r="188" spans="13:13" ht="14.25" customHeight="1" x14ac:dyDescent="0.3">
      <c r="M188" s="26"/>
    </row>
    <row r="189" spans="13:13" ht="14.25" customHeight="1" x14ac:dyDescent="0.3">
      <c r="M189" s="26"/>
    </row>
    <row r="190" spans="13:13" ht="14.25" customHeight="1" x14ac:dyDescent="0.3">
      <c r="M190" s="26"/>
    </row>
    <row r="191" spans="13:13" ht="14.25" customHeight="1" x14ac:dyDescent="0.3">
      <c r="M191" s="26"/>
    </row>
    <row r="192" spans="13:13" ht="14.25" customHeight="1" x14ac:dyDescent="0.3">
      <c r="M192" s="26"/>
    </row>
    <row r="193" spans="13:13" ht="14.25" customHeight="1" x14ac:dyDescent="0.3">
      <c r="M193" s="26"/>
    </row>
    <row r="194" spans="13:13" ht="14.25" customHeight="1" x14ac:dyDescent="0.3">
      <c r="M194" s="26"/>
    </row>
    <row r="195" spans="13:13" ht="14.25" customHeight="1" x14ac:dyDescent="0.3">
      <c r="M195" s="26"/>
    </row>
    <row r="196" spans="13:13" ht="14.25" customHeight="1" x14ac:dyDescent="0.3">
      <c r="M196" s="26"/>
    </row>
    <row r="197" spans="13:13" ht="14.25" customHeight="1" x14ac:dyDescent="0.3">
      <c r="M197" s="26"/>
    </row>
    <row r="198" spans="13:13" ht="14.25" customHeight="1" x14ac:dyDescent="0.3">
      <c r="M198" s="26"/>
    </row>
    <row r="199" spans="13:13" ht="14.25" customHeight="1" x14ac:dyDescent="0.3">
      <c r="M199" s="26"/>
    </row>
    <row r="200" spans="13:13" ht="14.25" customHeight="1" x14ac:dyDescent="0.3">
      <c r="M200" s="26"/>
    </row>
    <row r="201" spans="13:13" ht="14.25" customHeight="1" x14ac:dyDescent="0.3">
      <c r="M201" s="26"/>
    </row>
    <row r="202" spans="13:13" ht="14.25" customHeight="1" x14ac:dyDescent="0.3">
      <c r="M202" s="26"/>
    </row>
    <row r="203" spans="13:13" ht="14.25" customHeight="1" x14ac:dyDescent="0.3">
      <c r="M203" s="26"/>
    </row>
    <row r="204" spans="13:13" ht="14.25" customHeight="1" x14ac:dyDescent="0.3">
      <c r="M204" s="26"/>
    </row>
    <row r="205" spans="13:13" ht="14.25" customHeight="1" x14ac:dyDescent="0.3">
      <c r="M205" s="26"/>
    </row>
    <row r="206" spans="13:13" ht="14.25" customHeight="1" x14ac:dyDescent="0.3">
      <c r="M206" s="26"/>
    </row>
    <row r="207" spans="13:13" ht="14.25" customHeight="1" x14ac:dyDescent="0.3">
      <c r="M207" s="26"/>
    </row>
    <row r="208" spans="13:13" ht="14.25" customHeight="1" x14ac:dyDescent="0.3">
      <c r="M208" s="26"/>
    </row>
    <row r="209" spans="13:13" ht="14.25" customHeight="1" x14ac:dyDescent="0.3">
      <c r="M209" s="26"/>
    </row>
    <row r="210" spans="13:13" ht="14.25" customHeight="1" x14ac:dyDescent="0.3">
      <c r="M210" s="26"/>
    </row>
    <row r="211" spans="13:13" ht="14.25" customHeight="1" x14ac:dyDescent="0.3">
      <c r="M211" s="26"/>
    </row>
    <row r="212" spans="13:13" ht="14.25" customHeight="1" x14ac:dyDescent="0.3">
      <c r="M212" s="26"/>
    </row>
    <row r="213" spans="13:13" ht="14.25" customHeight="1" x14ac:dyDescent="0.3">
      <c r="M213" s="26"/>
    </row>
    <row r="214" spans="13:13" ht="14.25" customHeight="1" x14ac:dyDescent="0.3">
      <c r="M214" s="26"/>
    </row>
    <row r="215" spans="13:13" ht="14.25" customHeight="1" x14ac:dyDescent="0.3">
      <c r="M215" s="26"/>
    </row>
    <row r="216" spans="13:13" ht="14.25" customHeight="1" x14ac:dyDescent="0.3">
      <c r="M216" s="26"/>
    </row>
    <row r="217" spans="13:13" ht="14.25" customHeight="1" x14ac:dyDescent="0.3">
      <c r="M217" s="26"/>
    </row>
    <row r="218" spans="13:13" ht="14.25" customHeight="1" x14ac:dyDescent="0.3">
      <c r="M218" s="26"/>
    </row>
    <row r="219" spans="13:13" ht="14.25" customHeight="1" x14ac:dyDescent="0.3">
      <c r="M219" s="26"/>
    </row>
    <row r="220" spans="13:13" ht="14.25" customHeight="1" x14ac:dyDescent="0.3">
      <c r="M220" s="26"/>
    </row>
    <row r="221" spans="13:13" ht="14.25" customHeight="1" x14ac:dyDescent="0.3">
      <c r="M221" s="26"/>
    </row>
    <row r="222" spans="13:13" ht="14.25" customHeight="1" x14ac:dyDescent="0.3">
      <c r="M222" s="26"/>
    </row>
    <row r="223" spans="13:13" ht="14.25" customHeight="1" x14ac:dyDescent="0.3">
      <c r="M223" s="26"/>
    </row>
    <row r="224" spans="13:13" ht="14.25" customHeight="1" x14ac:dyDescent="0.3">
      <c r="M224" s="26"/>
    </row>
    <row r="225" spans="13:13" ht="14.25" customHeight="1" x14ac:dyDescent="0.3">
      <c r="M225" s="26"/>
    </row>
    <row r="226" spans="13:13" ht="14.25" customHeight="1" x14ac:dyDescent="0.3">
      <c r="M226" s="26"/>
    </row>
    <row r="227" spans="13:13" ht="14.25" customHeight="1" x14ac:dyDescent="0.3">
      <c r="M227" s="26"/>
    </row>
    <row r="228" spans="13:13" ht="14.25" customHeight="1" x14ac:dyDescent="0.3">
      <c r="M228" s="26"/>
    </row>
    <row r="229" spans="13:13" ht="14.25" customHeight="1" x14ac:dyDescent="0.3">
      <c r="M229" s="26"/>
    </row>
    <row r="230" spans="13:13" ht="14.25" customHeight="1" x14ac:dyDescent="0.3">
      <c r="M230" s="26"/>
    </row>
    <row r="231" spans="13:13" ht="14.25" customHeight="1" x14ac:dyDescent="0.3">
      <c r="M231" s="26"/>
    </row>
    <row r="232" spans="13:13" ht="14.25" customHeight="1" x14ac:dyDescent="0.3">
      <c r="M232" s="26"/>
    </row>
    <row r="233" spans="13:13" ht="14.25" customHeight="1" x14ac:dyDescent="0.3">
      <c r="M233" s="26"/>
    </row>
    <row r="234" spans="13:13" ht="14.25" customHeight="1" x14ac:dyDescent="0.3">
      <c r="M234" s="26"/>
    </row>
    <row r="235" spans="13:13" ht="14.25" customHeight="1" x14ac:dyDescent="0.3">
      <c r="M235" s="26"/>
    </row>
    <row r="236" spans="13:13" ht="14.25" customHeight="1" x14ac:dyDescent="0.3">
      <c r="M236" s="26"/>
    </row>
    <row r="237" spans="13:13" ht="14.25" customHeight="1" x14ac:dyDescent="0.3">
      <c r="M237" s="26"/>
    </row>
    <row r="238" spans="13:13" ht="14.25" customHeight="1" x14ac:dyDescent="0.3">
      <c r="M238" s="26"/>
    </row>
    <row r="239" spans="13:13" ht="14.25" customHeight="1" x14ac:dyDescent="0.3">
      <c r="M239" s="26"/>
    </row>
    <row r="240" spans="13:13" ht="14.25" customHeight="1" x14ac:dyDescent="0.3">
      <c r="M240" s="26"/>
    </row>
    <row r="241" spans="13:13" ht="14.25" customHeight="1" x14ac:dyDescent="0.3">
      <c r="M241" s="26"/>
    </row>
    <row r="242" spans="13:13" ht="14.25" customHeight="1" x14ac:dyDescent="0.3">
      <c r="M242" s="26"/>
    </row>
    <row r="243" spans="13:13" ht="14.25" customHeight="1" x14ac:dyDescent="0.3">
      <c r="M243" s="26"/>
    </row>
    <row r="244" spans="13:13" ht="14.25" customHeight="1" x14ac:dyDescent="0.3">
      <c r="M244" s="26"/>
    </row>
    <row r="245" spans="13:13" ht="14.25" customHeight="1" x14ac:dyDescent="0.3">
      <c r="M245" s="26"/>
    </row>
    <row r="246" spans="13:13" ht="14.25" customHeight="1" x14ac:dyDescent="0.3">
      <c r="M246" s="26"/>
    </row>
    <row r="247" spans="13:13" ht="14.25" customHeight="1" x14ac:dyDescent="0.3">
      <c r="M247" s="26"/>
    </row>
    <row r="248" spans="13:13" ht="14.25" customHeight="1" x14ac:dyDescent="0.3">
      <c r="M248" s="26"/>
    </row>
    <row r="249" spans="13:13" ht="14.25" customHeight="1" x14ac:dyDescent="0.3">
      <c r="M249" s="26"/>
    </row>
    <row r="250" spans="13:13" ht="14.25" customHeight="1" x14ac:dyDescent="0.3">
      <c r="M250" s="26"/>
    </row>
    <row r="251" spans="13:13" ht="14.25" customHeight="1" x14ac:dyDescent="0.3">
      <c r="M251" s="26"/>
    </row>
    <row r="252" spans="13:13" ht="14.25" customHeight="1" x14ac:dyDescent="0.3">
      <c r="M252" s="26"/>
    </row>
    <row r="253" spans="13:13" ht="14.25" customHeight="1" x14ac:dyDescent="0.3">
      <c r="M253" s="26"/>
    </row>
    <row r="254" spans="13:13" ht="14.25" customHeight="1" x14ac:dyDescent="0.3">
      <c r="M254" s="26"/>
    </row>
    <row r="255" spans="13:13" ht="14.25" customHeight="1" x14ac:dyDescent="0.3">
      <c r="M255" s="26"/>
    </row>
    <row r="256" spans="13:13" ht="14.25" customHeight="1" x14ac:dyDescent="0.3">
      <c r="M256" s="26"/>
    </row>
    <row r="257" spans="13:13" ht="14.25" customHeight="1" x14ac:dyDescent="0.3">
      <c r="M257" s="26"/>
    </row>
    <row r="258" spans="13:13" ht="14.25" customHeight="1" x14ac:dyDescent="0.3">
      <c r="M258" s="26"/>
    </row>
    <row r="259" spans="13:13" ht="14.25" customHeight="1" x14ac:dyDescent="0.3">
      <c r="M259" s="26"/>
    </row>
    <row r="260" spans="13:13" ht="14.25" customHeight="1" x14ac:dyDescent="0.3">
      <c r="M260" s="26"/>
    </row>
    <row r="261" spans="13:13" ht="14.25" customHeight="1" x14ac:dyDescent="0.3">
      <c r="M261" s="26"/>
    </row>
    <row r="262" spans="13:13" ht="14.25" customHeight="1" x14ac:dyDescent="0.3">
      <c r="M262" s="26"/>
    </row>
    <row r="263" spans="13:13" ht="14.25" customHeight="1" x14ac:dyDescent="0.3">
      <c r="M263" s="26"/>
    </row>
    <row r="264" spans="13:13" ht="14.25" customHeight="1" x14ac:dyDescent="0.3">
      <c r="M264" s="26"/>
    </row>
    <row r="265" spans="13:13" ht="14.25" customHeight="1" x14ac:dyDescent="0.3">
      <c r="M265" s="26"/>
    </row>
    <row r="266" spans="13:13" ht="14.25" customHeight="1" x14ac:dyDescent="0.3">
      <c r="M266" s="26"/>
    </row>
    <row r="267" spans="13:13" ht="14.25" customHeight="1" x14ac:dyDescent="0.3">
      <c r="M267" s="26"/>
    </row>
    <row r="268" spans="13:13" ht="14.25" customHeight="1" x14ac:dyDescent="0.3">
      <c r="M268" s="26"/>
    </row>
    <row r="269" spans="13:13" ht="14.25" customHeight="1" x14ac:dyDescent="0.3">
      <c r="M269" s="26"/>
    </row>
    <row r="270" spans="13:13" ht="14.25" customHeight="1" x14ac:dyDescent="0.3">
      <c r="M270" s="26"/>
    </row>
    <row r="271" spans="13:13" ht="14.25" customHeight="1" x14ac:dyDescent="0.3">
      <c r="M271" s="26"/>
    </row>
    <row r="272" spans="13:13" ht="14.25" customHeight="1" x14ac:dyDescent="0.3">
      <c r="M272" s="26"/>
    </row>
    <row r="273" spans="13:13" ht="14.25" customHeight="1" x14ac:dyDescent="0.3">
      <c r="M273" s="26"/>
    </row>
    <row r="274" spans="13:13" ht="14.25" customHeight="1" x14ac:dyDescent="0.3">
      <c r="M274" s="26"/>
    </row>
    <row r="275" spans="13:13" ht="14.25" customHeight="1" x14ac:dyDescent="0.3">
      <c r="M275" s="26"/>
    </row>
    <row r="276" spans="13:13" ht="14.25" customHeight="1" x14ac:dyDescent="0.3">
      <c r="M276" s="26"/>
    </row>
    <row r="277" spans="13:13" ht="14.25" customHeight="1" x14ac:dyDescent="0.3">
      <c r="M277" s="26"/>
    </row>
    <row r="278" spans="13:13" ht="14.25" customHeight="1" x14ac:dyDescent="0.3">
      <c r="M278" s="26"/>
    </row>
    <row r="279" spans="13:13" ht="14.25" customHeight="1" x14ac:dyDescent="0.3">
      <c r="M279" s="26"/>
    </row>
    <row r="280" spans="13:13" ht="14.25" customHeight="1" x14ac:dyDescent="0.3">
      <c r="M280" s="26"/>
    </row>
    <row r="281" spans="13:13" ht="14.25" customHeight="1" x14ac:dyDescent="0.3">
      <c r="M281" s="26"/>
    </row>
    <row r="282" spans="13:13" ht="14.25" customHeight="1" x14ac:dyDescent="0.3">
      <c r="M282" s="26"/>
    </row>
    <row r="283" spans="13:13" ht="14.25" customHeight="1" x14ac:dyDescent="0.3">
      <c r="M283" s="26"/>
    </row>
    <row r="284" spans="13:13" ht="14.25" customHeight="1" x14ac:dyDescent="0.3">
      <c r="M284" s="26"/>
    </row>
    <row r="285" spans="13:13" ht="14.25" customHeight="1" x14ac:dyDescent="0.3">
      <c r="M285" s="26"/>
    </row>
    <row r="286" spans="13:13" ht="14.25" customHeight="1" x14ac:dyDescent="0.3">
      <c r="M286" s="26"/>
    </row>
    <row r="287" spans="13:13" ht="14.25" customHeight="1" x14ac:dyDescent="0.3">
      <c r="M287" s="26"/>
    </row>
    <row r="288" spans="13:13" ht="14.25" customHeight="1" x14ac:dyDescent="0.3">
      <c r="M288" s="26"/>
    </row>
    <row r="289" spans="13:13" ht="14.25" customHeight="1" x14ac:dyDescent="0.3">
      <c r="M289" s="26"/>
    </row>
    <row r="290" spans="13:13" ht="14.25" customHeight="1" x14ac:dyDescent="0.3">
      <c r="M290" s="26"/>
    </row>
    <row r="291" spans="13:13" ht="14.25" customHeight="1" x14ac:dyDescent="0.3">
      <c r="M291" s="26"/>
    </row>
    <row r="292" spans="13:13" ht="14.25" customHeight="1" x14ac:dyDescent="0.3">
      <c r="M292" s="26"/>
    </row>
    <row r="293" spans="13:13" ht="14.25" customHeight="1" x14ac:dyDescent="0.3">
      <c r="M293" s="26"/>
    </row>
    <row r="294" spans="13:13" ht="14.25" customHeight="1" x14ac:dyDescent="0.3">
      <c r="M294" s="26"/>
    </row>
    <row r="295" spans="13:13" ht="14.25" customHeight="1" x14ac:dyDescent="0.3">
      <c r="M295" s="26"/>
    </row>
    <row r="296" spans="13:13" ht="14.25" customHeight="1" x14ac:dyDescent="0.3">
      <c r="M296" s="26"/>
    </row>
    <row r="297" spans="13:13" ht="14.25" customHeight="1" x14ac:dyDescent="0.3">
      <c r="M297" s="26"/>
    </row>
    <row r="298" spans="13:13" ht="14.25" customHeight="1" x14ac:dyDescent="0.3">
      <c r="M298" s="26"/>
    </row>
    <row r="299" spans="13:13" ht="14.25" customHeight="1" x14ac:dyDescent="0.3">
      <c r="M299" s="26"/>
    </row>
    <row r="300" spans="13:13" ht="14.25" customHeight="1" x14ac:dyDescent="0.3">
      <c r="M300" s="26"/>
    </row>
    <row r="301" spans="13:13" ht="14.25" customHeight="1" x14ac:dyDescent="0.3">
      <c r="M301" s="26"/>
    </row>
    <row r="302" spans="13:13" ht="14.25" customHeight="1" x14ac:dyDescent="0.3">
      <c r="M302" s="26"/>
    </row>
    <row r="303" spans="13:13" ht="14.25" customHeight="1" x14ac:dyDescent="0.3">
      <c r="M303" s="26"/>
    </row>
    <row r="304" spans="13:13" ht="14.25" customHeight="1" x14ac:dyDescent="0.3">
      <c r="M304" s="26"/>
    </row>
    <row r="305" spans="13:13" ht="14.25" customHeight="1" x14ac:dyDescent="0.3">
      <c r="M305" s="26"/>
    </row>
    <row r="306" spans="13:13" ht="14.25" customHeight="1" x14ac:dyDescent="0.3">
      <c r="M306" s="26"/>
    </row>
    <row r="307" spans="13:13" ht="14.25" customHeight="1" x14ac:dyDescent="0.3">
      <c r="M307" s="26"/>
    </row>
    <row r="308" spans="13:13" ht="14.25" customHeight="1" x14ac:dyDescent="0.3">
      <c r="M308" s="26"/>
    </row>
    <row r="309" spans="13:13" ht="14.25" customHeight="1" x14ac:dyDescent="0.3">
      <c r="M309" s="26"/>
    </row>
    <row r="310" spans="13:13" ht="14.25" customHeight="1" x14ac:dyDescent="0.3">
      <c r="M310" s="26"/>
    </row>
    <row r="311" spans="13:13" ht="14.25" customHeight="1" x14ac:dyDescent="0.3">
      <c r="M311" s="26"/>
    </row>
    <row r="312" spans="13:13" ht="14.25" customHeight="1" x14ac:dyDescent="0.3">
      <c r="M312" s="26"/>
    </row>
    <row r="313" spans="13:13" ht="14.25" customHeight="1" x14ac:dyDescent="0.3">
      <c r="M313" s="26"/>
    </row>
    <row r="314" spans="13:13" ht="14.25" customHeight="1" x14ac:dyDescent="0.3">
      <c r="M314" s="26"/>
    </row>
    <row r="315" spans="13:13" ht="14.25" customHeight="1" x14ac:dyDescent="0.3">
      <c r="M315" s="26"/>
    </row>
    <row r="316" spans="13:13" ht="14.25" customHeight="1" x14ac:dyDescent="0.3">
      <c r="M316" s="26"/>
    </row>
    <row r="317" spans="13:13" ht="14.25" customHeight="1" x14ac:dyDescent="0.3">
      <c r="M317" s="26"/>
    </row>
    <row r="318" spans="13:13" ht="14.25" customHeight="1" x14ac:dyDescent="0.3">
      <c r="M318" s="26"/>
    </row>
    <row r="319" spans="13:13" ht="14.25" customHeight="1" x14ac:dyDescent="0.3">
      <c r="M319" s="26"/>
    </row>
    <row r="320" spans="13:13" ht="14.25" customHeight="1" x14ac:dyDescent="0.3">
      <c r="M320" s="26"/>
    </row>
    <row r="321" spans="13:13" ht="14.25" customHeight="1" x14ac:dyDescent="0.3">
      <c r="M321" s="26"/>
    </row>
    <row r="322" spans="13:13" ht="14.25" customHeight="1" x14ac:dyDescent="0.3">
      <c r="M322" s="26"/>
    </row>
    <row r="323" spans="13:13" ht="14.25" customHeight="1" x14ac:dyDescent="0.3">
      <c r="M323" s="26"/>
    </row>
    <row r="324" spans="13:13" ht="14.25" customHeight="1" x14ac:dyDescent="0.3">
      <c r="M324" s="26"/>
    </row>
    <row r="325" spans="13:13" ht="14.25" customHeight="1" x14ac:dyDescent="0.3">
      <c r="M325" s="26"/>
    </row>
    <row r="326" spans="13:13" ht="14.25" customHeight="1" x14ac:dyDescent="0.3">
      <c r="M326" s="26"/>
    </row>
    <row r="327" spans="13:13" ht="14.25" customHeight="1" x14ac:dyDescent="0.3">
      <c r="M327" s="26"/>
    </row>
    <row r="328" spans="13:13" ht="14.25" customHeight="1" x14ac:dyDescent="0.3">
      <c r="M328" s="26"/>
    </row>
    <row r="329" spans="13:13" ht="14.25" customHeight="1" x14ac:dyDescent="0.3">
      <c r="M329" s="26"/>
    </row>
    <row r="330" spans="13:13" ht="14.25" customHeight="1" x14ac:dyDescent="0.3">
      <c r="M330" s="26"/>
    </row>
    <row r="331" spans="13:13" ht="14.25" customHeight="1" x14ac:dyDescent="0.3">
      <c r="M331" s="26"/>
    </row>
    <row r="332" spans="13:13" ht="14.25" customHeight="1" x14ac:dyDescent="0.3">
      <c r="M332" s="26"/>
    </row>
    <row r="333" spans="13:13" ht="14.25" customHeight="1" x14ac:dyDescent="0.3">
      <c r="M333" s="26"/>
    </row>
    <row r="334" spans="13:13" ht="14.25" customHeight="1" x14ac:dyDescent="0.3">
      <c r="M334" s="26"/>
    </row>
    <row r="335" spans="13:13" ht="14.25" customHeight="1" x14ac:dyDescent="0.3">
      <c r="M335" s="26"/>
    </row>
    <row r="336" spans="13:13" ht="14.25" customHeight="1" x14ac:dyDescent="0.3">
      <c r="M336" s="26"/>
    </row>
    <row r="337" spans="13:13" ht="14.25" customHeight="1" x14ac:dyDescent="0.3">
      <c r="M337" s="26"/>
    </row>
    <row r="338" spans="13:13" ht="14.25" customHeight="1" x14ac:dyDescent="0.3">
      <c r="M338" s="26"/>
    </row>
    <row r="339" spans="13:13" ht="14.25" customHeight="1" x14ac:dyDescent="0.3">
      <c r="M339" s="26"/>
    </row>
    <row r="340" spans="13:13" ht="14.25" customHeight="1" x14ac:dyDescent="0.3">
      <c r="M340" s="26"/>
    </row>
    <row r="341" spans="13:13" ht="14.25" customHeight="1" x14ac:dyDescent="0.3">
      <c r="M341" s="26"/>
    </row>
    <row r="342" spans="13:13" ht="14.25" customHeight="1" x14ac:dyDescent="0.3">
      <c r="M342" s="26"/>
    </row>
    <row r="343" spans="13:13" ht="14.25" customHeight="1" x14ac:dyDescent="0.3">
      <c r="M343" s="26"/>
    </row>
    <row r="344" spans="13:13" ht="14.25" customHeight="1" x14ac:dyDescent="0.3">
      <c r="M344" s="26"/>
    </row>
    <row r="345" spans="13:13" ht="14.25" customHeight="1" x14ac:dyDescent="0.3">
      <c r="M345" s="26"/>
    </row>
    <row r="346" spans="13:13" ht="14.25" customHeight="1" x14ac:dyDescent="0.3">
      <c r="M346" s="26"/>
    </row>
    <row r="347" spans="13:13" ht="14.25" customHeight="1" x14ac:dyDescent="0.3">
      <c r="M347" s="26"/>
    </row>
    <row r="348" spans="13:13" ht="14.25" customHeight="1" x14ac:dyDescent="0.3">
      <c r="M348" s="26"/>
    </row>
    <row r="349" spans="13:13" ht="14.25" customHeight="1" x14ac:dyDescent="0.3">
      <c r="M349" s="26"/>
    </row>
    <row r="350" spans="13:13" ht="14.25" customHeight="1" x14ac:dyDescent="0.3">
      <c r="M350" s="26"/>
    </row>
    <row r="351" spans="13:13" ht="14.25" customHeight="1" x14ac:dyDescent="0.3">
      <c r="M351" s="26"/>
    </row>
    <row r="352" spans="13:13" ht="14.25" customHeight="1" x14ac:dyDescent="0.3">
      <c r="M352" s="26"/>
    </row>
    <row r="353" spans="13:13" ht="14.25" customHeight="1" x14ac:dyDescent="0.3">
      <c r="M353" s="26"/>
    </row>
    <row r="354" spans="13:13" ht="14.25" customHeight="1" x14ac:dyDescent="0.3">
      <c r="M354" s="26"/>
    </row>
    <row r="355" spans="13:13" ht="14.25" customHeight="1" x14ac:dyDescent="0.3">
      <c r="M355" s="26"/>
    </row>
    <row r="356" spans="13:13" ht="14.25" customHeight="1" x14ac:dyDescent="0.3">
      <c r="M356" s="26"/>
    </row>
    <row r="357" spans="13:13" ht="14.25" customHeight="1" x14ac:dyDescent="0.3">
      <c r="M357" s="26"/>
    </row>
    <row r="358" spans="13:13" ht="14.25" customHeight="1" x14ac:dyDescent="0.3">
      <c r="M358" s="26"/>
    </row>
    <row r="359" spans="13:13" ht="14.25" customHeight="1" x14ac:dyDescent="0.3">
      <c r="M359" s="26"/>
    </row>
    <row r="360" spans="13:13" ht="14.25" customHeight="1" x14ac:dyDescent="0.3">
      <c r="M360" s="26"/>
    </row>
    <row r="361" spans="13:13" ht="14.25" customHeight="1" x14ac:dyDescent="0.3">
      <c r="M361" s="26"/>
    </row>
    <row r="362" spans="13:13" ht="14.25" customHeight="1" x14ac:dyDescent="0.3">
      <c r="M362" s="26"/>
    </row>
    <row r="363" spans="13:13" ht="14.25" customHeight="1" x14ac:dyDescent="0.3">
      <c r="M363" s="26"/>
    </row>
    <row r="364" spans="13:13" ht="14.25" customHeight="1" x14ac:dyDescent="0.3">
      <c r="M364" s="26"/>
    </row>
    <row r="365" spans="13:13" ht="14.25" customHeight="1" x14ac:dyDescent="0.3">
      <c r="M365" s="26"/>
    </row>
    <row r="366" spans="13:13" ht="14.25" customHeight="1" x14ac:dyDescent="0.3">
      <c r="M366" s="26"/>
    </row>
    <row r="367" spans="13:13" ht="14.25" customHeight="1" x14ac:dyDescent="0.3">
      <c r="M367" s="26"/>
    </row>
    <row r="368" spans="13:13" ht="14.25" customHeight="1" x14ac:dyDescent="0.3">
      <c r="M368" s="26"/>
    </row>
    <row r="369" spans="13:13" ht="14.25" customHeight="1" x14ac:dyDescent="0.3">
      <c r="M369" s="26"/>
    </row>
    <row r="370" spans="13:13" ht="14.25" customHeight="1" x14ac:dyDescent="0.3">
      <c r="M370" s="26"/>
    </row>
    <row r="371" spans="13:13" ht="14.25" customHeight="1" x14ac:dyDescent="0.3">
      <c r="M371" s="26"/>
    </row>
    <row r="372" spans="13:13" ht="14.25" customHeight="1" x14ac:dyDescent="0.3">
      <c r="M372" s="26"/>
    </row>
    <row r="373" spans="13:13" ht="14.25" customHeight="1" x14ac:dyDescent="0.3">
      <c r="M373" s="26"/>
    </row>
    <row r="374" spans="13:13" ht="14.25" customHeight="1" x14ac:dyDescent="0.3">
      <c r="M374" s="26"/>
    </row>
    <row r="375" spans="13:13" ht="14.25" customHeight="1" x14ac:dyDescent="0.3">
      <c r="M375" s="26"/>
    </row>
    <row r="376" spans="13:13" ht="14.25" customHeight="1" x14ac:dyDescent="0.3">
      <c r="M376" s="26"/>
    </row>
    <row r="377" spans="13:13" ht="14.25" customHeight="1" x14ac:dyDescent="0.3">
      <c r="M377" s="26"/>
    </row>
    <row r="378" spans="13:13" ht="14.25" customHeight="1" x14ac:dyDescent="0.3">
      <c r="M378" s="26"/>
    </row>
    <row r="379" spans="13:13" ht="14.25" customHeight="1" x14ac:dyDescent="0.3">
      <c r="M379" s="26"/>
    </row>
    <row r="380" spans="13:13" ht="14.25" customHeight="1" x14ac:dyDescent="0.3">
      <c r="M380" s="26"/>
    </row>
    <row r="381" spans="13:13" ht="14.25" customHeight="1" x14ac:dyDescent="0.3">
      <c r="M381" s="26"/>
    </row>
    <row r="382" spans="13:13" ht="14.25" customHeight="1" x14ac:dyDescent="0.3">
      <c r="M382" s="26"/>
    </row>
    <row r="383" spans="13:13" ht="14.25" customHeight="1" x14ac:dyDescent="0.3">
      <c r="M383" s="26"/>
    </row>
    <row r="384" spans="13:13" ht="14.25" customHeight="1" x14ac:dyDescent="0.3">
      <c r="M384" s="26"/>
    </row>
    <row r="385" spans="13:13" ht="14.25" customHeight="1" x14ac:dyDescent="0.3">
      <c r="M385" s="26"/>
    </row>
    <row r="386" spans="13:13" ht="14.25" customHeight="1" x14ac:dyDescent="0.3">
      <c r="M386" s="26"/>
    </row>
    <row r="387" spans="13:13" ht="14.25" customHeight="1" x14ac:dyDescent="0.3">
      <c r="M387" s="26"/>
    </row>
    <row r="388" spans="13:13" ht="14.25" customHeight="1" x14ac:dyDescent="0.3">
      <c r="M388" s="26"/>
    </row>
    <row r="389" spans="13:13" ht="14.25" customHeight="1" x14ac:dyDescent="0.3">
      <c r="M389" s="26"/>
    </row>
    <row r="390" spans="13:13" ht="14.25" customHeight="1" x14ac:dyDescent="0.3">
      <c r="M390" s="26"/>
    </row>
    <row r="391" spans="13:13" ht="14.25" customHeight="1" x14ac:dyDescent="0.3">
      <c r="M391" s="26"/>
    </row>
    <row r="392" spans="13:13" ht="14.25" customHeight="1" x14ac:dyDescent="0.3">
      <c r="M392" s="26"/>
    </row>
    <row r="393" spans="13:13" ht="14.25" customHeight="1" x14ac:dyDescent="0.3">
      <c r="M393" s="26"/>
    </row>
    <row r="394" spans="13:13" ht="14.25" customHeight="1" x14ac:dyDescent="0.3">
      <c r="M394" s="26"/>
    </row>
    <row r="395" spans="13:13" ht="14.25" customHeight="1" x14ac:dyDescent="0.3">
      <c r="M395" s="26"/>
    </row>
    <row r="396" spans="13:13" ht="14.25" customHeight="1" x14ac:dyDescent="0.3">
      <c r="M396" s="26"/>
    </row>
    <row r="397" spans="13:13" ht="14.25" customHeight="1" x14ac:dyDescent="0.3">
      <c r="M397" s="26"/>
    </row>
    <row r="398" spans="13:13" ht="14.25" customHeight="1" x14ac:dyDescent="0.3">
      <c r="M398" s="26"/>
    </row>
    <row r="399" spans="13:13" ht="14.25" customHeight="1" x14ac:dyDescent="0.3">
      <c r="M399" s="26"/>
    </row>
    <row r="400" spans="13:13" ht="14.25" customHeight="1" x14ac:dyDescent="0.3">
      <c r="M400" s="26"/>
    </row>
    <row r="401" spans="13:13" ht="14.25" customHeight="1" x14ac:dyDescent="0.3">
      <c r="M401" s="26"/>
    </row>
    <row r="402" spans="13:13" ht="14.25" customHeight="1" x14ac:dyDescent="0.3">
      <c r="M402" s="26"/>
    </row>
    <row r="403" spans="13:13" ht="14.25" customHeight="1" x14ac:dyDescent="0.3">
      <c r="M403" s="26"/>
    </row>
    <row r="404" spans="13:13" ht="14.25" customHeight="1" x14ac:dyDescent="0.3">
      <c r="M404" s="26"/>
    </row>
    <row r="405" spans="13:13" ht="14.25" customHeight="1" x14ac:dyDescent="0.3">
      <c r="M405" s="26"/>
    </row>
    <row r="406" spans="13:13" ht="14.25" customHeight="1" x14ac:dyDescent="0.3">
      <c r="M406" s="26"/>
    </row>
    <row r="407" spans="13:13" ht="14.25" customHeight="1" x14ac:dyDescent="0.3">
      <c r="M407" s="26"/>
    </row>
    <row r="408" spans="13:13" ht="14.25" customHeight="1" x14ac:dyDescent="0.3">
      <c r="M408" s="26"/>
    </row>
    <row r="409" spans="13:13" ht="14.25" customHeight="1" x14ac:dyDescent="0.3">
      <c r="M409" s="26"/>
    </row>
    <row r="410" spans="13:13" ht="14.25" customHeight="1" x14ac:dyDescent="0.3">
      <c r="M410" s="26"/>
    </row>
    <row r="411" spans="13:13" ht="14.25" customHeight="1" x14ac:dyDescent="0.3">
      <c r="M411" s="26"/>
    </row>
    <row r="412" spans="13:13" ht="14.25" customHeight="1" x14ac:dyDescent="0.3">
      <c r="M412" s="26"/>
    </row>
    <row r="413" spans="13:13" ht="14.25" customHeight="1" x14ac:dyDescent="0.3">
      <c r="M413" s="26"/>
    </row>
    <row r="414" spans="13:13" ht="14.25" customHeight="1" x14ac:dyDescent="0.3">
      <c r="M414" s="26"/>
    </row>
    <row r="415" spans="13:13" ht="14.25" customHeight="1" x14ac:dyDescent="0.3">
      <c r="M415" s="26"/>
    </row>
    <row r="416" spans="13:13" ht="14.25" customHeight="1" x14ac:dyDescent="0.3">
      <c r="M416" s="26"/>
    </row>
    <row r="417" spans="13:13" ht="14.25" customHeight="1" x14ac:dyDescent="0.3">
      <c r="M417" s="26"/>
    </row>
    <row r="418" spans="13:13" ht="14.25" customHeight="1" x14ac:dyDescent="0.3">
      <c r="M418" s="26"/>
    </row>
    <row r="419" spans="13:13" ht="14.25" customHeight="1" x14ac:dyDescent="0.3">
      <c r="M419" s="26"/>
    </row>
    <row r="420" spans="13:13" ht="14.25" customHeight="1" x14ac:dyDescent="0.3">
      <c r="M420" s="26"/>
    </row>
    <row r="421" spans="13:13" ht="14.25" customHeight="1" x14ac:dyDescent="0.3">
      <c r="M421" s="26"/>
    </row>
    <row r="422" spans="13:13" ht="14.25" customHeight="1" x14ac:dyDescent="0.3">
      <c r="M422" s="26"/>
    </row>
    <row r="423" spans="13:13" ht="14.25" customHeight="1" x14ac:dyDescent="0.3">
      <c r="M423" s="26"/>
    </row>
    <row r="424" spans="13:13" ht="14.25" customHeight="1" x14ac:dyDescent="0.3">
      <c r="M424" s="26"/>
    </row>
    <row r="425" spans="13:13" ht="14.25" customHeight="1" x14ac:dyDescent="0.3">
      <c r="M425" s="26"/>
    </row>
    <row r="426" spans="13:13" ht="14.25" customHeight="1" x14ac:dyDescent="0.3">
      <c r="M426" s="26"/>
    </row>
    <row r="427" spans="13:13" ht="14.25" customHeight="1" x14ac:dyDescent="0.3">
      <c r="M427" s="26"/>
    </row>
    <row r="428" spans="13:13" ht="14.25" customHeight="1" x14ac:dyDescent="0.3">
      <c r="M428" s="26"/>
    </row>
    <row r="429" spans="13:13" ht="14.25" customHeight="1" x14ac:dyDescent="0.3">
      <c r="M429" s="26"/>
    </row>
    <row r="430" spans="13:13" ht="14.25" customHeight="1" x14ac:dyDescent="0.3">
      <c r="M430" s="26"/>
    </row>
    <row r="431" spans="13:13" ht="14.25" customHeight="1" x14ac:dyDescent="0.3">
      <c r="M431" s="26"/>
    </row>
    <row r="432" spans="13:13" ht="14.25" customHeight="1" x14ac:dyDescent="0.3">
      <c r="M432" s="26"/>
    </row>
    <row r="433" spans="13:13" ht="14.25" customHeight="1" x14ac:dyDescent="0.3">
      <c r="M433" s="26"/>
    </row>
    <row r="434" spans="13:13" ht="14.25" customHeight="1" x14ac:dyDescent="0.3">
      <c r="M434" s="26"/>
    </row>
    <row r="435" spans="13:13" ht="14.25" customHeight="1" x14ac:dyDescent="0.3">
      <c r="M435" s="26"/>
    </row>
    <row r="436" spans="13:13" ht="14.25" customHeight="1" x14ac:dyDescent="0.3">
      <c r="M436" s="26"/>
    </row>
    <row r="437" spans="13:13" ht="14.25" customHeight="1" x14ac:dyDescent="0.3">
      <c r="M437" s="26"/>
    </row>
    <row r="438" spans="13:13" ht="14.25" customHeight="1" x14ac:dyDescent="0.3">
      <c r="M438" s="26"/>
    </row>
    <row r="439" spans="13:13" ht="14.25" customHeight="1" x14ac:dyDescent="0.3">
      <c r="M439" s="26"/>
    </row>
    <row r="440" spans="13:13" ht="14.25" customHeight="1" x14ac:dyDescent="0.3">
      <c r="M440" s="26"/>
    </row>
    <row r="441" spans="13:13" ht="14.25" customHeight="1" x14ac:dyDescent="0.3">
      <c r="M441" s="26"/>
    </row>
    <row r="442" spans="13:13" ht="14.25" customHeight="1" x14ac:dyDescent="0.3">
      <c r="M442" s="26"/>
    </row>
    <row r="443" spans="13:13" ht="14.25" customHeight="1" x14ac:dyDescent="0.3">
      <c r="M443" s="26"/>
    </row>
    <row r="444" spans="13:13" ht="14.25" customHeight="1" x14ac:dyDescent="0.3">
      <c r="M444" s="26"/>
    </row>
    <row r="445" spans="13:13" ht="14.25" customHeight="1" x14ac:dyDescent="0.3">
      <c r="M445" s="26"/>
    </row>
    <row r="446" spans="13:13" ht="14.25" customHeight="1" x14ac:dyDescent="0.3">
      <c r="M446" s="26"/>
    </row>
    <row r="447" spans="13:13" ht="14.25" customHeight="1" x14ac:dyDescent="0.3">
      <c r="M447" s="26"/>
    </row>
    <row r="448" spans="13:13" ht="14.25" customHeight="1" x14ac:dyDescent="0.3">
      <c r="M448" s="26"/>
    </row>
    <row r="449" spans="13:13" ht="14.25" customHeight="1" x14ac:dyDescent="0.3">
      <c r="M449" s="26"/>
    </row>
    <row r="450" spans="13:13" ht="14.25" customHeight="1" x14ac:dyDescent="0.3">
      <c r="M450" s="26"/>
    </row>
    <row r="451" spans="13:13" ht="14.25" customHeight="1" x14ac:dyDescent="0.3">
      <c r="M451" s="26"/>
    </row>
    <row r="452" spans="13:13" ht="14.25" customHeight="1" x14ac:dyDescent="0.3">
      <c r="M452" s="26"/>
    </row>
    <row r="453" spans="13:13" ht="14.25" customHeight="1" x14ac:dyDescent="0.3">
      <c r="M453" s="26"/>
    </row>
    <row r="454" spans="13:13" ht="14.25" customHeight="1" x14ac:dyDescent="0.3">
      <c r="M454" s="26"/>
    </row>
    <row r="455" spans="13:13" ht="14.25" customHeight="1" x14ac:dyDescent="0.3">
      <c r="M455" s="26"/>
    </row>
    <row r="456" spans="13:13" ht="14.25" customHeight="1" x14ac:dyDescent="0.3">
      <c r="M456" s="26"/>
    </row>
    <row r="457" spans="13:13" ht="14.25" customHeight="1" x14ac:dyDescent="0.3">
      <c r="M457" s="26"/>
    </row>
    <row r="458" spans="13:13" ht="14.25" customHeight="1" x14ac:dyDescent="0.3">
      <c r="M458" s="26"/>
    </row>
    <row r="459" spans="13:13" ht="14.25" customHeight="1" x14ac:dyDescent="0.3">
      <c r="M459" s="26"/>
    </row>
    <row r="460" spans="13:13" ht="14.25" customHeight="1" x14ac:dyDescent="0.3">
      <c r="M460" s="26"/>
    </row>
    <row r="461" spans="13:13" ht="14.25" customHeight="1" x14ac:dyDescent="0.3">
      <c r="M461" s="26"/>
    </row>
    <row r="462" spans="13:13" ht="14.25" customHeight="1" x14ac:dyDescent="0.3">
      <c r="M462" s="26"/>
    </row>
    <row r="463" spans="13:13" ht="14.25" customHeight="1" x14ac:dyDescent="0.3">
      <c r="M463" s="26"/>
    </row>
    <row r="464" spans="13:13" ht="14.25" customHeight="1" x14ac:dyDescent="0.3">
      <c r="M464" s="26"/>
    </row>
    <row r="465" spans="13:13" ht="14.25" customHeight="1" x14ac:dyDescent="0.3">
      <c r="M465" s="26"/>
    </row>
    <row r="466" spans="13:13" ht="14.25" customHeight="1" x14ac:dyDescent="0.3">
      <c r="M466" s="26"/>
    </row>
    <row r="467" spans="13:13" ht="14.25" customHeight="1" x14ac:dyDescent="0.3">
      <c r="M467" s="26"/>
    </row>
    <row r="468" spans="13:13" ht="14.25" customHeight="1" x14ac:dyDescent="0.3">
      <c r="M468" s="26"/>
    </row>
    <row r="469" spans="13:13" ht="14.25" customHeight="1" x14ac:dyDescent="0.3">
      <c r="M469" s="26"/>
    </row>
    <row r="470" spans="13:13" ht="14.25" customHeight="1" x14ac:dyDescent="0.3">
      <c r="M470" s="26"/>
    </row>
    <row r="471" spans="13:13" ht="14.25" customHeight="1" x14ac:dyDescent="0.3">
      <c r="M471" s="26"/>
    </row>
    <row r="472" spans="13:13" ht="14.25" customHeight="1" x14ac:dyDescent="0.3">
      <c r="M472" s="26"/>
    </row>
    <row r="473" spans="13:13" ht="14.25" customHeight="1" x14ac:dyDescent="0.3">
      <c r="M473" s="26"/>
    </row>
    <row r="474" spans="13:13" ht="14.25" customHeight="1" x14ac:dyDescent="0.3">
      <c r="M474" s="26"/>
    </row>
    <row r="475" spans="13:13" ht="14.25" customHeight="1" x14ac:dyDescent="0.3">
      <c r="M475" s="26"/>
    </row>
    <row r="476" spans="13:13" ht="14.25" customHeight="1" x14ac:dyDescent="0.3">
      <c r="M476" s="26"/>
    </row>
    <row r="477" spans="13:13" ht="14.25" customHeight="1" x14ac:dyDescent="0.3">
      <c r="M477" s="26"/>
    </row>
    <row r="478" spans="13:13" ht="14.25" customHeight="1" x14ac:dyDescent="0.3">
      <c r="M478" s="26"/>
    </row>
    <row r="479" spans="13:13" ht="14.25" customHeight="1" x14ac:dyDescent="0.3">
      <c r="M479" s="26"/>
    </row>
    <row r="480" spans="13:13" ht="14.25" customHeight="1" x14ac:dyDescent="0.3">
      <c r="M480" s="26"/>
    </row>
    <row r="481" spans="13:13" ht="14.25" customHeight="1" x14ac:dyDescent="0.3">
      <c r="M481" s="26"/>
    </row>
    <row r="482" spans="13:13" ht="14.25" customHeight="1" x14ac:dyDescent="0.3">
      <c r="M482" s="26"/>
    </row>
    <row r="483" spans="13:13" ht="14.25" customHeight="1" x14ac:dyDescent="0.3">
      <c r="M483" s="26"/>
    </row>
    <row r="484" spans="13:13" ht="14.25" customHeight="1" x14ac:dyDescent="0.3">
      <c r="M484" s="26"/>
    </row>
    <row r="485" spans="13:13" ht="14.25" customHeight="1" x14ac:dyDescent="0.3">
      <c r="M485" s="26"/>
    </row>
    <row r="486" spans="13:13" ht="14.25" customHeight="1" x14ac:dyDescent="0.3">
      <c r="M486" s="26"/>
    </row>
    <row r="487" spans="13:13" ht="14.25" customHeight="1" x14ac:dyDescent="0.3">
      <c r="M487" s="26"/>
    </row>
    <row r="488" spans="13:13" ht="14.25" customHeight="1" x14ac:dyDescent="0.3">
      <c r="M488" s="26"/>
    </row>
    <row r="489" spans="13:13" ht="14.25" customHeight="1" x14ac:dyDescent="0.3">
      <c r="M489" s="26"/>
    </row>
    <row r="490" spans="13:13" ht="14.25" customHeight="1" x14ac:dyDescent="0.3">
      <c r="M490" s="26"/>
    </row>
    <row r="491" spans="13:13" ht="14.25" customHeight="1" x14ac:dyDescent="0.3">
      <c r="M491" s="26"/>
    </row>
    <row r="492" spans="13:13" ht="14.25" customHeight="1" x14ac:dyDescent="0.3">
      <c r="M492" s="26"/>
    </row>
    <row r="493" spans="13:13" ht="14.25" customHeight="1" x14ac:dyDescent="0.3">
      <c r="M493" s="26"/>
    </row>
    <row r="494" spans="13:13" ht="14.25" customHeight="1" x14ac:dyDescent="0.3">
      <c r="M494" s="26"/>
    </row>
    <row r="495" spans="13:13" ht="14.25" customHeight="1" x14ac:dyDescent="0.3">
      <c r="M495" s="26"/>
    </row>
    <row r="496" spans="13:13" ht="14.25" customHeight="1" x14ac:dyDescent="0.3">
      <c r="M496" s="26"/>
    </row>
    <row r="497" spans="13:13" ht="14.25" customHeight="1" x14ac:dyDescent="0.3">
      <c r="M497" s="26"/>
    </row>
    <row r="498" spans="13:13" ht="14.25" customHeight="1" x14ac:dyDescent="0.3">
      <c r="M498" s="26"/>
    </row>
    <row r="499" spans="13:13" ht="14.25" customHeight="1" x14ac:dyDescent="0.3">
      <c r="M499" s="26"/>
    </row>
    <row r="500" spans="13:13" ht="14.25" customHeight="1" x14ac:dyDescent="0.3">
      <c r="M500" s="26"/>
    </row>
    <row r="501" spans="13:13" ht="14.25" customHeight="1" x14ac:dyDescent="0.3">
      <c r="M501" s="26"/>
    </row>
    <row r="502" spans="13:13" ht="14.25" customHeight="1" x14ac:dyDescent="0.3">
      <c r="M502" s="26"/>
    </row>
    <row r="503" spans="13:13" ht="14.25" customHeight="1" x14ac:dyDescent="0.3">
      <c r="M503" s="26"/>
    </row>
    <row r="504" spans="13:13" ht="14.25" customHeight="1" x14ac:dyDescent="0.3">
      <c r="M504" s="26"/>
    </row>
    <row r="505" spans="13:13" ht="14.25" customHeight="1" x14ac:dyDescent="0.3">
      <c r="M505" s="26"/>
    </row>
    <row r="506" spans="13:13" ht="14.25" customHeight="1" x14ac:dyDescent="0.3">
      <c r="M506" s="26"/>
    </row>
    <row r="507" spans="13:13" ht="14.25" customHeight="1" x14ac:dyDescent="0.3">
      <c r="M507" s="26"/>
    </row>
    <row r="508" spans="13:13" ht="14.25" customHeight="1" x14ac:dyDescent="0.3">
      <c r="M508" s="26"/>
    </row>
    <row r="509" spans="13:13" ht="14.25" customHeight="1" x14ac:dyDescent="0.3">
      <c r="M509" s="26"/>
    </row>
    <row r="510" spans="13:13" ht="14.25" customHeight="1" x14ac:dyDescent="0.3">
      <c r="M510" s="26"/>
    </row>
    <row r="511" spans="13:13" ht="14.25" customHeight="1" x14ac:dyDescent="0.3">
      <c r="M511" s="26"/>
    </row>
    <row r="512" spans="13:13" ht="14.25" customHeight="1" x14ac:dyDescent="0.3">
      <c r="M512" s="26"/>
    </row>
    <row r="513" spans="13:13" ht="14.25" customHeight="1" x14ac:dyDescent="0.3">
      <c r="M513" s="26"/>
    </row>
    <row r="514" spans="13:13" ht="14.25" customHeight="1" x14ac:dyDescent="0.3">
      <c r="M514" s="26"/>
    </row>
    <row r="515" spans="13:13" ht="14.25" customHeight="1" x14ac:dyDescent="0.3">
      <c r="M515" s="26"/>
    </row>
    <row r="516" spans="13:13" ht="14.25" customHeight="1" x14ac:dyDescent="0.3">
      <c r="M516" s="26"/>
    </row>
    <row r="517" spans="13:13" ht="14.25" customHeight="1" x14ac:dyDescent="0.3">
      <c r="M517" s="26"/>
    </row>
    <row r="518" spans="13:13" ht="14.25" customHeight="1" x14ac:dyDescent="0.3">
      <c r="M518" s="26"/>
    </row>
    <row r="519" spans="13:13" ht="14.25" customHeight="1" x14ac:dyDescent="0.3">
      <c r="M519" s="26"/>
    </row>
    <row r="520" spans="13:13" ht="14.25" customHeight="1" x14ac:dyDescent="0.3">
      <c r="M520" s="26"/>
    </row>
    <row r="521" spans="13:13" ht="14.25" customHeight="1" x14ac:dyDescent="0.3">
      <c r="M521" s="26"/>
    </row>
    <row r="522" spans="13:13" ht="14.25" customHeight="1" x14ac:dyDescent="0.3">
      <c r="M522" s="26"/>
    </row>
    <row r="523" spans="13:13" ht="14.25" customHeight="1" x14ac:dyDescent="0.3">
      <c r="M523" s="26"/>
    </row>
    <row r="524" spans="13:13" ht="14.25" customHeight="1" x14ac:dyDescent="0.3">
      <c r="M524" s="26"/>
    </row>
    <row r="525" spans="13:13" ht="14.25" customHeight="1" x14ac:dyDescent="0.3">
      <c r="M525" s="26"/>
    </row>
    <row r="526" spans="13:13" ht="14.25" customHeight="1" x14ac:dyDescent="0.3">
      <c r="M526" s="26"/>
    </row>
    <row r="527" spans="13:13" ht="14.25" customHeight="1" x14ac:dyDescent="0.3">
      <c r="M527" s="26"/>
    </row>
    <row r="528" spans="13:13" ht="14.25" customHeight="1" x14ac:dyDescent="0.3">
      <c r="M528" s="26"/>
    </row>
    <row r="529" spans="13:13" ht="14.25" customHeight="1" x14ac:dyDescent="0.3">
      <c r="M529" s="26"/>
    </row>
    <row r="530" spans="13:13" ht="14.25" customHeight="1" x14ac:dyDescent="0.3">
      <c r="M530" s="26"/>
    </row>
    <row r="531" spans="13:13" ht="14.25" customHeight="1" x14ac:dyDescent="0.3">
      <c r="M531" s="26"/>
    </row>
    <row r="532" spans="13:13" ht="14.25" customHeight="1" x14ac:dyDescent="0.3">
      <c r="M532" s="26"/>
    </row>
    <row r="533" spans="13:13" ht="14.25" customHeight="1" x14ac:dyDescent="0.3">
      <c r="M533" s="26"/>
    </row>
    <row r="534" spans="13:13" ht="14.25" customHeight="1" x14ac:dyDescent="0.3">
      <c r="M534" s="26"/>
    </row>
    <row r="535" spans="13:13" ht="14.25" customHeight="1" x14ac:dyDescent="0.3">
      <c r="M535" s="26"/>
    </row>
    <row r="536" spans="13:13" ht="14.25" customHeight="1" x14ac:dyDescent="0.3">
      <c r="M536" s="26"/>
    </row>
    <row r="537" spans="13:13" ht="14.25" customHeight="1" x14ac:dyDescent="0.3">
      <c r="M537" s="26"/>
    </row>
    <row r="538" spans="13:13" ht="14.25" customHeight="1" x14ac:dyDescent="0.3">
      <c r="M538" s="26"/>
    </row>
    <row r="539" spans="13:13" ht="14.25" customHeight="1" x14ac:dyDescent="0.3">
      <c r="M539" s="26"/>
    </row>
    <row r="540" spans="13:13" ht="14.25" customHeight="1" x14ac:dyDescent="0.3">
      <c r="M540" s="26"/>
    </row>
    <row r="541" spans="13:13" ht="14.25" customHeight="1" x14ac:dyDescent="0.3">
      <c r="M541" s="26"/>
    </row>
    <row r="542" spans="13:13" ht="14.25" customHeight="1" x14ac:dyDescent="0.3">
      <c r="M542" s="26"/>
    </row>
    <row r="543" spans="13:13" ht="14.25" customHeight="1" x14ac:dyDescent="0.3">
      <c r="M543" s="26"/>
    </row>
    <row r="544" spans="13:13" ht="14.25" customHeight="1" x14ac:dyDescent="0.3">
      <c r="M544" s="26"/>
    </row>
    <row r="545" spans="13:13" ht="14.25" customHeight="1" x14ac:dyDescent="0.3">
      <c r="M545" s="26"/>
    </row>
    <row r="546" spans="13:13" ht="14.25" customHeight="1" x14ac:dyDescent="0.3">
      <c r="M546" s="26"/>
    </row>
    <row r="547" spans="13:13" ht="14.25" customHeight="1" x14ac:dyDescent="0.3">
      <c r="M547" s="26"/>
    </row>
    <row r="548" spans="13:13" ht="14.25" customHeight="1" x14ac:dyDescent="0.3">
      <c r="M548" s="26"/>
    </row>
    <row r="549" spans="13:13" ht="14.25" customHeight="1" x14ac:dyDescent="0.3">
      <c r="M549" s="26"/>
    </row>
    <row r="550" spans="13:13" ht="14.25" customHeight="1" x14ac:dyDescent="0.3">
      <c r="M550" s="26"/>
    </row>
    <row r="551" spans="13:13" ht="14.25" customHeight="1" x14ac:dyDescent="0.3">
      <c r="M551" s="26"/>
    </row>
    <row r="552" spans="13:13" ht="14.25" customHeight="1" x14ac:dyDescent="0.3">
      <c r="M552" s="26"/>
    </row>
    <row r="553" spans="13:13" ht="14.25" customHeight="1" x14ac:dyDescent="0.3">
      <c r="M553" s="26"/>
    </row>
    <row r="554" spans="13:13" ht="14.25" customHeight="1" x14ac:dyDescent="0.3">
      <c r="M554" s="26"/>
    </row>
    <row r="555" spans="13:13" ht="14.25" customHeight="1" x14ac:dyDescent="0.3">
      <c r="M555" s="26"/>
    </row>
    <row r="556" spans="13:13" ht="14.25" customHeight="1" x14ac:dyDescent="0.3">
      <c r="M556" s="26"/>
    </row>
    <row r="557" spans="13:13" ht="14.25" customHeight="1" x14ac:dyDescent="0.3">
      <c r="M557" s="26"/>
    </row>
    <row r="558" spans="13:13" ht="14.25" customHeight="1" x14ac:dyDescent="0.3">
      <c r="M558" s="26"/>
    </row>
    <row r="559" spans="13:13" ht="14.25" customHeight="1" x14ac:dyDescent="0.3">
      <c r="M559" s="26"/>
    </row>
    <row r="560" spans="13:13" ht="14.25" customHeight="1" x14ac:dyDescent="0.3">
      <c r="M560" s="26"/>
    </row>
    <row r="561" spans="13:13" ht="14.25" customHeight="1" x14ac:dyDescent="0.3">
      <c r="M561" s="26"/>
    </row>
    <row r="562" spans="13:13" ht="14.25" customHeight="1" x14ac:dyDescent="0.3">
      <c r="M562" s="26"/>
    </row>
    <row r="563" spans="13:13" ht="14.25" customHeight="1" x14ac:dyDescent="0.3">
      <c r="M563" s="26"/>
    </row>
    <row r="564" spans="13:13" ht="14.25" customHeight="1" x14ac:dyDescent="0.3">
      <c r="M564" s="26"/>
    </row>
    <row r="565" spans="13:13" ht="14.25" customHeight="1" x14ac:dyDescent="0.3">
      <c r="M565" s="26"/>
    </row>
    <row r="566" spans="13:13" ht="14.25" customHeight="1" x14ac:dyDescent="0.3">
      <c r="M566" s="26"/>
    </row>
    <row r="567" spans="13:13" ht="14.25" customHeight="1" x14ac:dyDescent="0.3">
      <c r="M567" s="26"/>
    </row>
    <row r="568" spans="13:13" ht="14.25" customHeight="1" x14ac:dyDescent="0.3">
      <c r="M568" s="26"/>
    </row>
    <row r="569" spans="13:13" ht="14.25" customHeight="1" x14ac:dyDescent="0.3">
      <c r="M569" s="26"/>
    </row>
    <row r="570" spans="13:13" ht="14.25" customHeight="1" x14ac:dyDescent="0.3">
      <c r="M570" s="26"/>
    </row>
    <row r="571" spans="13:13" ht="14.25" customHeight="1" x14ac:dyDescent="0.3">
      <c r="M571" s="26"/>
    </row>
    <row r="572" spans="13:13" ht="14.25" customHeight="1" x14ac:dyDescent="0.3">
      <c r="M572" s="26"/>
    </row>
    <row r="573" spans="13:13" ht="14.25" customHeight="1" x14ac:dyDescent="0.3">
      <c r="M573" s="26"/>
    </row>
    <row r="574" spans="13:13" ht="14.25" customHeight="1" x14ac:dyDescent="0.3">
      <c r="M574" s="26"/>
    </row>
    <row r="575" spans="13:13" ht="14.25" customHeight="1" x14ac:dyDescent="0.3">
      <c r="M575" s="26"/>
    </row>
    <row r="576" spans="13:13" ht="14.25" customHeight="1" x14ac:dyDescent="0.3">
      <c r="M576" s="26"/>
    </row>
    <row r="577" spans="13:13" ht="14.25" customHeight="1" x14ac:dyDescent="0.3">
      <c r="M577" s="26"/>
    </row>
    <row r="578" spans="13:13" ht="14.25" customHeight="1" x14ac:dyDescent="0.3">
      <c r="M578" s="26"/>
    </row>
    <row r="579" spans="13:13" ht="14.25" customHeight="1" x14ac:dyDescent="0.3">
      <c r="M579" s="26"/>
    </row>
    <row r="580" spans="13:13" ht="14.25" customHeight="1" x14ac:dyDescent="0.3">
      <c r="M580" s="26"/>
    </row>
    <row r="581" spans="13:13" ht="14.25" customHeight="1" x14ac:dyDescent="0.3">
      <c r="M581" s="26"/>
    </row>
    <row r="582" spans="13:13" ht="14.25" customHeight="1" x14ac:dyDescent="0.3">
      <c r="M582" s="26"/>
    </row>
    <row r="583" spans="13:13" ht="14.25" customHeight="1" x14ac:dyDescent="0.3">
      <c r="M583" s="26"/>
    </row>
    <row r="584" spans="13:13" ht="14.25" customHeight="1" x14ac:dyDescent="0.3">
      <c r="M584" s="26"/>
    </row>
    <row r="585" spans="13:13" ht="14.25" customHeight="1" x14ac:dyDescent="0.3">
      <c r="M585" s="26"/>
    </row>
    <row r="586" spans="13:13" ht="14.25" customHeight="1" x14ac:dyDescent="0.3">
      <c r="M586" s="26"/>
    </row>
    <row r="587" spans="13:13" ht="14.25" customHeight="1" x14ac:dyDescent="0.3">
      <c r="M587" s="26"/>
    </row>
    <row r="588" spans="13:13" ht="14.25" customHeight="1" x14ac:dyDescent="0.3">
      <c r="M588" s="26"/>
    </row>
    <row r="589" spans="13:13" ht="14.25" customHeight="1" x14ac:dyDescent="0.3">
      <c r="M589" s="26"/>
    </row>
    <row r="590" spans="13:13" ht="14.25" customHeight="1" x14ac:dyDescent="0.3">
      <c r="M590" s="26"/>
    </row>
    <row r="591" spans="13:13" ht="14.25" customHeight="1" x14ac:dyDescent="0.3">
      <c r="M591" s="26"/>
    </row>
    <row r="592" spans="13:13" ht="14.25" customHeight="1" x14ac:dyDescent="0.3">
      <c r="M592" s="26"/>
    </row>
    <row r="593" spans="13:13" ht="14.25" customHeight="1" x14ac:dyDescent="0.3">
      <c r="M593" s="26"/>
    </row>
    <row r="594" spans="13:13" ht="14.25" customHeight="1" x14ac:dyDescent="0.3">
      <c r="M594" s="26"/>
    </row>
    <row r="595" spans="13:13" ht="14.25" customHeight="1" x14ac:dyDescent="0.3">
      <c r="M595" s="26"/>
    </row>
    <row r="596" spans="13:13" ht="14.25" customHeight="1" x14ac:dyDescent="0.3">
      <c r="M596" s="26"/>
    </row>
    <row r="597" spans="13:13" ht="14.25" customHeight="1" x14ac:dyDescent="0.3">
      <c r="M597" s="26"/>
    </row>
    <row r="598" spans="13:13" ht="14.25" customHeight="1" x14ac:dyDescent="0.3">
      <c r="M598" s="26"/>
    </row>
    <row r="599" spans="13:13" ht="14.25" customHeight="1" x14ac:dyDescent="0.3">
      <c r="M599" s="26"/>
    </row>
    <row r="600" spans="13:13" ht="14.25" customHeight="1" x14ac:dyDescent="0.3">
      <c r="M600" s="26"/>
    </row>
    <row r="601" spans="13:13" ht="14.25" customHeight="1" x14ac:dyDescent="0.3">
      <c r="M601" s="26"/>
    </row>
    <row r="602" spans="13:13" ht="14.25" customHeight="1" x14ac:dyDescent="0.3">
      <c r="M602" s="26"/>
    </row>
    <row r="603" spans="13:13" ht="14.25" customHeight="1" x14ac:dyDescent="0.3">
      <c r="M603" s="26"/>
    </row>
    <row r="604" spans="13:13" ht="14.25" customHeight="1" x14ac:dyDescent="0.3">
      <c r="M604" s="26"/>
    </row>
    <row r="605" spans="13:13" ht="14.25" customHeight="1" x14ac:dyDescent="0.3">
      <c r="M605" s="26"/>
    </row>
    <row r="606" spans="13:13" ht="14.25" customHeight="1" x14ac:dyDescent="0.3">
      <c r="M606" s="26"/>
    </row>
    <row r="607" spans="13:13" ht="14.25" customHeight="1" x14ac:dyDescent="0.3">
      <c r="M607" s="26"/>
    </row>
    <row r="608" spans="13:13" ht="14.25" customHeight="1" x14ac:dyDescent="0.3">
      <c r="M608" s="26"/>
    </row>
    <row r="609" spans="13:13" ht="14.25" customHeight="1" x14ac:dyDescent="0.3">
      <c r="M609" s="26"/>
    </row>
    <row r="610" spans="13:13" ht="14.25" customHeight="1" x14ac:dyDescent="0.3">
      <c r="M610" s="26"/>
    </row>
    <row r="611" spans="13:13" ht="14.25" customHeight="1" x14ac:dyDescent="0.3">
      <c r="M611" s="26"/>
    </row>
    <row r="612" spans="13:13" ht="14.25" customHeight="1" x14ac:dyDescent="0.3">
      <c r="M612" s="26"/>
    </row>
    <row r="613" spans="13:13" ht="14.25" customHeight="1" x14ac:dyDescent="0.3">
      <c r="M613" s="26"/>
    </row>
    <row r="614" spans="13:13" ht="14.25" customHeight="1" x14ac:dyDescent="0.3">
      <c r="M614" s="26"/>
    </row>
    <row r="615" spans="13:13" ht="14.25" customHeight="1" x14ac:dyDescent="0.3">
      <c r="M615" s="26"/>
    </row>
    <row r="616" spans="13:13" ht="14.25" customHeight="1" x14ac:dyDescent="0.3">
      <c r="M616" s="26"/>
    </row>
    <row r="617" spans="13:13" ht="14.25" customHeight="1" x14ac:dyDescent="0.3">
      <c r="M617" s="26"/>
    </row>
    <row r="618" spans="13:13" ht="14.25" customHeight="1" x14ac:dyDescent="0.3">
      <c r="M618" s="26"/>
    </row>
    <row r="619" spans="13:13" ht="14.25" customHeight="1" x14ac:dyDescent="0.3">
      <c r="M619" s="26"/>
    </row>
    <row r="620" spans="13:13" ht="14.25" customHeight="1" x14ac:dyDescent="0.3">
      <c r="M620" s="26"/>
    </row>
    <row r="621" spans="13:13" ht="14.25" customHeight="1" x14ac:dyDescent="0.3">
      <c r="M621" s="26"/>
    </row>
    <row r="622" spans="13:13" ht="14.25" customHeight="1" x14ac:dyDescent="0.3">
      <c r="M622" s="26"/>
    </row>
    <row r="623" spans="13:13" ht="14.25" customHeight="1" x14ac:dyDescent="0.3">
      <c r="M623" s="26"/>
    </row>
    <row r="624" spans="13:13" ht="14.25" customHeight="1" x14ac:dyDescent="0.3">
      <c r="M624" s="26"/>
    </row>
    <row r="625" spans="13:13" ht="14.25" customHeight="1" x14ac:dyDescent="0.3">
      <c r="M625" s="26"/>
    </row>
    <row r="626" spans="13:13" ht="14.25" customHeight="1" x14ac:dyDescent="0.3">
      <c r="M626" s="26"/>
    </row>
    <row r="627" spans="13:13" ht="14.25" customHeight="1" x14ac:dyDescent="0.3">
      <c r="M627" s="26"/>
    </row>
    <row r="628" spans="13:13" ht="14.25" customHeight="1" x14ac:dyDescent="0.3">
      <c r="M628" s="26"/>
    </row>
    <row r="629" spans="13:13" ht="14.25" customHeight="1" x14ac:dyDescent="0.3">
      <c r="M629" s="26"/>
    </row>
    <row r="630" spans="13:13" ht="14.25" customHeight="1" x14ac:dyDescent="0.3">
      <c r="M630" s="26"/>
    </row>
    <row r="631" spans="13:13" ht="14.25" customHeight="1" x14ac:dyDescent="0.3">
      <c r="M631" s="26"/>
    </row>
    <row r="632" spans="13:13" ht="14.25" customHeight="1" x14ac:dyDescent="0.3">
      <c r="M632" s="26"/>
    </row>
    <row r="633" spans="13:13" ht="14.25" customHeight="1" x14ac:dyDescent="0.3">
      <c r="M633" s="26"/>
    </row>
    <row r="634" spans="13:13" ht="14.25" customHeight="1" x14ac:dyDescent="0.3">
      <c r="M634" s="26"/>
    </row>
    <row r="635" spans="13:13" ht="14.25" customHeight="1" x14ac:dyDescent="0.3">
      <c r="M635" s="26"/>
    </row>
    <row r="636" spans="13:13" ht="14.25" customHeight="1" x14ac:dyDescent="0.3">
      <c r="M636" s="26"/>
    </row>
    <row r="637" spans="13:13" ht="14.25" customHeight="1" x14ac:dyDescent="0.3">
      <c r="M637" s="26"/>
    </row>
    <row r="638" spans="13:13" ht="14.25" customHeight="1" x14ac:dyDescent="0.3">
      <c r="M638" s="26"/>
    </row>
    <row r="639" spans="13:13" ht="14.25" customHeight="1" x14ac:dyDescent="0.3">
      <c r="M639" s="26"/>
    </row>
    <row r="640" spans="13:13" ht="14.25" customHeight="1" x14ac:dyDescent="0.3">
      <c r="M640" s="26"/>
    </row>
    <row r="641" spans="13:13" ht="14.25" customHeight="1" x14ac:dyDescent="0.3">
      <c r="M641" s="26"/>
    </row>
    <row r="642" spans="13:13" ht="14.25" customHeight="1" x14ac:dyDescent="0.3">
      <c r="M642" s="26"/>
    </row>
    <row r="643" spans="13:13" ht="14.25" customHeight="1" x14ac:dyDescent="0.3">
      <c r="M643" s="26"/>
    </row>
    <row r="644" spans="13:13" ht="14.25" customHeight="1" x14ac:dyDescent="0.3">
      <c r="M644" s="26"/>
    </row>
    <row r="645" spans="13:13" ht="14.25" customHeight="1" x14ac:dyDescent="0.3">
      <c r="M645" s="26"/>
    </row>
    <row r="646" spans="13:13" ht="14.25" customHeight="1" x14ac:dyDescent="0.3">
      <c r="M646" s="26"/>
    </row>
    <row r="647" spans="13:13" ht="14.25" customHeight="1" x14ac:dyDescent="0.3">
      <c r="M647" s="26"/>
    </row>
    <row r="648" spans="13:13" ht="14.25" customHeight="1" x14ac:dyDescent="0.3">
      <c r="M648" s="26"/>
    </row>
    <row r="649" spans="13:13" ht="14.25" customHeight="1" x14ac:dyDescent="0.3">
      <c r="M649" s="26"/>
    </row>
    <row r="650" spans="13:13" ht="14.25" customHeight="1" x14ac:dyDescent="0.3">
      <c r="M650" s="26"/>
    </row>
    <row r="651" spans="13:13" ht="14.25" customHeight="1" x14ac:dyDescent="0.3">
      <c r="M651" s="26"/>
    </row>
    <row r="652" spans="13:13" ht="14.25" customHeight="1" x14ac:dyDescent="0.3">
      <c r="M652" s="26"/>
    </row>
    <row r="653" spans="13:13" ht="14.25" customHeight="1" x14ac:dyDescent="0.3">
      <c r="M653" s="26"/>
    </row>
    <row r="654" spans="13:13" ht="14.25" customHeight="1" x14ac:dyDescent="0.3">
      <c r="M654" s="26"/>
    </row>
    <row r="655" spans="13:13" ht="14.25" customHeight="1" x14ac:dyDescent="0.3">
      <c r="M655" s="26"/>
    </row>
    <row r="656" spans="13:13" ht="14.25" customHeight="1" x14ac:dyDescent="0.3">
      <c r="M656" s="26"/>
    </row>
    <row r="657" spans="13:13" ht="14.25" customHeight="1" x14ac:dyDescent="0.3">
      <c r="M657" s="26"/>
    </row>
    <row r="658" spans="13:13" ht="14.25" customHeight="1" x14ac:dyDescent="0.3">
      <c r="M658" s="26"/>
    </row>
    <row r="659" spans="13:13" ht="14.25" customHeight="1" x14ac:dyDescent="0.3">
      <c r="M659" s="26"/>
    </row>
    <row r="660" spans="13:13" ht="14.25" customHeight="1" x14ac:dyDescent="0.3">
      <c r="M660" s="26"/>
    </row>
    <row r="661" spans="13:13" ht="14.25" customHeight="1" x14ac:dyDescent="0.3">
      <c r="M661" s="26"/>
    </row>
    <row r="662" spans="13:13" ht="14.25" customHeight="1" x14ac:dyDescent="0.3">
      <c r="M662" s="26"/>
    </row>
    <row r="663" spans="13:13" ht="14.25" customHeight="1" x14ac:dyDescent="0.3">
      <c r="M663" s="26"/>
    </row>
    <row r="664" spans="13:13" ht="14.25" customHeight="1" x14ac:dyDescent="0.3">
      <c r="M664" s="26"/>
    </row>
    <row r="665" spans="13:13" ht="14.25" customHeight="1" x14ac:dyDescent="0.3">
      <c r="M665" s="26"/>
    </row>
    <row r="666" spans="13:13" ht="14.25" customHeight="1" x14ac:dyDescent="0.3">
      <c r="M666" s="26"/>
    </row>
    <row r="667" spans="13:13" ht="14.25" customHeight="1" x14ac:dyDescent="0.3">
      <c r="M667" s="26"/>
    </row>
    <row r="668" spans="13:13" ht="14.25" customHeight="1" x14ac:dyDescent="0.3">
      <c r="M668" s="26"/>
    </row>
    <row r="669" spans="13:13" ht="14.25" customHeight="1" x14ac:dyDescent="0.3">
      <c r="M669" s="26"/>
    </row>
    <row r="670" spans="13:13" ht="14.25" customHeight="1" x14ac:dyDescent="0.3">
      <c r="M670" s="26"/>
    </row>
    <row r="671" spans="13:13" ht="14.25" customHeight="1" x14ac:dyDescent="0.3">
      <c r="M671" s="26"/>
    </row>
    <row r="672" spans="13:13" ht="14.25" customHeight="1" x14ac:dyDescent="0.3">
      <c r="M672" s="26"/>
    </row>
    <row r="673" spans="13:13" ht="14.25" customHeight="1" x14ac:dyDescent="0.3">
      <c r="M673" s="26"/>
    </row>
    <row r="674" spans="13:13" ht="14.25" customHeight="1" x14ac:dyDescent="0.3">
      <c r="M674" s="26"/>
    </row>
    <row r="675" spans="13:13" ht="14.25" customHeight="1" x14ac:dyDescent="0.3">
      <c r="M675" s="26"/>
    </row>
    <row r="676" spans="13:13" ht="14.25" customHeight="1" x14ac:dyDescent="0.3">
      <c r="M676" s="26"/>
    </row>
    <row r="677" spans="13:13" ht="14.25" customHeight="1" x14ac:dyDescent="0.3">
      <c r="M677" s="26"/>
    </row>
    <row r="678" spans="13:13" ht="14.25" customHeight="1" x14ac:dyDescent="0.3">
      <c r="M678" s="26"/>
    </row>
    <row r="679" spans="13:13" ht="14.25" customHeight="1" x14ac:dyDescent="0.3">
      <c r="M679" s="26"/>
    </row>
    <row r="680" spans="13:13" ht="14.25" customHeight="1" x14ac:dyDescent="0.3">
      <c r="M680" s="26"/>
    </row>
    <row r="681" spans="13:13" ht="14.25" customHeight="1" x14ac:dyDescent="0.3">
      <c r="M681" s="26"/>
    </row>
    <row r="682" spans="13:13" ht="14.25" customHeight="1" x14ac:dyDescent="0.3">
      <c r="M682" s="26"/>
    </row>
    <row r="683" spans="13:13" ht="14.25" customHeight="1" x14ac:dyDescent="0.3">
      <c r="M683" s="26"/>
    </row>
    <row r="684" spans="13:13" ht="14.25" customHeight="1" x14ac:dyDescent="0.3">
      <c r="M684" s="26"/>
    </row>
    <row r="685" spans="13:13" ht="14.25" customHeight="1" x14ac:dyDescent="0.3">
      <c r="M685" s="26"/>
    </row>
    <row r="686" spans="13:13" ht="14.25" customHeight="1" x14ac:dyDescent="0.3">
      <c r="M686" s="26"/>
    </row>
    <row r="687" spans="13:13" ht="14.25" customHeight="1" x14ac:dyDescent="0.3">
      <c r="M687" s="26"/>
    </row>
    <row r="688" spans="13:13" ht="14.25" customHeight="1" x14ac:dyDescent="0.3">
      <c r="M688" s="26"/>
    </row>
    <row r="689" spans="13:13" ht="14.25" customHeight="1" x14ac:dyDescent="0.3">
      <c r="M689" s="26"/>
    </row>
    <row r="690" spans="13:13" ht="14.25" customHeight="1" x14ac:dyDescent="0.3">
      <c r="M690" s="26"/>
    </row>
    <row r="691" spans="13:13" ht="14.25" customHeight="1" x14ac:dyDescent="0.3">
      <c r="M691" s="26"/>
    </row>
    <row r="692" spans="13:13" ht="14.25" customHeight="1" x14ac:dyDescent="0.3">
      <c r="M692" s="26"/>
    </row>
    <row r="693" spans="13:13" ht="14.25" customHeight="1" x14ac:dyDescent="0.3">
      <c r="M693" s="26"/>
    </row>
    <row r="694" spans="13:13" ht="14.25" customHeight="1" x14ac:dyDescent="0.3">
      <c r="M694" s="26"/>
    </row>
    <row r="695" spans="13:13" ht="14.25" customHeight="1" x14ac:dyDescent="0.3">
      <c r="M695" s="26"/>
    </row>
    <row r="696" spans="13:13" ht="14.25" customHeight="1" x14ac:dyDescent="0.3">
      <c r="M696" s="26"/>
    </row>
    <row r="697" spans="13:13" ht="14.25" customHeight="1" x14ac:dyDescent="0.3">
      <c r="M697" s="26"/>
    </row>
    <row r="698" spans="13:13" ht="14.25" customHeight="1" x14ac:dyDescent="0.3">
      <c r="M698" s="26"/>
    </row>
    <row r="699" spans="13:13" ht="14.25" customHeight="1" x14ac:dyDescent="0.3">
      <c r="M699" s="26"/>
    </row>
    <row r="700" spans="13:13" ht="14.25" customHeight="1" x14ac:dyDescent="0.3">
      <c r="M700" s="26"/>
    </row>
    <row r="701" spans="13:13" ht="14.25" customHeight="1" x14ac:dyDescent="0.3">
      <c r="M701" s="26"/>
    </row>
    <row r="702" spans="13:13" ht="14.25" customHeight="1" x14ac:dyDescent="0.3">
      <c r="M702" s="26"/>
    </row>
    <row r="703" spans="13:13" ht="14.25" customHeight="1" x14ac:dyDescent="0.3">
      <c r="M703" s="26"/>
    </row>
    <row r="704" spans="13:13" ht="14.25" customHeight="1" x14ac:dyDescent="0.3">
      <c r="M704" s="26"/>
    </row>
    <row r="705" spans="13:13" ht="14.25" customHeight="1" x14ac:dyDescent="0.3">
      <c r="M705" s="26"/>
    </row>
    <row r="706" spans="13:13" ht="14.25" customHeight="1" x14ac:dyDescent="0.3">
      <c r="M706" s="26"/>
    </row>
    <row r="707" spans="13:13" ht="14.25" customHeight="1" x14ac:dyDescent="0.3">
      <c r="M707" s="26"/>
    </row>
    <row r="708" spans="13:13" ht="14.25" customHeight="1" x14ac:dyDescent="0.3">
      <c r="M708" s="26"/>
    </row>
    <row r="709" spans="13:13" ht="14.25" customHeight="1" x14ac:dyDescent="0.3">
      <c r="M709" s="26"/>
    </row>
    <row r="710" spans="13:13" ht="14.25" customHeight="1" x14ac:dyDescent="0.3">
      <c r="M710" s="26"/>
    </row>
    <row r="711" spans="13:13" ht="14.25" customHeight="1" x14ac:dyDescent="0.3">
      <c r="M711" s="26"/>
    </row>
    <row r="712" spans="13:13" ht="14.25" customHeight="1" x14ac:dyDescent="0.3">
      <c r="M712" s="26"/>
    </row>
    <row r="713" spans="13:13" ht="14.25" customHeight="1" x14ac:dyDescent="0.3">
      <c r="M713" s="26"/>
    </row>
    <row r="714" spans="13:13" ht="14.25" customHeight="1" x14ac:dyDescent="0.3">
      <c r="M714" s="26"/>
    </row>
    <row r="715" spans="13:13" ht="14.25" customHeight="1" x14ac:dyDescent="0.3">
      <c r="M715" s="26"/>
    </row>
    <row r="716" spans="13:13" ht="14.25" customHeight="1" x14ac:dyDescent="0.3">
      <c r="M716" s="26"/>
    </row>
    <row r="717" spans="13:13" ht="14.25" customHeight="1" x14ac:dyDescent="0.3">
      <c r="M717" s="26"/>
    </row>
    <row r="718" spans="13:13" ht="14.25" customHeight="1" x14ac:dyDescent="0.3">
      <c r="M718" s="26"/>
    </row>
    <row r="719" spans="13:13" ht="14.25" customHeight="1" x14ac:dyDescent="0.3">
      <c r="M719" s="26"/>
    </row>
    <row r="720" spans="13:13" ht="14.25" customHeight="1" x14ac:dyDescent="0.3">
      <c r="M720" s="26"/>
    </row>
    <row r="721" spans="13:13" ht="14.25" customHeight="1" x14ac:dyDescent="0.3">
      <c r="M721" s="26"/>
    </row>
    <row r="722" spans="13:13" ht="14.25" customHeight="1" x14ac:dyDescent="0.3">
      <c r="M722" s="26"/>
    </row>
    <row r="723" spans="13:13" ht="14.25" customHeight="1" x14ac:dyDescent="0.3">
      <c r="M723" s="26"/>
    </row>
    <row r="724" spans="13:13" ht="14.25" customHeight="1" x14ac:dyDescent="0.3">
      <c r="M724" s="26"/>
    </row>
    <row r="725" spans="13:13" ht="14.25" customHeight="1" x14ac:dyDescent="0.3">
      <c r="M725" s="26"/>
    </row>
    <row r="726" spans="13:13" ht="14.25" customHeight="1" x14ac:dyDescent="0.3">
      <c r="M726" s="26"/>
    </row>
    <row r="727" spans="13:13" ht="14.25" customHeight="1" x14ac:dyDescent="0.3">
      <c r="M727" s="26"/>
    </row>
    <row r="728" spans="13:13" ht="14.25" customHeight="1" x14ac:dyDescent="0.3">
      <c r="M728" s="26"/>
    </row>
    <row r="729" spans="13:13" ht="14.25" customHeight="1" x14ac:dyDescent="0.3">
      <c r="M729" s="26"/>
    </row>
    <row r="730" spans="13:13" ht="14.25" customHeight="1" x14ac:dyDescent="0.3">
      <c r="M730" s="26"/>
    </row>
    <row r="731" spans="13:13" ht="14.25" customHeight="1" x14ac:dyDescent="0.3">
      <c r="M731" s="26"/>
    </row>
    <row r="732" spans="13:13" ht="14.25" customHeight="1" x14ac:dyDescent="0.3">
      <c r="M732" s="26"/>
    </row>
    <row r="733" spans="13:13" ht="14.25" customHeight="1" x14ac:dyDescent="0.3">
      <c r="M733" s="26"/>
    </row>
    <row r="734" spans="13:13" ht="14.25" customHeight="1" x14ac:dyDescent="0.3">
      <c r="M734" s="26"/>
    </row>
    <row r="735" spans="13:13" ht="14.25" customHeight="1" x14ac:dyDescent="0.3">
      <c r="M735" s="26"/>
    </row>
    <row r="736" spans="13:13" ht="14.25" customHeight="1" x14ac:dyDescent="0.3">
      <c r="M736" s="26"/>
    </row>
    <row r="737" spans="13:13" ht="14.25" customHeight="1" x14ac:dyDescent="0.3">
      <c r="M737" s="26"/>
    </row>
    <row r="738" spans="13:13" ht="14.25" customHeight="1" x14ac:dyDescent="0.3">
      <c r="M738" s="26"/>
    </row>
    <row r="739" spans="13:13" ht="14.25" customHeight="1" x14ac:dyDescent="0.3">
      <c r="M739" s="26"/>
    </row>
    <row r="740" spans="13:13" ht="14.25" customHeight="1" x14ac:dyDescent="0.3">
      <c r="M740" s="26"/>
    </row>
    <row r="741" spans="13:13" ht="14.25" customHeight="1" x14ac:dyDescent="0.3">
      <c r="M741" s="26"/>
    </row>
    <row r="742" spans="13:13" ht="14.25" customHeight="1" x14ac:dyDescent="0.3">
      <c r="M742" s="26"/>
    </row>
    <row r="743" spans="13:13" ht="14.25" customHeight="1" x14ac:dyDescent="0.3">
      <c r="M743" s="26"/>
    </row>
    <row r="744" spans="13:13" ht="14.25" customHeight="1" x14ac:dyDescent="0.3">
      <c r="M744" s="26"/>
    </row>
    <row r="745" spans="13:13" ht="14.25" customHeight="1" x14ac:dyDescent="0.3">
      <c r="M745" s="26"/>
    </row>
    <row r="746" spans="13:13" ht="14.25" customHeight="1" x14ac:dyDescent="0.3">
      <c r="M746" s="26"/>
    </row>
    <row r="747" spans="13:13" ht="14.25" customHeight="1" x14ac:dyDescent="0.3">
      <c r="M747" s="26"/>
    </row>
    <row r="748" spans="13:13" ht="14.25" customHeight="1" x14ac:dyDescent="0.3">
      <c r="M748" s="26"/>
    </row>
    <row r="749" spans="13:13" ht="14.25" customHeight="1" x14ac:dyDescent="0.3">
      <c r="M749" s="26"/>
    </row>
    <row r="750" spans="13:13" ht="14.25" customHeight="1" x14ac:dyDescent="0.3">
      <c r="M750" s="26"/>
    </row>
    <row r="751" spans="13:13" ht="14.25" customHeight="1" x14ac:dyDescent="0.3">
      <c r="M751" s="26"/>
    </row>
    <row r="752" spans="13:13" ht="14.25" customHeight="1" x14ac:dyDescent="0.3">
      <c r="M752" s="26"/>
    </row>
    <row r="753" spans="13:13" ht="14.25" customHeight="1" x14ac:dyDescent="0.3">
      <c r="M753" s="26"/>
    </row>
    <row r="754" spans="13:13" ht="14.25" customHeight="1" x14ac:dyDescent="0.3">
      <c r="M754" s="26"/>
    </row>
    <row r="755" spans="13:13" ht="14.25" customHeight="1" x14ac:dyDescent="0.3">
      <c r="M755" s="26"/>
    </row>
    <row r="756" spans="13:13" ht="14.25" customHeight="1" x14ac:dyDescent="0.3">
      <c r="M756" s="26"/>
    </row>
    <row r="757" spans="13:13" ht="14.25" customHeight="1" x14ac:dyDescent="0.3">
      <c r="M757" s="26"/>
    </row>
    <row r="758" spans="13:13" ht="14.25" customHeight="1" x14ac:dyDescent="0.3">
      <c r="M758" s="26"/>
    </row>
    <row r="759" spans="13:13" ht="14.25" customHeight="1" x14ac:dyDescent="0.3">
      <c r="M759" s="26"/>
    </row>
    <row r="760" spans="13:13" ht="14.25" customHeight="1" x14ac:dyDescent="0.3">
      <c r="M760" s="26"/>
    </row>
    <row r="761" spans="13:13" ht="14.25" customHeight="1" x14ac:dyDescent="0.3">
      <c r="M761" s="26"/>
    </row>
    <row r="762" spans="13:13" ht="14.25" customHeight="1" x14ac:dyDescent="0.3">
      <c r="M762" s="26"/>
    </row>
    <row r="763" spans="13:13" ht="14.25" customHeight="1" x14ac:dyDescent="0.3">
      <c r="M763" s="26"/>
    </row>
    <row r="764" spans="13:13" ht="14.25" customHeight="1" x14ac:dyDescent="0.3">
      <c r="M764" s="26"/>
    </row>
    <row r="765" spans="13:13" ht="14.25" customHeight="1" x14ac:dyDescent="0.3">
      <c r="M765" s="26"/>
    </row>
    <row r="766" spans="13:13" ht="14.25" customHeight="1" x14ac:dyDescent="0.3">
      <c r="M766" s="26"/>
    </row>
    <row r="767" spans="13:13" ht="14.25" customHeight="1" x14ac:dyDescent="0.3">
      <c r="M767" s="26"/>
    </row>
    <row r="768" spans="13:13" ht="14.25" customHeight="1" x14ac:dyDescent="0.3">
      <c r="M768" s="26"/>
    </row>
    <row r="769" spans="13:13" ht="14.25" customHeight="1" x14ac:dyDescent="0.3">
      <c r="M769" s="26"/>
    </row>
    <row r="770" spans="13:13" ht="14.25" customHeight="1" x14ac:dyDescent="0.3">
      <c r="M770" s="26"/>
    </row>
    <row r="771" spans="13:13" ht="14.25" customHeight="1" x14ac:dyDescent="0.3">
      <c r="M771" s="26"/>
    </row>
    <row r="772" spans="13:13" ht="14.25" customHeight="1" x14ac:dyDescent="0.3">
      <c r="M772" s="26"/>
    </row>
    <row r="773" spans="13:13" ht="14.25" customHeight="1" x14ac:dyDescent="0.3">
      <c r="M773" s="26"/>
    </row>
    <row r="774" spans="13:13" ht="14.25" customHeight="1" x14ac:dyDescent="0.3">
      <c r="M774" s="26"/>
    </row>
    <row r="775" spans="13:13" ht="14.25" customHeight="1" x14ac:dyDescent="0.3">
      <c r="M775" s="26"/>
    </row>
    <row r="776" spans="13:13" ht="14.25" customHeight="1" x14ac:dyDescent="0.3">
      <c r="M776" s="26"/>
    </row>
    <row r="777" spans="13:13" ht="14.25" customHeight="1" x14ac:dyDescent="0.3">
      <c r="M777" s="26"/>
    </row>
    <row r="778" spans="13:13" ht="14.25" customHeight="1" x14ac:dyDescent="0.3">
      <c r="M778" s="26"/>
    </row>
    <row r="779" spans="13:13" ht="14.25" customHeight="1" x14ac:dyDescent="0.3">
      <c r="M779" s="26"/>
    </row>
    <row r="780" spans="13:13" ht="14.25" customHeight="1" x14ac:dyDescent="0.3">
      <c r="M780" s="26"/>
    </row>
    <row r="781" spans="13:13" ht="14.25" customHeight="1" x14ac:dyDescent="0.3">
      <c r="M781" s="26"/>
    </row>
    <row r="782" spans="13:13" ht="14.25" customHeight="1" x14ac:dyDescent="0.3">
      <c r="M782" s="26"/>
    </row>
    <row r="783" spans="13:13" ht="14.25" customHeight="1" x14ac:dyDescent="0.3">
      <c r="M783" s="26"/>
    </row>
    <row r="784" spans="13:13" ht="14.25" customHeight="1" x14ac:dyDescent="0.3">
      <c r="M784" s="26"/>
    </row>
    <row r="785" spans="13:13" ht="14.25" customHeight="1" x14ac:dyDescent="0.3">
      <c r="M785" s="26"/>
    </row>
    <row r="786" spans="13:13" ht="14.25" customHeight="1" x14ac:dyDescent="0.3">
      <c r="M786" s="26"/>
    </row>
    <row r="787" spans="13:13" ht="14.25" customHeight="1" x14ac:dyDescent="0.3">
      <c r="M787" s="26"/>
    </row>
    <row r="788" spans="13:13" ht="14.25" customHeight="1" x14ac:dyDescent="0.3">
      <c r="M788" s="26"/>
    </row>
    <row r="789" spans="13:13" ht="14.25" customHeight="1" x14ac:dyDescent="0.3">
      <c r="M789" s="26"/>
    </row>
    <row r="790" spans="13:13" ht="14.25" customHeight="1" x14ac:dyDescent="0.3">
      <c r="M790" s="26"/>
    </row>
    <row r="791" spans="13:13" ht="14.25" customHeight="1" x14ac:dyDescent="0.3">
      <c r="M791" s="26"/>
    </row>
    <row r="792" spans="13:13" ht="14.25" customHeight="1" x14ac:dyDescent="0.3">
      <c r="M792" s="26"/>
    </row>
    <row r="793" spans="13:13" ht="14.25" customHeight="1" x14ac:dyDescent="0.3">
      <c r="M793" s="26"/>
    </row>
    <row r="794" spans="13:13" ht="14.25" customHeight="1" x14ac:dyDescent="0.3">
      <c r="M794" s="26"/>
    </row>
    <row r="795" spans="13:13" ht="14.25" customHeight="1" x14ac:dyDescent="0.3">
      <c r="M795" s="26"/>
    </row>
    <row r="796" spans="13:13" ht="14.25" customHeight="1" x14ac:dyDescent="0.3">
      <c r="M796" s="26"/>
    </row>
    <row r="797" spans="13:13" ht="14.25" customHeight="1" x14ac:dyDescent="0.3">
      <c r="M797" s="26"/>
    </row>
    <row r="798" spans="13:13" ht="14.25" customHeight="1" x14ac:dyDescent="0.3">
      <c r="M798" s="26"/>
    </row>
    <row r="799" spans="13:13" ht="14.25" customHeight="1" x14ac:dyDescent="0.3">
      <c r="M799" s="26"/>
    </row>
    <row r="800" spans="13:13" ht="14.25" customHeight="1" x14ac:dyDescent="0.3">
      <c r="M800" s="26"/>
    </row>
    <row r="801" spans="13:13" ht="14.25" customHeight="1" x14ac:dyDescent="0.3">
      <c r="M801" s="26"/>
    </row>
    <row r="802" spans="13:13" ht="14.25" customHeight="1" x14ac:dyDescent="0.3">
      <c r="M802" s="26"/>
    </row>
    <row r="803" spans="13:13" ht="14.25" customHeight="1" x14ac:dyDescent="0.3">
      <c r="M803" s="26"/>
    </row>
    <row r="804" spans="13:13" ht="14.25" customHeight="1" x14ac:dyDescent="0.3">
      <c r="M804" s="26"/>
    </row>
    <row r="805" spans="13:13" ht="14.25" customHeight="1" x14ac:dyDescent="0.3">
      <c r="M805" s="26"/>
    </row>
    <row r="806" spans="13:13" ht="14.25" customHeight="1" x14ac:dyDescent="0.3">
      <c r="M806" s="26"/>
    </row>
    <row r="807" spans="13:13" ht="14.25" customHeight="1" x14ac:dyDescent="0.3">
      <c r="M807" s="26"/>
    </row>
    <row r="808" spans="13:13" ht="14.25" customHeight="1" x14ac:dyDescent="0.3">
      <c r="M808" s="26"/>
    </row>
    <row r="809" spans="13:13" ht="14.25" customHeight="1" x14ac:dyDescent="0.3">
      <c r="M809" s="26"/>
    </row>
    <row r="810" spans="13:13" ht="14.25" customHeight="1" x14ac:dyDescent="0.3">
      <c r="M810" s="26"/>
    </row>
    <row r="811" spans="13:13" ht="14.25" customHeight="1" x14ac:dyDescent="0.3">
      <c r="M811" s="26"/>
    </row>
    <row r="812" spans="13:13" ht="14.25" customHeight="1" x14ac:dyDescent="0.3">
      <c r="M812" s="26"/>
    </row>
    <row r="813" spans="13:13" ht="14.25" customHeight="1" x14ac:dyDescent="0.3">
      <c r="M813" s="26"/>
    </row>
    <row r="814" spans="13:13" ht="14.25" customHeight="1" x14ac:dyDescent="0.3">
      <c r="M814" s="26"/>
    </row>
    <row r="815" spans="13:13" ht="14.25" customHeight="1" x14ac:dyDescent="0.3">
      <c r="M815" s="26"/>
    </row>
    <row r="816" spans="13:13" ht="14.25" customHeight="1" x14ac:dyDescent="0.3">
      <c r="M816" s="26"/>
    </row>
    <row r="817" spans="13:13" ht="14.25" customHeight="1" x14ac:dyDescent="0.3">
      <c r="M817" s="26"/>
    </row>
    <row r="818" spans="13:13" ht="14.25" customHeight="1" x14ac:dyDescent="0.3">
      <c r="M818" s="26"/>
    </row>
    <row r="819" spans="13:13" ht="14.25" customHeight="1" x14ac:dyDescent="0.3">
      <c r="M819" s="26"/>
    </row>
    <row r="820" spans="13:13" ht="14.25" customHeight="1" x14ac:dyDescent="0.3">
      <c r="M820" s="26"/>
    </row>
    <row r="821" spans="13:13" ht="14.25" customHeight="1" x14ac:dyDescent="0.3">
      <c r="M821" s="26"/>
    </row>
    <row r="822" spans="13:13" ht="14.25" customHeight="1" x14ac:dyDescent="0.3">
      <c r="M822" s="26"/>
    </row>
    <row r="823" spans="13:13" ht="14.25" customHeight="1" x14ac:dyDescent="0.3">
      <c r="M823" s="26"/>
    </row>
    <row r="824" spans="13:13" ht="14.25" customHeight="1" x14ac:dyDescent="0.3">
      <c r="M824" s="26"/>
    </row>
    <row r="825" spans="13:13" ht="14.25" customHeight="1" x14ac:dyDescent="0.3">
      <c r="M825" s="26"/>
    </row>
    <row r="826" spans="13:13" ht="14.25" customHeight="1" x14ac:dyDescent="0.3">
      <c r="M826" s="26"/>
    </row>
    <row r="827" spans="13:13" ht="14.25" customHeight="1" x14ac:dyDescent="0.3">
      <c r="M827" s="26"/>
    </row>
    <row r="828" spans="13:13" ht="14.25" customHeight="1" x14ac:dyDescent="0.3">
      <c r="M828" s="26"/>
    </row>
    <row r="829" spans="13:13" ht="14.25" customHeight="1" x14ac:dyDescent="0.3">
      <c r="M829" s="26"/>
    </row>
    <row r="830" spans="13:13" ht="14.25" customHeight="1" x14ac:dyDescent="0.3">
      <c r="M830" s="26"/>
    </row>
    <row r="831" spans="13:13" ht="14.25" customHeight="1" x14ac:dyDescent="0.3">
      <c r="M831" s="26"/>
    </row>
    <row r="832" spans="13:13" ht="14.25" customHeight="1" x14ac:dyDescent="0.3">
      <c r="M832" s="26"/>
    </row>
    <row r="833" spans="13:13" ht="14.25" customHeight="1" x14ac:dyDescent="0.3">
      <c r="M833" s="26"/>
    </row>
    <row r="834" spans="13:13" ht="14.25" customHeight="1" x14ac:dyDescent="0.3">
      <c r="M834" s="26"/>
    </row>
    <row r="835" spans="13:13" ht="14.25" customHeight="1" x14ac:dyDescent="0.3">
      <c r="M835" s="26"/>
    </row>
    <row r="836" spans="13:13" ht="14.25" customHeight="1" x14ac:dyDescent="0.3">
      <c r="M836" s="26"/>
    </row>
    <row r="837" spans="13:13" ht="14.25" customHeight="1" x14ac:dyDescent="0.3">
      <c r="M837" s="26"/>
    </row>
    <row r="838" spans="13:13" ht="14.25" customHeight="1" x14ac:dyDescent="0.3">
      <c r="M838" s="26"/>
    </row>
    <row r="839" spans="13:13" ht="14.25" customHeight="1" x14ac:dyDescent="0.3">
      <c r="M839" s="26"/>
    </row>
    <row r="840" spans="13:13" ht="14.25" customHeight="1" x14ac:dyDescent="0.3">
      <c r="M840" s="26"/>
    </row>
    <row r="841" spans="13:13" ht="14.25" customHeight="1" x14ac:dyDescent="0.3">
      <c r="M841" s="26"/>
    </row>
    <row r="842" spans="13:13" ht="14.25" customHeight="1" x14ac:dyDescent="0.3">
      <c r="M842" s="26"/>
    </row>
    <row r="843" spans="13:13" ht="14.25" customHeight="1" x14ac:dyDescent="0.3">
      <c r="M843" s="26"/>
    </row>
    <row r="844" spans="13:13" ht="14.25" customHeight="1" x14ac:dyDescent="0.3">
      <c r="M844" s="26"/>
    </row>
    <row r="845" spans="13:13" ht="14.25" customHeight="1" x14ac:dyDescent="0.3">
      <c r="M845" s="26"/>
    </row>
    <row r="846" spans="13:13" ht="14.25" customHeight="1" x14ac:dyDescent="0.3">
      <c r="M846" s="26"/>
    </row>
    <row r="847" spans="13:13" ht="14.25" customHeight="1" x14ac:dyDescent="0.3">
      <c r="M847" s="26"/>
    </row>
    <row r="848" spans="13:13" ht="14.25" customHeight="1" x14ac:dyDescent="0.3">
      <c r="M848" s="26"/>
    </row>
    <row r="849" spans="13:13" ht="14.25" customHeight="1" x14ac:dyDescent="0.3">
      <c r="M849" s="26"/>
    </row>
    <row r="850" spans="13:13" ht="14.25" customHeight="1" x14ac:dyDescent="0.3">
      <c r="M850" s="26"/>
    </row>
    <row r="851" spans="13:13" ht="14.25" customHeight="1" x14ac:dyDescent="0.3">
      <c r="M851" s="26"/>
    </row>
    <row r="852" spans="13:13" ht="14.25" customHeight="1" x14ac:dyDescent="0.3">
      <c r="M852" s="26"/>
    </row>
    <row r="853" spans="13:13" ht="14.25" customHeight="1" x14ac:dyDescent="0.3">
      <c r="M853" s="26"/>
    </row>
    <row r="854" spans="13:13" ht="14.25" customHeight="1" x14ac:dyDescent="0.3">
      <c r="M854" s="26"/>
    </row>
    <row r="855" spans="13:13" ht="14.25" customHeight="1" x14ac:dyDescent="0.3">
      <c r="M855" s="26"/>
    </row>
    <row r="856" spans="13:13" ht="14.25" customHeight="1" x14ac:dyDescent="0.3">
      <c r="M856" s="26"/>
    </row>
    <row r="857" spans="13:13" ht="14.25" customHeight="1" x14ac:dyDescent="0.3">
      <c r="M857" s="26"/>
    </row>
    <row r="858" spans="13:13" ht="14.25" customHeight="1" x14ac:dyDescent="0.3">
      <c r="M858" s="26"/>
    </row>
    <row r="859" spans="13:13" ht="14.25" customHeight="1" x14ac:dyDescent="0.3">
      <c r="M859" s="26"/>
    </row>
    <row r="860" spans="13:13" ht="14.25" customHeight="1" x14ac:dyDescent="0.3">
      <c r="M860" s="26"/>
    </row>
    <row r="861" spans="13:13" ht="14.25" customHeight="1" x14ac:dyDescent="0.3">
      <c r="M861" s="26"/>
    </row>
    <row r="862" spans="13:13" ht="14.25" customHeight="1" x14ac:dyDescent="0.3">
      <c r="M862" s="26"/>
    </row>
    <row r="863" spans="13:13" ht="14.25" customHeight="1" x14ac:dyDescent="0.3">
      <c r="M863" s="26"/>
    </row>
    <row r="864" spans="13:13" ht="14.25" customHeight="1" x14ac:dyDescent="0.3">
      <c r="M864" s="26"/>
    </row>
    <row r="865" spans="13:13" ht="14.25" customHeight="1" x14ac:dyDescent="0.3">
      <c r="M865" s="26"/>
    </row>
    <row r="866" spans="13:13" ht="14.25" customHeight="1" x14ac:dyDescent="0.3">
      <c r="M866" s="26"/>
    </row>
    <row r="867" spans="13:13" ht="14.25" customHeight="1" x14ac:dyDescent="0.3">
      <c r="M867" s="26"/>
    </row>
    <row r="868" spans="13:13" ht="14.25" customHeight="1" x14ac:dyDescent="0.3">
      <c r="M868" s="26"/>
    </row>
    <row r="869" spans="13:13" ht="14.25" customHeight="1" x14ac:dyDescent="0.3">
      <c r="M869" s="26"/>
    </row>
    <row r="870" spans="13:13" ht="14.25" customHeight="1" x14ac:dyDescent="0.3">
      <c r="M870" s="26"/>
    </row>
    <row r="871" spans="13:13" ht="14.25" customHeight="1" x14ac:dyDescent="0.3">
      <c r="M871" s="26"/>
    </row>
    <row r="872" spans="13:13" ht="14.25" customHeight="1" x14ac:dyDescent="0.3">
      <c r="M872" s="26"/>
    </row>
    <row r="873" spans="13:13" ht="14.25" customHeight="1" x14ac:dyDescent="0.3">
      <c r="M873" s="26"/>
    </row>
    <row r="874" spans="13:13" ht="14.25" customHeight="1" x14ac:dyDescent="0.3">
      <c r="M874" s="26"/>
    </row>
    <row r="875" spans="13:13" ht="14.25" customHeight="1" x14ac:dyDescent="0.3">
      <c r="M875" s="26"/>
    </row>
    <row r="876" spans="13:13" ht="14.25" customHeight="1" x14ac:dyDescent="0.3">
      <c r="M876" s="26"/>
    </row>
    <row r="877" spans="13:13" ht="14.25" customHeight="1" x14ac:dyDescent="0.3">
      <c r="M877" s="26"/>
    </row>
    <row r="878" spans="13:13" ht="14.25" customHeight="1" x14ac:dyDescent="0.3">
      <c r="M878" s="26"/>
    </row>
    <row r="879" spans="13:13" ht="14.25" customHeight="1" x14ac:dyDescent="0.3">
      <c r="M879" s="26"/>
    </row>
    <row r="880" spans="13:13" ht="14.25" customHeight="1" x14ac:dyDescent="0.3">
      <c r="M880" s="26"/>
    </row>
    <row r="881" spans="13:13" ht="14.25" customHeight="1" x14ac:dyDescent="0.3">
      <c r="M881" s="26"/>
    </row>
    <row r="882" spans="13:13" ht="14.25" customHeight="1" x14ac:dyDescent="0.3">
      <c r="M882" s="26"/>
    </row>
    <row r="883" spans="13:13" ht="14.25" customHeight="1" x14ac:dyDescent="0.3">
      <c r="M883" s="26"/>
    </row>
    <row r="884" spans="13:13" ht="14.25" customHeight="1" x14ac:dyDescent="0.3">
      <c r="M884" s="26"/>
    </row>
    <row r="885" spans="13:13" ht="14.25" customHeight="1" x14ac:dyDescent="0.3">
      <c r="M885" s="26"/>
    </row>
    <row r="886" spans="13:13" ht="14.25" customHeight="1" x14ac:dyDescent="0.3">
      <c r="M886" s="26"/>
    </row>
    <row r="887" spans="13:13" ht="14.25" customHeight="1" x14ac:dyDescent="0.3">
      <c r="M887" s="26"/>
    </row>
    <row r="888" spans="13:13" ht="14.25" customHeight="1" x14ac:dyDescent="0.3">
      <c r="M888" s="26"/>
    </row>
    <row r="889" spans="13:13" ht="14.25" customHeight="1" x14ac:dyDescent="0.3">
      <c r="M889" s="26"/>
    </row>
    <row r="890" spans="13:13" ht="14.25" customHeight="1" x14ac:dyDescent="0.3">
      <c r="M890" s="26"/>
    </row>
    <row r="891" spans="13:13" ht="14.25" customHeight="1" x14ac:dyDescent="0.3">
      <c r="M891" s="26"/>
    </row>
    <row r="892" spans="13:13" ht="14.25" customHeight="1" x14ac:dyDescent="0.3">
      <c r="M892" s="26"/>
    </row>
    <row r="893" spans="13:13" ht="14.25" customHeight="1" x14ac:dyDescent="0.3">
      <c r="M893" s="26"/>
    </row>
    <row r="894" spans="13:13" ht="14.25" customHeight="1" x14ac:dyDescent="0.3">
      <c r="M894" s="26"/>
    </row>
    <row r="895" spans="13:13" ht="14.25" customHeight="1" x14ac:dyDescent="0.3">
      <c r="M895" s="26"/>
    </row>
    <row r="896" spans="13:13" ht="14.25" customHeight="1" x14ac:dyDescent="0.3">
      <c r="M896" s="26"/>
    </row>
    <row r="897" spans="13:13" ht="14.25" customHeight="1" x14ac:dyDescent="0.3">
      <c r="M897" s="26"/>
    </row>
    <row r="898" spans="13:13" ht="14.25" customHeight="1" x14ac:dyDescent="0.3">
      <c r="M898" s="26"/>
    </row>
    <row r="899" spans="13:13" ht="14.25" customHeight="1" x14ac:dyDescent="0.3">
      <c r="M899" s="26"/>
    </row>
    <row r="900" spans="13:13" ht="14.25" customHeight="1" x14ac:dyDescent="0.3">
      <c r="M900" s="26"/>
    </row>
    <row r="901" spans="13:13" ht="14.25" customHeight="1" x14ac:dyDescent="0.3">
      <c r="M901" s="26"/>
    </row>
    <row r="902" spans="13:13" ht="14.25" customHeight="1" x14ac:dyDescent="0.3">
      <c r="M902" s="26"/>
    </row>
    <row r="903" spans="13:13" ht="14.25" customHeight="1" x14ac:dyDescent="0.3">
      <c r="M903" s="26"/>
    </row>
    <row r="904" spans="13:13" ht="14.25" customHeight="1" x14ac:dyDescent="0.3">
      <c r="M904" s="26"/>
    </row>
    <row r="905" spans="13:13" ht="14.25" customHeight="1" x14ac:dyDescent="0.3">
      <c r="M905" s="26"/>
    </row>
    <row r="906" spans="13:13" ht="14.25" customHeight="1" x14ac:dyDescent="0.3">
      <c r="M906" s="26"/>
    </row>
    <row r="907" spans="13:13" ht="14.25" customHeight="1" x14ac:dyDescent="0.3">
      <c r="M907" s="26"/>
    </row>
    <row r="908" spans="13:13" ht="14.25" customHeight="1" x14ac:dyDescent="0.3">
      <c r="M908" s="26"/>
    </row>
    <row r="909" spans="13:13" ht="14.25" customHeight="1" x14ac:dyDescent="0.3">
      <c r="M909" s="26"/>
    </row>
    <row r="910" spans="13:13" ht="14.25" customHeight="1" x14ac:dyDescent="0.3">
      <c r="M910" s="26"/>
    </row>
    <row r="911" spans="13:13" ht="14.25" customHeight="1" x14ac:dyDescent="0.3">
      <c r="M911" s="26"/>
    </row>
    <row r="912" spans="13:13" ht="14.25" customHeight="1" x14ac:dyDescent="0.3">
      <c r="M912" s="26"/>
    </row>
    <row r="913" spans="13:13" ht="14.25" customHeight="1" x14ac:dyDescent="0.3">
      <c r="M913" s="26"/>
    </row>
    <row r="914" spans="13:13" ht="14.25" customHeight="1" x14ac:dyDescent="0.3">
      <c r="M914" s="26"/>
    </row>
    <row r="915" spans="13:13" ht="14.25" customHeight="1" x14ac:dyDescent="0.3">
      <c r="M915" s="26"/>
    </row>
    <row r="916" spans="13:13" ht="14.25" customHeight="1" x14ac:dyDescent="0.3">
      <c r="M916" s="26"/>
    </row>
    <row r="917" spans="13:13" ht="14.25" customHeight="1" x14ac:dyDescent="0.3">
      <c r="M917" s="26"/>
    </row>
    <row r="918" spans="13:13" ht="14.25" customHeight="1" x14ac:dyDescent="0.3">
      <c r="M918" s="26"/>
    </row>
    <row r="919" spans="13:13" ht="14.25" customHeight="1" x14ac:dyDescent="0.3">
      <c r="M919" s="26"/>
    </row>
    <row r="920" spans="13:13" ht="14.25" customHeight="1" x14ac:dyDescent="0.3">
      <c r="M920" s="26"/>
    </row>
    <row r="921" spans="13:13" ht="14.25" customHeight="1" x14ac:dyDescent="0.3">
      <c r="M921" s="26"/>
    </row>
    <row r="922" spans="13:13" ht="14.25" customHeight="1" x14ac:dyDescent="0.3">
      <c r="M922" s="26"/>
    </row>
    <row r="923" spans="13:13" ht="14.25" customHeight="1" x14ac:dyDescent="0.3">
      <c r="M923" s="26"/>
    </row>
    <row r="924" spans="13:13" ht="14.25" customHeight="1" x14ac:dyDescent="0.3">
      <c r="M924" s="26"/>
    </row>
    <row r="925" spans="13:13" ht="14.25" customHeight="1" x14ac:dyDescent="0.3">
      <c r="M925" s="26"/>
    </row>
    <row r="926" spans="13:13" ht="14.25" customHeight="1" x14ac:dyDescent="0.3">
      <c r="M926" s="26"/>
    </row>
    <row r="927" spans="13:13" ht="14.25" customHeight="1" x14ac:dyDescent="0.3">
      <c r="M927" s="26"/>
    </row>
    <row r="928" spans="13:13" ht="14.25" customHeight="1" x14ac:dyDescent="0.3">
      <c r="M928" s="26"/>
    </row>
    <row r="929" spans="13:13" ht="14.25" customHeight="1" x14ac:dyDescent="0.3">
      <c r="M929" s="26"/>
    </row>
    <row r="930" spans="13:13" ht="14.25" customHeight="1" x14ac:dyDescent="0.3">
      <c r="M930" s="26"/>
    </row>
    <row r="931" spans="13:13" ht="14.25" customHeight="1" x14ac:dyDescent="0.3">
      <c r="M931" s="26"/>
    </row>
    <row r="932" spans="13:13" ht="14.25" customHeight="1" x14ac:dyDescent="0.3">
      <c r="M932" s="26"/>
    </row>
    <row r="933" spans="13:13" ht="14.25" customHeight="1" x14ac:dyDescent="0.3">
      <c r="M933" s="26"/>
    </row>
    <row r="934" spans="13:13" ht="14.25" customHeight="1" x14ac:dyDescent="0.3">
      <c r="M934" s="26"/>
    </row>
    <row r="935" spans="13:13" ht="14.25" customHeight="1" x14ac:dyDescent="0.3">
      <c r="M935" s="26"/>
    </row>
    <row r="936" spans="13:13" ht="14.25" customHeight="1" x14ac:dyDescent="0.3">
      <c r="M936" s="26"/>
    </row>
    <row r="937" spans="13:13" ht="14.25" customHeight="1" x14ac:dyDescent="0.3">
      <c r="M937" s="26"/>
    </row>
    <row r="938" spans="13:13" ht="14.25" customHeight="1" x14ac:dyDescent="0.3">
      <c r="M938" s="26"/>
    </row>
    <row r="939" spans="13:13" ht="14.25" customHeight="1" x14ac:dyDescent="0.3">
      <c r="M939" s="26"/>
    </row>
    <row r="940" spans="13:13" ht="14.25" customHeight="1" x14ac:dyDescent="0.3">
      <c r="M940" s="26"/>
    </row>
    <row r="941" spans="13:13" ht="14.25" customHeight="1" x14ac:dyDescent="0.3">
      <c r="M941" s="26"/>
    </row>
    <row r="942" spans="13:13" ht="14.25" customHeight="1" x14ac:dyDescent="0.3">
      <c r="M942" s="26"/>
    </row>
    <row r="943" spans="13:13" ht="14.25" customHeight="1" x14ac:dyDescent="0.3">
      <c r="M943" s="26"/>
    </row>
    <row r="944" spans="13:13" ht="14.25" customHeight="1" x14ac:dyDescent="0.3">
      <c r="M944" s="26"/>
    </row>
    <row r="945" spans="13:13" ht="14.25" customHeight="1" x14ac:dyDescent="0.3">
      <c r="M945" s="26"/>
    </row>
    <row r="946" spans="13:13" ht="14.25" customHeight="1" x14ac:dyDescent="0.3">
      <c r="M946" s="26"/>
    </row>
    <row r="947" spans="13:13" ht="14.25" customHeight="1" x14ac:dyDescent="0.3">
      <c r="M947" s="26"/>
    </row>
    <row r="948" spans="13:13" ht="14.25" customHeight="1" x14ac:dyDescent="0.3">
      <c r="M948" s="26"/>
    </row>
    <row r="949" spans="13:13" ht="14.25" customHeight="1" x14ac:dyDescent="0.3">
      <c r="M949" s="26"/>
    </row>
    <row r="950" spans="13:13" ht="14.25" customHeight="1" x14ac:dyDescent="0.3">
      <c r="M950" s="26"/>
    </row>
    <row r="951" spans="13:13" ht="14.25" customHeight="1" x14ac:dyDescent="0.3">
      <c r="M951" s="26"/>
    </row>
    <row r="952" spans="13:13" ht="14.25" customHeight="1" x14ac:dyDescent="0.3">
      <c r="M952" s="26"/>
    </row>
    <row r="953" spans="13:13" ht="14.25" customHeight="1" x14ac:dyDescent="0.3">
      <c r="M953" s="26"/>
    </row>
    <row r="954" spans="13:13" ht="14.25" customHeight="1" x14ac:dyDescent="0.3">
      <c r="M954" s="26"/>
    </row>
    <row r="955" spans="13:13" ht="14.25" customHeight="1" x14ac:dyDescent="0.3">
      <c r="M955" s="26"/>
    </row>
    <row r="956" spans="13:13" ht="14.25" customHeight="1" x14ac:dyDescent="0.3">
      <c r="M956" s="26"/>
    </row>
    <row r="957" spans="13:13" ht="14.25" customHeight="1" x14ac:dyDescent="0.3">
      <c r="M957" s="26"/>
    </row>
    <row r="958" spans="13:13" ht="14.25" customHeight="1" x14ac:dyDescent="0.3">
      <c r="M958" s="26"/>
    </row>
    <row r="959" spans="13:13" ht="14.25" customHeight="1" x14ac:dyDescent="0.3">
      <c r="M959" s="26"/>
    </row>
    <row r="960" spans="13:13" ht="14.25" customHeight="1" x14ac:dyDescent="0.3">
      <c r="M960" s="26"/>
    </row>
    <row r="961" spans="13:13" ht="14.25" customHeight="1" x14ac:dyDescent="0.3">
      <c r="M961" s="26"/>
    </row>
    <row r="962" spans="13:13" ht="14.25" customHeight="1" x14ac:dyDescent="0.3">
      <c r="M962" s="26"/>
    </row>
    <row r="963" spans="13:13" ht="14.25" customHeight="1" x14ac:dyDescent="0.3">
      <c r="M963" s="26"/>
    </row>
    <row r="964" spans="13:13" ht="14.25" customHeight="1" x14ac:dyDescent="0.3">
      <c r="M964" s="26"/>
    </row>
    <row r="965" spans="13:13" ht="14.25" customHeight="1" x14ac:dyDescent="0.3">
      <c r="M965" s="26"/>
    </row>
    <row r="966" spans="13:13" ht="14.25" customHeight="1" x14ac:dyDescent="0.3">
      <c r="M966" s="26"/>
    </row>
    <row r="967" spans="13:13" ht="14.25" customHeight="1" x14ac:dyDescent="0.3">
      <c r="M967" s="26"/>
    </row>
    <row r="968" spans="13:13" ht="14.25" customHeight="1" x14ac:dyDescent="0.3">
      <c r="M968" s="26"/>
    </row>
    <row r="969" spans="13:13" ht="14.25" customHeight="1" x14ac:dyDescent="0.3">
      <c r="M969" s="26"/>
    </row>
    <row r="970" spans="13:13" ht="14.25" customHeight="1" x14ac:dyDescent="0.3">
      <c r="M970" s="26"/>
    </row>
    <row r="971" spans="13:13" ht="14.25" customHeight="1" x14ac:dyDescent="0.3">
      <c r="M971" s="26"/>
    </row>
    <row r="972" spans="13:13" ht="14.25" customHeight="1" x14ac:dyDescent="0.3">
      <c r="M972" s="26"/>
    </row>
    <row r="973" spans="13:13" ht="14.25" customHeight="1" x14ac:dyDescent="0.3">
      <c r="M973" s="26"/>
    </row>
    <row r="974" spans="13:13" ht="14.25" customHeight="1" x14ac:dyDescent="0.3">
      <c r="M974" s="26"/>
    </row>
    <row r="975" spans="13:13" ht="14.25" customHeight="1" x14ac:dyDescent="0.3">
      <c r="M975" s="26"/>
    </row>
    <row r="976" spans="13:13" ht="14.25" customHeight="1" x14ac:dyDescent="0.3">
      <c r="M976" s="26"/>
    </row>
    <row r="977" spans="13:13" ht="14.25" customHeight="1" x14ac:dyDescent="0.3">
      <c r="M977" s="26"/>
    </row>
    <row r="978" spans="13:13" ht="14.25" customHeight="1" x14ac:dyDescent="0.3">
      <c r="M978" s="26"/>
    </row>
    <row r="979" spans="13:13" ht="14.25" customHeight="1" x14ac:dyDescent="0.3">
      <c r="M979" s="26"/>
    </row>
    <row r="980" spans="13:13" ht="14.25" customHeight="1" x14ac:dyDescent="0.3">
      <c r="M980" s="26"/>
    </row>
    <row r="981" spans="13:13" ht="14.25" customHeight="1" x14ac:dyDescent="0.3">
      <c r="M981" s="26"/>
    </row>
    <row r="982" spans="13:13" ht="14.25" customHeight="1" x14ac:dyDescent="0.3">
      <c r="M982" s="26"/>
    </row>
    <row r="983" spans="13:13" ht="14.25" customHeight="1" x14ac:dyDescent="0.3">
      <c r="M983" s="26"/>
    </row>
    <row r="984" spans="13:13" ht="14.25" customHeight="1" x14ac:dyDescent="0.3">
      <c r="M984" s="26"/>
    </row>
    <row r="985" spans="13:13" ht="14.25" customHeight="1" x14ac:dyDescent="0.3">
      <c r="M985" s="26"/>
    </row>
    <row r="986" spans="13:13" ht="14.25" customHeight="1" x14ac:dyDescent="0.3">
      <c r="M986" s="26"/>
    </row>
    <row r="987" spans="13:13" ht="14.25" customHeight="1" x14ac:dyDescent="0.3">
      <c r="M987" s="26"/>
    </row>
    <row r="988" spans="13:13" ht="14.25" customHeight="1" x14ac:dyDescent="0.3">
      <c r="M988" s="26"/>
    </row>
    <row r="989" spans="13:13" ht="14.25" customHeight="1" x14ac:dyDescent="0.3">
      <c r="M989" s="26"/>
    </row>
    <row r="990" spans="13:13" ht="14.25" customHeight="1" x14ac:dyDescent="0.3">
      <c r="M990" s="26"/>
    </row>
    <row r="991" spans="13:13" ht="14.25" customHeight="1" x14ac:dyDescent="0.3">
      <c r="M991" s="26"/>
    </row>
    <row r="992" spans="13:13" ht="14.25" customHeight="1" x14ac:dyDescent="0.3">
      <c r="M992" s="26"/>
    </row>
    <row r="993" spans="13:13" ht="14.25" customHeight="1" x14ac:dyDescent="0.3">
      <c r="M993" s="26"/>
    </row>
    <row r="994" spans="13:13" ht="14.25" customHeight="1" x14ac:dyDescent="0.3">
      <c r="M994" s="26"/>
    </row>
    <row r="995" spans="13:13" ht="14.25" customHeight="1" x14ac:dyDescent="0.3">
      <c r="M995" s="26"/>
    </row>
    <row r="996" spans="13:13" ht="14.25" customHeight="1" x14ac:dyDescent="0.3">
      <c r="M996" s="26"/>
    </row>
    <row r="997" spans="13:13" ht="14.25" customHeight="1" x14ac:dyDescent="0.3">
      <c r="M997" s="26"/>
    </row>
    <row r="998" spans="13:13" ht="14.25" customHeight="1" x14ac:dyDescent="0.3">
      <c r="M998" s="26"/>
    </row>
    <row r="999" spans="13:13" ht="14.25" customHeight="1" x14ac:dyDescent="0.3">
      <c r="M999" s="26"/>
    </row>
    <row r="1000" spans="13:13" ht="14.25" customHeight="1" x14ac:dyDescent="0.3">
      <c r="M1000" s="26"/>
    </row>
  </sheetData>
  <mergeCells count="3">
    <mergeCell ref="B1:H1"/>
    <mergeCell ref="J1:O1"/>
    <mergeCell ref="Q1:V1"/>
  </mergeCells>
  <conditionalFormatting sqref="G3:G54 G60:G100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44 N49:N100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6565"/>
  </sheetPr>
  <dimension ref="A1:AA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6.6640625" customWidth="1"/>
    <col min="3" max="8" width="8.6640625" customWidth="1"/>
    <col min="9" max="9" width="4.88671875" customWidth="1"/>
    <col min="10" max="10" width="6.33203125" customWidth="1"/>
    <col min="11" max="12" width="8.6640625" customWidth="1"/>
    <col min="13" max="13" width="8.88671875" customWidth="1"/>
    <col min="14" max="15" width="8.6640625" customWidth="1"/>
    <col min="16" max="16" width="5.109375" customWidth="1"/>
    <col min="17" max="27" width="8.6640625" customWidth="1"/>
  </cols>
  <sheetData>
    <row r="1" spans="1:27" ht="14.25" customHeight="1" x14ac:dyDescent="0.3">
      <c r="A1" s="2" t="s">
        <v>1</v>
      </c>
      <c r="B1" s="52" t="s">
        <v>20</v>
      </c>
      <c r="C1" s="53"/>
      <c r="D1" s="53"/>
      <c r="E1" s="53"/>
      <c r="F1" s="53"/>
      <c r="G1" s="53"/>
      <c r="H1" s="53"/>
      <c r="J1" s="52" t="s">
        <v>21</v>
      </c>
      <c r="K1" s="53"/>
      <c r="L1" s="53"/>
      <c r="M1" s="53"/>
      <c r="N1" s="53"/>
      <c r="O1" s="53"/>
      <c r="Q1" s="52" t="s">
        <v>22</v>
      </c>
      <c r="R1" s="53"/>
      <c r="S1" s="53"/>
      <c r="T1" s="53"/>
      <c r="U1" s="53"/>
      <c r="V1" s="53"/>
    </row>
    <row r="2" spans="1:27" ht="14.25" customHeight="1" x14ac:dyDescent="0.3">
      <c r="B2" s="2" t="s">
        <v>23</v>
      </c>
      <c r="C2" s="2" t="s">
        <v>24</v>
      </c>
      <c r="D2" s="2" t="s">
        <v>11</v>
      </c>
      <c r="E2" s="2" t="s">
        <v>12</v>
      </c>
      <c r="F2" s="2" t="s">
        <v>13</v>
      </c>
      <c r="G2" s="2" t="s">
        <v>25</v>
      </c>
      <c r="H2" s="2" t="s">
        <v>26</v>
      </c>
      <c r="J2" s="2" t="s">
        <v>23</v>
      </c>
      <c r="K2" s="2" t="s">
        <v>24</v>
      </c>
      <c r="L2" s="2" t="s">
        <v>11</v>
      </c>
      <c r="M2" s="26" t="s">
        <v>12</v>
      </c>
      <c r="N2" s="2" t="s">
        <v>25</v>
      </c>
      <c r="O2" s="2" t="s">
        <v>26</v>
      </c>
      <c r="Q2" s="2" t="s">
        <v>23</v>
      </c>
      <c r="R2" s="2" t="s">
        <v>24</v>
      </c>
      <c r="S2" s="2" t="s">
        <v>6</v>
      </c>
      <c r="T2" s="2" t="s">
        <v>16</v>
      </c>
      <c r="U2" s="2" t="s">
        <v>17</v>
      </c>
      <c r="V2" s="2" t="s">
        <v>18</v>
      </c>
    </row>
    <row r="3" spans="1:27" ht="14.25" customHeight="1" x14ac:dyDescent="0.3">
      <c r="B3" s="2">
        <v>1</v>
      </c>
      <c r="C3" s="5">
        <v>0.77500000000000002</v>
      </c>
      <c r="D3" s="2">
        <v>0</v>
      </c>
      <c r="E3" s="2">
        <v>0</v>
      </c>
      <c r="F3" s="2">
        <v>0</v>
      </c>
      <c r="G3" s="2">
        <v>0</v>
      </c>
      <c r="H3" s="5" t="s">
        <v>6</v>
      </c>
      <c r="J3" s="2">
        <v>1</v>
      </c>
      <c r="K3" s="5">
        <v>0.77500000000000002</v>
      </c>
      <c r="L3" s="2">
        <v>0</v>
      </c>
      <c r="M3" s="27">
        <v>0</v>
      </c>
      <c r="N3" s="2">
        <v>0</v>
      </c>
      <c r="O3" s="5" t="s">
        <v>6</v>
      </c>
      <c r="Q3" s="2">
        <v>1</v>
      </c>
      <c r="R3" s="2">
        <v>0.75</v>
      </c>
      <c r="S3" s="2">
        <v>-1.0851210789000599E-2</v>
      </c>
      <c r="T3" s="16">
        <v>-0.18784202360039601</v>
      </c>
      <c r="U3" s="2">
        <v>3.6282196019296201E-3</v>
      </c>
      <c r="V3" s="16">
        <v>0.118303414885742</v>
      </c>
      <c r="X3" s="2">
        <v>0</v>
      </c>
      <c r="Y3" s="2">
        <f t="shared" ref="Y3:AA3" si="0">T4-T3</f>
        <v>1.7953970406751008E-2</v>
      </c>
      <c r="Z3" s="2">
        <f t="shared" si="0"/>
        <v>0</v>
      </c>
      <c r="AA3" s="2">
        <f t="shared" si="0"/>
        <v>-1.1464901989217E-2</v>
      </c>
    </row>
    <row r="4" spans="1:27" ht="14.25" customHeight="1" x14ac:dyDescent="0.3">
      <c r="B4" s="2">
        <v>2</v>
      </c>
      <c r="C4" s="2">
        <v>0.77500000000000002</v>
      </c>
      <c r="D4" s="2">
        <v>39.451297099294003</v>
      </c>
      <c r="E4" s="2">
        <v>0.111463632589148</v>
      </c>
      <c r="F4" s="2">
        <v>7.9589999999999996</v>
      </c>
      <c r="G4" s="2">
        <v>21.351001427690399</v>
      </c>
      <c r="H4" s="2" t="s">
        <v>16</v>
      </c>
      <c r="J4" s="2">
        <v>2</v>
      </c>
      <c r="K4" s="2">
        <v>0.77500000000000002</v>
      </c>
      <c r="L4" s="2">
        <v>39.793731017379599</v>
      </c>
      <c r="M4" s="26">
        <v>3.9960851811534002</v>
      </c>
      <c r="N4" s="2">
        <v>12.5365546099122</v>
      </c>
      <c r="O4" s="2" t="s">
        <v>16</v>
      </c>
      <c r="Q4" s="2">
        <v>2</v>
      </c>
      <c r="R4" s="2">
        <v>0.77500000000000002</v>
      </c>
      <c r="S4" s="2">
        <v>-1.08512107889858E-2</v>
      </c>
      <c r="T4" s="2">
        <v>-0.169888053193645</v>
      </c>
      <c r="U4" s="2">
        <v>3.6282196019296201E-3</v>
      </c>
      <c r="V4" s="2">
        <v>0.106838512896525</v>
      </c>
      <c r="X4" s="2">
        <v>0</v>
      </c>
      <c r="Y4" s="2">
        <f t="shared" ref="Y4:AA4" si="1">T5-T4</f>
        <v>1.8018753167182988E-2</v>
      </c>
      <c r="Z4" s="2">
        <f t="shared" si="1"/>
        <v>0</v>
      </c>
      <c r="AA4" s="2">
        <f t="shared" si="1"/>
        <v>-1.1506270443198408E-2</v>
      </c>
    </row>
    <row r="5" spans="1:27" ht="14.25" customHeight="1" x14ac:dyDescent="0.3">
      <c r="B5" s="2">
        <v>3</v>
      </c>
      <c r="C5" s="2">
        <v>0.77500000000000002</v>
      </c>
      <c r="D5" s="2">
        <v>0</v>
      </c>
      <c r="E5" s="2">
        <v>0</v>
      </c>
      <c r="F5" s="2">
        <v>0</v>
      </c>
      <c r="G5" s="2">
        <v>0</v>
      </c>
      <c r="H5" s="2" t="s">
        <v>17</v>
      </c>
      <c r="J5" s="2">
        <v>3</v>
      </c>
      <c r="K5" s="2">
        <v>0.77500000000000002</v>
      </c>
      <c r="L5" s="2">
        <v>0</v>
      </c>
      <c r="M5" s="26">
        <v>0</v>
      </c>
      <c r="N5" s="2">
        <v>0</v>
      </c>
      <c r="O5" s="2" t="s">
        <v>17</v>
      </c>
      <c r="Q5" s="2">
        <v>3</v>
      </c>
      <c r="R5" s="2">
        <v>0.8</v>
      </c>
      <c r="S5" s="2">
        <v>-1.0851210789000599E-2</v>
      </c>
      <c r="T5" s="2">
        <v>-0.15186930002646201</v>
      </c>
      <c r="U5" s="2">
        <v>3.6282196019296201E-3</v>
      </c>
      <c r="V5" s="2">
        <v>9.5332242453326596E-2</v>
      </c>
      <c r="X5" s="2">
        <v>0</v>
      </c>
      <c r="Y5" s="2">
        <f t="shared" ref="Y5:AA5" si="2">T6-T5</f>
        <v>1.8083878294064021E-2</v>
      </c>
      <c r="Z5" s="2">
        <f t="shared" si="2"/>
        <v>0</v>
      </c>
      <c r="AA5" s="2">
        <f t="shared" si="2"/>
        <v>-1.1547857522804697E-2</v>
      </c>
    </row>
    <row r="6" spans="1:27" ht="14.25" customHeight="1" x14ac:dyDescent="0.3">
      <c r="B6" s="2">
        <v>4</v>
      </c>
      <c r="C6" s="2">
        <v>0.77500000000000002</v>
      </c>
      <c r="D6" s="2">
        <v>-19.417842236472399</v>
      </c>
      <c r="E6" s="2">
        <v>1.8947411830924199</v>
      </c>
      <c r="F6" s="2">
        <v>13.602</v>
      </c>
      <c r="G6" s="2">
        <v>93.375263297550006</v>
      </c>
      <c r="H6" s="2" t="s">
        <v>18</v>
      </c>
      <c r="J6" s="2">
        <v>4</v>
      </c>
      <c r="K6" s="11">
        <v>0.77500000000000002</v>
      </c>
      <c r="L6" s="2">
        <v>-20.829709800076099</v>
      </c>
      <c r="M6" s="26">
        <v>18.297911286331701</v>
      </c>
      <c r="N6" s="2">
        <v>56.270128593773897</v>
      </c>
      <c r="O6" s="2" t="s">
        <v>18</v>
      </c>
      <c r="Q6" s="2">
        <v>4</v>
      </c>
      <c r="R6" s="2">
        <v>0.82499999999999996</v>
      </c>
      <c r="S6" s="2">
        <v>-1.08512107889858E-2</v>
      </c>
      <c r="T6" s="2">
        <v>-0.13378542173239799</v>
      </c>
      <c r="U6" s="2">
        <v>3.6282196019296201E-3</v>
      </c>
      <c r="V6" s="2">
        <v>8.3784384930521899E-2</v>
      </c>
      <c r="X6" s="2">
        <v>0</v>
      </c>
      <c r="Y6" s="2">
        <f t="shared" ref="Y6:AA6" si="3">T7-T6</f>
        <v>1.8149348128857989E-2</v>
      </c>
      <c r="Z6" s="2">
        <f t="shared" si="3"/>
        <v>0</v>
      </c>
      <c r="AA6" s="2">
        <f t="shared" si="3"/>
        <v>-1.15896647232335E-2</v>
      </c>
    </row>
    <row r="7" spans="1:27" ht="14.25" customHeight="1" x14ac:dyDescent="0.3">
      <c r="B7" s="2">
        <v>5</v>
      </c>
      <c r="C7" s="11">
        <v>0.77500000000000002</v>
      </c>
      <c r="D7" s="2">
        <v>39.451297099294003</v>
      </c>
      <c r="E7" s="2">
        <v>0.111463632589148</v>
      </c>
      <c r="F7" s="2">
        <v>7.9589999999999996</v>
      </c>
      <c r="G7" s="2">
        <v>21.351001427690399</v>
      </c>
      <c r="H7" s="11" t="s">
        <v>43</v>
      </c>
      <c r="I7" s="28"/>
      <c r="J7" s="2">
        <v>5</v>
      </c>
      <c r="K7" s="5">
        <v>0.82499999999999996</v>
      </c>
      <c r="L7" s="2">
        <v>0</v>
      </c>
      <c r="M7" s="27">
        <v>0</v>
      </c>
      <c r="N7" s="2">
        <v>0</v>
      </c>
      <c r="O7" s="5" t="s">
        <v>6</v>
      </c>
      <c r="Q7" s="2">
        <v>5</v>
      </c>
      <c r="R7" s="2">
        <v>0.85</v>
      </c>
      <c r="S7" s="2">
        <v>-1.0851210789000599E-2</v>
      </c>
      <c r="T7" s="2">
        <v>-0.11563607360354</v>
      </c>
      <c r="U7" s="2">
        <v>3.6282196019296201E-3</v>
      </c>
      <c r="V7" s="2">
        <v>7.2194720207288399E-2</v>
      </c>
      <c r="X7" s="2">
        <v>0</v>
      </c>
      <c r="Y7" s="2">
        <f t="shared" ref="Y7:AA7" si="4">T8-T7</f>
        <v>1.82151650322884E-2</v>
      </c>
      <c r="Z7" s="2">
        <f t="shared" si="4"/>
        <v>0</v>
      </c>
      <c r="AA7" s="2">
        <f t="shared" si="4"/>
        <v>-1.16316935519395E-2</v>
      </c>
    </row>
    <row r="8" spans="1:27" ht="14.25" customHeight="1" x14ac:dyDescent="0.3">
      <c r="B8" s="2">
        <v>6</v>
      </c>
      <c r="C8" s="5">
        <v>0.82499999999999996</v>
      </c>
      <c r="D8" s="2">
        <v>0</v>
      </c>
      <c r="E8" s="2">
        <v>0</v>
      </c>
      <c r="F8" s="2">
        <v>0</v>
      </c>
      <c r="G8" s="2">
        <v>0</v>
      </c>
      <c r="H8" s="5" t="s">
        <v>6</v>
      </c>
      <c r="J8" s="2">
        <v>6</v>
      </c>
      <c r="K8" s="2">
        <v>0.82499999999999996</v>
      </c>
      <c r="L8" s="2">
        <v>40.1235229178316</v>
      </c>
      <c r="M8" s="26">
        <v>2.9035192769235199</v>
      </c>
      <c r="N8" s="2">
        <v>14.026083254788499</v>
      </c>
      <c r="O8" s="2" t="s">
        <v>16</v>
      </c>
      <c r="Q8" s="2">
        <v>6</v>
      </c>
      <c r="R8" s="2">
        <v>0.875</v>
      </c>
      <c r="S8" s="2">
        <v>-1.0851210789000599E-2</v>
      </c>
      <c r="T8" s="2">
        <v>-9.7420908571251602E-2</v>
      </c>
      <c r="U8" s="2">
        <v>3.6282196019296201E-3</v>
      </c>
      <c r="V8" s="2">
        <v>6.0563026655348899E-2</v>
      </c>
      <c r="X8" s="2">
        <v>0</v>
      </c>
      <c r="Y8" s="2">
        <f t="shared" ref="Y8:AA8" si="5">T9-T8</f>
        <v>1.8281331384542895E-2</v>
      </c>
      <c r="Z8" s="2">
        <f t="shared" si="5"/>
        <v>0</v>
      </c>
      <c r="AA8" s="2">
        <f t="shared" si="5"/>
        <v>-1.1673945528898701E-2</v>
      </c>
    </row>
    <row r="9" spans="1:27" ht="14.25" customHeight="1" x14ac:dyDescent="0.3">
      <c r="B9" s="2">
        <v>7</v>
      </c>
      <c r="C9" s="2">
        <v>0.82499999999999996</v>
      </c>
      <c r="D9" s="2">
        <v>41.186645176411702</v>
      </c>
      <c r="E9" s="2">
        <v>5.0972615966861597E-2</v>
      </c>
      <c r="F9" s="2">
        <v>5.9420000000000002</v>
      </c>
      <c r="G9" s="2">
        <v>21.275639358570398</v>
      </c>
      <c r="H9" s="2" t="s">
        <v>16</v>
      </c>
      <c r="J9" s="2">
        <v>7</v>
      </c>
      <c r="K9" s="2">
        <v>0.82499999999999996</v>
      </c>
      <c r="L9" s="2">
        <v>0</v>
      </c>
      <c r="M9" s="26">
        <v>0</v>
      </c>
      <c r="N9" s="2">
        <v>0</v>
      </c>
      <c r="O9" s="2" t="s">
        <v>17</v>
      </c>
      <c r="Q9" s="2">
        <v>7</v>
      </c>
      <c r="R9" s="2">
        <v>0.9</v>
      </c>
      <c r="S9" s="2">
        <v>-1.08512107889858E-2</v>
      </c>
      <c r="T9" s="2">
        <v>-7.9139577186708707E-2</v>
      </c>
      <c r="U9" s="2">
        <v>3.6282196019296201E-3</v>
      </c>
      <c r="V9" s="2">
        <v>4.8889081126450198E-2</v>
      </c>
      <c r="X9" s="2">
        <v>0</v>
      </c>
      <c r="Y9" s="2">
        <f t="shared" ref="Y9:AA9" si="6">T10-T9</f>
        <v>1.8347849585254004E-2</v>
      </c>
      <c r="Z9" s="2">
        <f t="shared" si="6"/>
        <v>0</v>
      </c>
      <c r="AA9" s="2">
        <f t="shared" si="6"/>
        <v>-1.1716422186375801E-2</v>
      </c>
    </row>
    <row r="10" spans="1:27" ht="14.25" customHeight="1" x14ac:dyDescent="0.3">
      <c r="B10" s="2">
        <v>8</v>
      </c>
      <c r="C10" s="2">
        <v>0.82499999999999996</v>
      </c>
      <c r="D10" s="2">
        <v>0</v>
      </c>
      <c r="E10" s="2">
        <v>0</v>
      </c>
      <c r="F10" s="2">
        <v>0</v>
      </c>
      <c r="G10" s="2">
        <v>0</v>
      </c>
      <c r="H10" s="2" t="s">
        <v>17</v>
      </c>
      <c r="J10" s="2">
        <v>8</v>
      </c>
      <c r="K10" s="11">
        <v>0.82499999999999996</v>
      </c>
      <c r="L10" s="2">
        <v>-20.528141681103499</v>
      </c>
      <c r="M10" s="26">
        <v>14.912822266019001</v>
      </c>
      <c r="N10" s="2">
        <v>59.5128182613809</v>
      </c>
      <c r="O10" s="2" t="s">
        <v>18</v>
      </c>
      <c r="Q10" s="2">
        <v>8</v>
      </c>
      <c r="R10" s="2">
        <v>0.92500000000000004</v>
      </c>
      <c r="S10" s="2">
        <v>-1.0851210789000599E-2</v>
      </c>
      <c r="T10" s="2">
        <v>-6.0791727601454702E-2</v>
      </c>
      <c r="U10" s="2">
        <v>3.6282196019296201E-3</v>
      </c>
      <c r="V10" s="2">
        <v>3.7172658940074398E-2</v>
      </c>
      <c r="X10" s="2">
        <v>0</v>
      </c>
      <c r="Y10" s="2">
        <f t="shared" ref="Y10:AA10" si="7">T11-T10</f>
        <v>1.8414722053989904E-2</v>
      </c>
      <c r="Z10" s="2">
        <f t="shared" si="7"/>
        <v>0</v>
      </c>
      <c r="AA10" s="2">
        <f t="shared" si="7"/>
        <v>-1.1759125069491998E-2</v>
      </c>
    </row>
    <row r="11" spans="1:27" ht="14.25" customHeight="1" x14ac:dyDescent="0.3">
      <c r="B11" s="2">
        <v>9</v>
      </c>
      <c r="C11" s="2">
        <v>0.82499999999999996</v>
      </c>
      <c r="D11" s="2">
        <v>-19.452318141591899</v>
      </c>
      <c r="E11" s="2">
        <v>0.72976866808390695</v>
      </c>
      <c r="F11" s="2">
        <v>13.243</v>
      </c>
      <c r="G11" s="2">
        <v>80.356953398603096</v>
      </c>
      <c r="H11" s="2" t="s">
        <v>18</v>
      </c>
      <c r="J11" s="2">
        <v>9</v>
      </c>
      <c r="K11" s="5">
        <v>0.875</v>
      </c>
      <c r="L11" s="2">
        <v>0</v>
      </c>
      <c r="M11" s="27">
        <v>0</v>
      </c>
      <c r="N11" s="2">
        <v>0</v>
      </c>
      <c r="O11" s="5" t="s">
        <v>6</v>
      </c>
      <c r="Q11" s="2">
        <v>9</v>
      </c>
      <c r="R11" s="2">
        <v>0.95</v>
      </c>
      <c r="S11" s="2">
        <v>-1.0851210789000599E-2</v>
      </c>
      <c r="T11" s="2">
        <v>-4.2377005547464798E-2</v>
      </c>
      <c r="U11" s="2">
        <v>3.6282196019296201E-3</v>
      </c>
      <c r="V11" s="2">
        <v>2.54135338705824E-2</v>
      </c>
      <c r="X11" s="2">
        <v>0</v>
      </c>
      <c r="Y11" s="2">
        <f t="shared" ref="Y11:AA11" si="8">T12-T11</f>
        <v>1.8481951230214098E-2</v>
      </c>
      <c r="Z11" s="2">
        <f t="shared" si="8"/>
        <v>0</v>
      </c>
      <c r="AA11" s="2">
        <f t="shared" si="8"/>
        <v>-1.1802055736024299E-2</v>
      </c>
    </row>
    <row r="12" spans="1:27" ht="14.25" customHeight="1" x14ac:dyDescent="0.3">
      <c r="B12" s="2">
        <v>10</v>
      </c>
      <c r="C12" s="11">
        <v>0.82499999999999996</v>
      </c>
      <c r="D12" s="2">
        <v>41.186645176239701</v>
      </c>
      <c r="E12" s="2">
        <v>5.09638974354071E-2</v>
      </c>
      <c r="F12" s="2">
        <v>5.9420000000000002</v>
      </c>
      <c r="G12" s="2">
        <v>21.275638709414601</v>
      </c>
      <c r="H12" s="11" t="s">
        <v>43</v>
      </c>
      <c r="J12" s="2">
        <v>10</v>
      </c>
      <c r="K12" s="2">
        <v>0.875</v>
      </c>
      <c r="L12" s="2">
        <v>39.653904796128003</v>
      </c>
      <c r="M12" s="26">
        <v>2.8525005368293099</v>
      </c>
      <c r="N12" s="2">
        <v>12.747759101881799</v>
      </c>
      <c r="O12" s="2" t="s">
        <v>16</v>
      </c>
      <c r="Q12" s="2">
        <v>10</v>
      </c>
      <c r="R12" s="2">
        <v>0.97499999999999998</v>
      </c>
      <c r="S12" s="2">
        <v>-1.0851210789000599E-2</v>
      </c>
      <c r="T12" s="2">
        <v>-2.38950543172507E-2</v>
      </c>
      <c r="U12" s="2">
        <v>3.6282196019296201E-3</v>
      </c>
      <c r="V12" s="2">
        <v>1.3611478134558101E-2</v>
      </c>
      <c r="X12" s="2">
        <v>0</v>
      </c>
      <c r="Y12" s="2">
        <f t="shared" ref="Y12:AA12" si="9">T13-T12</f>
        <v>1.8549539573555762E-2</v>
      </c>
      <c r="Z12" s="2">
        <f t="shared" si="9"/>
        <v>0</v>
      </c>
      <c r="AA12" s="2">
        <f t="shared" si="9"/>
        <v>-1.184521575662326E-2</v>
      </c>
    </row>
    <row r="13" spans="1:27" ht="14.25" customHeight="1" x14ac:dyDescent="0.3">
      <c r="B13" s="2">
        <v>11</v>
      </c>
      <c r="C13" s="5">
        <v>0.875</v>
      </c>
      <c r="D13" s="2">
        <v>0</v>
      </c>
      <c r="E13" s="2">
        <v>0</v>
      </c>
      <c r="F13" s="2">
        <v>0</v>
      </c>
      <c r="G13" s="2">
        <v>0</v>
      </c>
      <c r="H13" s="5" t="s">
        <v>6</v>
      </c>
      <c r="J13" s="2">
        <v>11</v>
      </c>
      <c r="K13" s="2">
        <v>0.875</v>
      </c>
      <c r="L13" s="2">
        <v>0</v>
      </c>
      <c r="M13" s="26">
        <v>0</v>
      </c>
      <c r="N13" s="2">
        <v>0</v>
      </c>
      <c r="O13" s="2" t="s">
        <v>17</v>
      </c>
      <c r="Q13" s="2">
        <v>11</v>
      </c>
      <c r="R13" s="2">
        <v>1</v>
      </c>
      <c r="S13" s="2">
        <v>-1.08512107889858E-2</v>
      </c>
      <c r="T13" s="2">
        <v>-5.3455147436949398E-3</v>
      </c>
      <c r="U13" s="2">
        <v>3.6282196019296201E-3</v>
      </c>
      <c r="V13" s="2">
        <v>1.7662623779348401E-3</v>
      </c>
      <c r="X13" s="2">
        <v>0</v>
      </c>
      <c r="Y13" s="2">
        <f t="shared" ref="Y13:AA13" si="10">T14-T13</f>
        <v>1.8617489564022139E-2</v>
      </c>
      <c r="Z13" s="2">
        <f t="shared" si="10"/>
        <v>0</v>
      </c>
      <c r="AA13" s="2">
        <f t="shared" si="10"/>
        <v>-1.1888606714846341E-2</v>
      </c>
    </row>
    <row r="14" spans="1:27" ht="14.25" customHeight="1" x14ac:dyDescent="0.3">
      <c r="B14" s="2">
        <v>12</v>
      </c>
      <c r="C14" s="2">
        <v>0.875</v>
      </c>
      <c r="D14" s="2">
        <v>39.0334124937932</v>
      </c>
      <c r="E14" s="2">
        <v>0.134610357303073</v>
      </c>
      <c r="F14" s="2">
        <v>6.9269999999999996</v>
      </c>
      <c r="G14" s="2">
        <v>14.254136860872</v>
      </c>
      <c r="H14" s="2" t="s">
        <v>16</v>
      </c>
      <c r="J14" s="2">
        <v>12</v>
      </c>
      <c r="K14" s="11">
        <v>0.875</v>
      </c>
      <c r="L14" s="2">
        <v>-20.4703089506426</v>
      </c>
      <c r="M14" s="26">
        <v>13.621988234104499</v>
      </c>
      <c r="N14" s="2">
        <v>58.133910164147302</v>
      </c>
      <c r="O14" s="2" t="s">
        <v>18</v>
      </c>
      <c r="Q14" s="2">
        <v>12</v>
      </c>
      <c r="R14" s="2">
        <v>1.0249999999999999</v>
      </c>
      <c r="S14" s="2">
        <v>-1.0851210789000599E-2</v>
      </c>
      <c r="T14" s="2">
        <v>1.3271974820327199E-2</v>
      </c>
      <c r="U14" s="2">
        <v>3.6282196019296201E-3</v>
      </c>
      <c r="V14" s="2">
        <v>-1.0122344336911501E-2</v>
      </c>
      <c r="X14" s="2">
        <v>0</v>
      </c>
      <c r="Y14" s="2">
        <f t="shared" ref="Y14:AA14" si="11">T15-T14</f>
        <v>1.86857123203907E-2</v>
      </c>
      <c r="Z14" s="2">
        <f t="shared" si="11"/>
        <v>0</v>
      </c>
      <c r="AA14" s="2">
        <f t="shared" si="11"/>
        <v>-1.1932171853827101E-2</v>
      </c>
    </row>
    <row r="15" spans="1:27" ht="14.25" customHeight="1" x14ac:dyDescent="0.3">
      <c r="B15" s="2">
        <v>13</v>
      </c>
      <c r="C15" s="2">
        <v>0.875</v>
      </c>
      <c r="D15" s="2">
        <v>0</v>
      </c>
      <c r="E15" s="2">
        <v>0</v>
      </c>
      <c r="F15" s="2">
        <v>0</v>
      </c>
      <c r="G15" s="2">
        <v>0</v>
      </c>
      <c r="H15" s="2" t="s">
        <v>17</v>
      </c>
      <c r="J15" s="2">
        <v>13</v>
      </c>
      <c r="K15" s="5">
        <v>0.92500000000000004</v>
      </c>
      <c r="L15" s="2">
        <v>0</v>
      </c>
      <c r="M15" s="27">
        <v>0</v>
      </c>
      <c r="N15" s="2">
        <v>0</v>
      </c>
      <c r="O15" s="5" t="s">
        <v>6</v>
      </c>
      <c r="Q15" s="2">
        <v>13</v>
      </c>
      <c r="R15" s="2">
        <v>1.05</v>
      </c>
      <c r="S15" s="2">
        <v>-1.08512107889858E-2</v>
      </c>
      <c r="T15" s="2">
        <v>3.1957687140717901E-2</v>
      </c>
      <c r="U15" s="2">
        <v>3.6282196019296201E-3</v>
      </c>
      <c r="V15" s="2">
        <v>-2.2054516190738602E-2</v>
      </c>
      <c r="X15" s="2">
        <v>0</v>
      </c>
      <c r="Y15" s="2">
        <f t="shared" ref="Y15:AA15" si="12">T16-T15</f>
        <v>1.8754484172759996E-2</v>
      </c>
      <c r="Z15" s="2">
        <f t="shared" si="12"/>
        <v>0</v>
      </c>
      <c r="AA15" s="2">
        <f t="shared" si="12"/>
        <v>-1.1976087630032696E-2</v>
      </c>
    </row>
    <row r="16" spans="1:27" ht="14.25" customHeight="1" x14ac:dyDescent="0.3">
      <c r="B16" s="2">
        <v>14</v>
      </c>
      <c r="C16" s="2">
        <v>0.875</v>
      </c>
      <c r="D16" s="2">
        <v>-19.5514479878474</v>
      </c>
      <c r="E16" s="2">
        <v>1.64186349332204</v>
      </c>
      <c r="F16" s="2">
        <v>10.59</v>
      </c>
      <c r="G16" s="2">
        <v>93.081074726457103</v>
      </c>
      <c r="H16" s="2" t="s">
        <v>18</v>
      </c>
      <c r="J16" s="2">
        <v>14</v>
      </c>
      <c r="K16" s="2">
        <v>0.92500000000000004</v>
      </c>
      <c r="L16" s="2">
        <v>39.874554537840602</v>
      </c>
      <c r="M16" s="26">
        <v>1.83518869375236</v>
      </c>
      <c r="N16" s="2">
        <v>11.863012232988099</v>
      </c>
      <c r="O16" s="2" t="s">
        <v>16</v>
      </c>
      <c r="Q16" s="2">
        <v>14</v>
      </c>
      <c r="R16" s="2">
        <v>1.075</v>
      </c>
      <c r="S16" s="2">
        <v>-1.08512107889858E-2</v>
      </c>
      <c r="T16" s="2">
        <v>5.0712171313477897E-2</v>
      </c>
      <c r="U16" s="2">
        <v>3.6282196019296201E-3</v>
      </c>
      <c r="V16" s="2">
        <v>-3.4030603820771298E-2</v>
      </c>
      <c r="X16" s="2">
        <v>0</v>
      </c>
      <c r="Y16" s="2">
        <f t="shared" ref="Y16:AA16" si="13">T17-T16</f>
        <v>1.88235341887691E-2</v>
      </c>
      <c r="Z16" s="2">
        <f t="shared" si="13"/>
        <v>0</v>
      </c>
      <c r="AA16" s="2">
        <f t="shared" si="13"/>
        <v>-1.2020181033813804E-2</v>
      </c>
    </row>
    <row r="17" spans="2:27" ht="14.25" customHeight="1" x14ac:dyDescent="0.3">
      <c r="B17" s="2">
        <v>15</v>
      </c>
      <c r="C17" s="11">
        <v>0.875</v>
      </c>
      <c r="D17" s="2">
        <v>39.0334124937932</v>
      </c>
      <c r="E17" s="2">
        <v>0.134610357303073</v>
      </c>
      <c r="F17" s="2">
        <v>6.9269999999999996</v>
      </c>
      <c r="G17" s="2">
        <v>14.254136860872</v>
      </c>
      <c r="H17" s="11" t="s">
        <v>43</v>
      </c>
      <c r="J17" s="2">
        <v>15</v>
      </c>
      <c r="K17" s="2">
        <v>0.92500000000000004</v>
      </c>
      <c r="L17" s="2">
        <v>0</v>
      </c>
      <c r="M17" s="26">
        <v>0</v>
      </c>
      <c r="N17" s="2">
        <v>0</v>
      </c>
      <c r="O17" s="2" t="s">
        <v>17</v>
      </c>
      <c r="Q17" s="2">
        <v>15</v>
      </c>
      <c r="R17" s="2">
        <v>1.1000000000000001</v>
      </c>
      <c r="S17" s="2">
        <v>-1.0851210789000599E-2</v>
      </c>
      <c r="T17" s="2">
        <v>6.9535705502246997E-2</v>
      </c>
      <c r="U17" s="2">
        <v>3.6282196019296201E-3</v>
      </c>
      <c r="V17" s="2">
        <v>-4.6050784854585101E-2</v>
      </c>
      <c r="X17" s="2">
        <v>0</v>
      </c>
      <c r="Y17" s="2">
        <f t="shared" ref="Y17:AA17" si="14">T18-T17</f>
        <v>1.8892955979055104E-2</v>
      </c>
      <c r="Z17" s="2">
        <f t="shared" si="14"/>
        <v>0</v>
      </c>
      <c r="AA17" s="2">
        <f t="shared" si="14"/>
        <v>-1.2064511842144097E-2</v>
      </c>
    </row>
    <row r="18" spans="2:27" ht="14.25" customHeight="1" x14ac:dyDescent="0.3">
      <c r="B18" s="2">
        <v>16</v>
      </c>
      <c r="C18" s="5">
        <v>0.92500000000000004</v>
      </c>
      <c r="D18" s="2">
        <v>0</v>
      </c>
      <c r="E18" s="2">
        <v>0</v>
      </c>
      <c r="F18" s="2">
        <v>0</v>
      </c>
      <c r="G18" s="2">
        <v>0</v>
      </c>
      <c r="H18" s="5" t="s">
        <v>6</v>
      </c>
      <c r="J18" s="2">
        <v>16</v>
      </c>
      <c r="K18" s="11">
        <v>0.92500000000000004</v>
      </c>
      <c r="L18" s="2">
        <v>-20.2416168718138</v>
      </c>
      <c r="M18" s="26">
        <v>10.4144364486003</v>
      </c>
      <c r="N18" s="2">
        <v>60.999222943783998</v>
      </c>
      <c r="O18" s="2" t="s">
        <v>18</v>
      </c>
      <c r="Q18" s="2">
        <v>16</v>
      </c>
      <c r="R18" s="2">
        <v>1.125</v>
      </c>
      <c r="S18" s="2">
        <v>-1.0851210789000599E-2</v>
      </c>
      <c r="T18" s="2">
        <v>8.8428661481302101E-2</v>
      </c>
      <c r="U18" s="2">
        <v>3.6282196019296201E-3</v>
      </c>
      <c r="V18" s="2">
        <v>-5.8115296696729199E-2</v>
      </c>
      <c r="X18" s="2">
        <v>0</v>
      </c>
      <c r="Y18" s="2">
        <f t="shared" ref="Y18:AA18" si="15">T19-T18</f>
        <v>1.8962752128075896E-2</v>
      </c>
      <c r="Z18" s="2">
        <f t="shared" si="15"/>
        <v>0</v>
      </c>
      <c r="AA18" s="2">
        <f t="shared" si="15"/>
        <v>-1.2109081705489202E-2</v>
      </c>
    </row>
    <row r="19" spans="2:27" ht="14.25" customHeight="1" x14ac:dyDescent="0.3">
      <c r="B19" s="2">
        <v>17</v>
      </c>
      <c r="C19" s="2">
        <v>0.92500000000000004</v>
      </c>
      <c r="D19" s="2">
        <v>39.790103178623802</v>
      </c>
      <c r="E19" s="2">
        <v>0.11561955028080501</v>
      </c>
      <c r="F19" s="2">
        <v>3.9729999999999999</v>
      </c>
      <c r="G19" s="2">
        <v>16.084924490133901</v>
      </c>
      <c r="H19" s="2" t="s">
        <v>16</v>
      </c>
      <c r="J19" s="2">
        <v>17</v>
      </c>
      <c r="K19" s="5">
        <v>0.97499999999999998</v>
      </c>
      <c r="L19" s="2">
        <v>0</v>
      </c>
      <c r="M19" s="27">
        <v>0</v>
      </c>
      <c r="N19" s="2">
        <v>0</v>
      </c>
      <c r="O19" s="5" t="s">
        <v>6</v>
      </c>
      <c r="Q19" s="2">
        <v>17</v>
      </c>
      <c r="R19" s="2">
        <v>1.1499999999999999</v>
      </c>
      <c r="S19" s="2">
        <v>-1.0851210789000599E-2</v>
      </c>
      <c r="T19" s="2">
        <v>0.107391413609378</v>
      </c>
      <c r="U19" s="2">
        <v>3.6282196019296201E-3</v>
      </c>
      <c r="V19" s="2">
        <v>-7.0224378402218401E-2</v>
      </c>
      <c r="X19" s="2">
        <v>0</v>
      </c>
      <c r="Y19" s="2">
        <f t="shared" ref="Y19:Y22" si="16">T20-T19</f>
        <v>1.9032925241916007E-2</v>
      </c>
      <c r="Z19" s="2">
        <v>0</v>
      </c>
      <c r="AA19" s="2">
        <f t="shared" ref="AA19:AA22" si="17">V20-V19</f>
        <v>-1.2153892288057105E-2</v>
      </c>
    </row>
    <row r="20" spans="2:27" ht="14.25" customHeight="1" x14ac:dyDescent="0.3">
      <c r="B20" s="2">
        <v>18</v>
      </c>
      <c r="C20" s="2">
        <v>0.92500000000000004</v>
      </c>
      <c r="D20" s="2">
        <v>0</v>
      </c>
      <c r="E20" s="2">
        <v>0</v>
      </c>
      <c r="F20" s="2">
        <v>0</v>
      </c>
      <c r="G20" s="2">
        <v>0</v>
      </c>
      <c r="H20" s="2" t="s">
        <v>17</v>
      </c>
      <c r="J20" s="2">
        <v>18</v>
      </c>
      <c r="K20" s="2">
        <v>0.97499999999999998</v>
      </c>
      <c r="L20" s="2">
        <v>39.411474276700801</v>
      </c>
      <c r="M20" s="26">
        <v>1.58314818467213</v>
      </c>
      <c r="N20" s="2">
        <v>16.793137446229402</v>
      </c>
      <c r="O20" s="2" t="s">
        <v>16</v>
      </c>
      <c r="Q20" s="2">
        <v>18</v>
      </c>
      <c r="R20" s="2">
        <v>1.175</v>
      </c>
      <c r="S20" s="2">
        <v>-1.0851210789000599E-2</v>
      </c>
      <c r="T20" s="2">
        <v>0.126424338851294</v>
      </c>
      <c r="U20" s="2">
        <v>3.6282196019093199E-3</v>
      </c>
      <c r="V20" s="2">
        <v>-8.2378270690275507E-2</v>
      </c>
      <c r="X20" s="2">
        <v>0</v>
      </c>
      <c r="Y20" s="2">
        <f t="shared" si="16"/>
        <v>1.9103477948476E-2</v>
      </c>
      <c r="Z20" s="2">
        <v>0</v>
      </c>
      <c r="AA20" s="2">
        <f t="shared" si="17"/>
        <v>-1.2198945267815495E-2</v>
      </c>
    </row>
    <row r="21" spans="2:27" ht="14.25" customHeight="1" x14ac:dyDescent="0.3">
      <c r="B21" s="2">
        <v>19</v>
      </c>
      <c r="C21" s="2">
        <v>0.92500000000000004</v>
      </c>
      <c r="D21" s="2">
        <v>-19.5912079315273</v>
      </c>
      <c r="E21" s="2">
        <v>0.14948027221927199</v>
      </c>
      <c r="F21" s="2">
        <v>11.476000000000001</v>
      </c>
      <c r="G21" s="2">
        <v>61.0946605956849</v>
      </c>
      <c r="H21" s="2" t="s">
        <v>18</v>
      </c>
      <c r="J21" s="2">
        <v>19</v>
      </c>
      <c r="K21" s="2">
        <v>0.97499999999999998</v>
      </c>
      <c r="L21" s="2">
        <v>0</v>
      </c>
      <c r="M21" s="26">
        <v>0</v>
      </c>
      <c r="N21" s="2">
        <v>0</v>
      </c>
      <c r="O21" s="2" t="s">
        <v>17</v>
      </c>
      <c r="Q21" s="2">
        <v>19</v>
      </c>
      <c r="R21" s="2">
        <v>1.2</v>
      </c>
      <c r="S21" s="2">
        <v>-1.0851210789000599E-2</v>
      </c>
      <c r="T21" s="2">
        <v>0.14552781679977</v>
      </c>
      <c r="U21" s="2">
        <v>3.6282196019296201E-3</v>
      </c>
      <c r="V21" s="2">
        <v>-9.4577215958091002E-2</v>
      </c>
      <c r="X21" s="2">
        <v>0</v>
      </c>
      <c r="Y21" s="2">
        <f t="shared" si="16"/>
        <v>1.9174412897370985E-2</v>
      </c>
      <c r="Z21" s="2">
        <v>0</v>
      </c>
      <c r="AA21" s="2">
        <f t="shared" si="17"/>
        <v>-1.2244242336826E-2</v>
      </c>
    </row>
    <row r="22" spans="2:27" ht="14.25" customHeight="1" x14ac:dyDescent="0.3">
      <c r="B22" s="2">
        <v>20</v>
      </c>
      <c r="C22" s="11">
        <v>0.92500000000000004</v>
      </c>
      <c r="D22" s="2">
        <v>39.7901032537373</v>
      </c>
      <c r="E22" s="2">
        <v>0.115619583357168</v>
      </c>
      <c r="F22" s="2">
        <v>3.9729999999999999</v>
      </c>
      <c r="G22" s="2">
        <v>16.084924324481001</v>
      </c>
      <c r="H22" s="11" t="s">
        <v>43</v>
      </c>
      <c r="J22" s="2">
        <v>20</v>
      </c>
      <c r="K22" s="11">
        <v>0.97499999999999998</v>
      </c>
      <c r="L22" s="2">
        <v>-20.1944709439726</v>
      </c>
      <c r="M22" s="26">
        <v>8.9834100938117505</v>
      </c>
      <c r="N22" s="2">
        <v>63.539382884260398</v>
      </c>
      <c r="O22" s="2" t="s">
        <v>18</v>
      </c>
      <c r="Q22" s="2">
        <v>20</v>
      </c>
      <c r="R22" s="2">
        <v>1.2250000000000001</v>
      </c>
      <c r="S22" s="2">
        <v>-1.0851210789000599E-2</v>
      </c>
      <c r="T22" s="2">
        <v>0.16470222969714099</v>
      </c>
      <c r="U22" s="2">
        <v>3.6282196019296201E-3</v>
      </c>
      <c r="V22" s="2">
        <v>-0.106821458294917</v>
      </c>
      <c r="X22" s="2">
        <v>0</v>
      </c>
      <c r="Y22" s="2">
        <f t="shared" si="16"/>
        <v>1.9245732760481998E-2</v>
      </c>
      <c r="Z22" s="2">
        <v>0</v>
      </c>
      <c r="AA22" s="2">
        <f t="shared" si="17"/>
        <v>-1.2289785201275993E-2</v>
      </c>
    </row>
    <row r="23" spans="2:27" ht="14.25" customHeight="1" x14ac:dyDescent="0.3">
      <c r="B23" s="2">
        <v>21</v>
      </c>
      <c r="C23" s="5">
        <v>0.97499999999999998</v>
      </c>
      <c r="D23" s="2">
        <v>0</v>
      </c>
      <c r="E23" s="2">
        <v>0</v>
      </c>
      <c r="F23" s="2">
        <v>0</v>
      </c>
      <c r="G23" s="2">
        <v>0</v>
      </c>
      <c r="H23" s="5" t="s">
        <v>6</v>
      </c>
      <c r="J23" s="2">
        <v>21</v>
      </c>
      <c r="K23" s="5">
        <v>1.0249999999999999</v>
      </c>
      <c r="L23" s="2">
        <v>0</v>
      </c>
      <c r="M23" s="27">
        <v>0</v>
      </c>
      <c r="N23" s="2">
        <v>0</v>
      </c>
      <c r="O23" s="5" t="s">
        <v>6</v>
      </c>
      <c r="Q23" s="2">
        <v>21</v>
      </c>
      <c r="R23" s="2">
        <v>1.25</v>
      </c>
      <c r="S23" s="2">
        <v>-1.0851210789000599E-2</v>
      </c>
      <c r="T23" s="16">
        <v>0.18394796245762299</v>
      </c>
      <c r="U23" s="2">
        <v>3.6282196019093199E-3</v>
      </c>
      <c r="V23" s="16">
        <v>-0.119111243496193</v>
      </c>
    </row>
    <row r="24" spans="2:27" ht="14.25" customHeight="1" x14ac:dyDescent="0.3">
      <c r="B24" s="2">
        <v>22</v>
      </c>
      <c r="C24" s="2">
        <v>0.97499999999999998</v>
      </c>
      <c r="D24" s="2">
        <v>35.055556927184</v>
      </c>
      <c r="E24" s="2">
        <v>0.14109866300644799</v>
      </c>
      <c r="F24" s="2">
        <v>3.7389999999999999</v>
      </c>
      <c r="G24" s="2">
        <v>13.8287945509816</v>
      </c>
      <c r="H24" s="2" t="s">
        <v>16</v>
      </c>
      <c r="J24" s="2">
        <v>22</v>
      </c>
      <c r="K24" s="2">
        <v>1.0249999999999999</v>
      </c>
      <c r="L24" s="2">
        <v>39.5713184762688</v>
      </c>
      <c r="M24" s="26">
        <v>1.53356534708935</v>
      </c>
      <c r="N24" s="2">
        <v>13.624870641153001</v>
      </c>
      <c r="O24" s="2" t="s">
        <v>16</v>
      </c>
    </row>
    <row r="25" spans="2:27" ht="14.25" customHeight="1" x14ac:dyDescent="0.3">
      <c r="B25" s="2">
        <v>23</v>
      </c>
      <c r="C25" s="2">
        <v>0.97499999999999998</v>
      </c>
      <c r="D25" s="2">
        <v>0</v>
      </c>
      <c r="E25" s="2">
        <v>0</v>
      </c>
      <c r="F25" s="2">
        <v>0</v>
      </c>
      <c r="G25" s="2">
        <v>0</v>
      </c>
      <c r="H25" s="2" t="s">
        <v>17</v>
      </c>
      <c r="J25" s="2">
        <v>23</v>
      </c>
      <c r="K25" s="2">
        <v>1.0249999999999999</v>
      </c>
      <c r="L25" s="2">
        <v>0</v>
      </c>
      <c r="M25" s="26">
        <v>0</v>
      </c>
      <c r="N25" s="2">
        <v>0</v>
      </c>
      <c r="O25" s="2" t="s">
        <v>17</v>
      </c>
    </row>
    <row r="26" spans="2:27" ht="14.25" customHeight="1" x14ac:dyDescent="0.3">
      <c r="B26" s="2">
        <v>24</v>
      </c>
      <c r="C26" s="2">
        <v>0.97499999999999998</v>
      </c>
      <c r="D26" s="2">
        <v>-19.677234233559201</v>
      </c>
      <c r="E26" s="2">
        <v>1.14674914645052</v>
      </c>
      <c r="F26" s="2">
        <v>7.49</v>
      </c>
      <c r="G26" s="2">
        <v>90.265517003412896</v>
      </c>
      <c r="H26" s="2" t="s">
        <v>18</v>
      </c>
      <c r="J26" s="2">
        <v>24</v>
      </c>
      <c r="K26" s="11">
        <v>1.0249999999999999</v>
      </c>
      <c r="L26" s="2">
        <v>-20.251482660970801</v>
      </c>
      <c r="M26" s="26">
        <v>8.8585169198463305</v>
      </c>
      <c r="N26" s="2">
        <v>61.936515706257602</v>
      </c>
      <c r="O26" s="2" t="s">
        <v>18</v>
      </c>
      <c r="R26" s="2">
        <v>0.77500000000000002</v>
      </c>
      <c r="S26" s="2">
        <v>-1.08512107889858E-2</v>
      </c>
      <c r="T26" s="2">
        <v>-0.169888053193645</v>
      </c>
      <c r="U26" s="2">
        <v>3.6282196019296201E-3</v>
      </c>
      <c r="V26" s="2">
        <v>0.106838512896525</v>
      </c>
      <c r="X26" s="2">
        <v>0</v>
      </c>
      <c r="Y26" s="2">
        <f t="shared" ref="Y26:AA26" si="18">T27-T26</f>
        <v>3.6102631461247009E-2</v>
      </c>
      <c r="Z26" s="2">
        <f t="shared" si="18"/>
        <v>0</v>
      </c>
      <c r="AA26" s="2">
        <f t="shared" si="18"/>
        <v>-2.3054127966003105E-2</v>
      </c>
    </row>
    <row r="27" spans="2:27" ht="14.25" customHeight="1" x14ac:dyDescent="0.3">
      <c r="B27" s="2">
        <v>25</v>
      </c>
      <c r="C27" s="11">
        <v>0.97499999999999998</v>
      </c>
      <c r="D27" s="2">
        <v>35.055556946840603</v>
      </c>
      <c r="E27" s="2">
        <v>0.14109866491540099</v>
      </c>
      <c r="F27" s="2">
        <v>3.7389999999999999</v>
      </c>
      <c r="G27" s="2">
        <v>13.8287945796459</v>
      </c>
      <c r="H27" s="11" t="s">
        <v>43</v>
      </c>
      <c r="J27" s="2">
        <v>25</v>
      </c>
      <c r="K27" s="5">
        <v>1.075</v>
      </c>
      <c r="L27" s="2">
        <v>0</v>
      </c>
      <c r="M27" s="27">
        <v>0</v>
      </c>
      <c r="N27" s="2">
        <v>0</v>
      </c>
      <c r="O27" s="5" t="s">
        <v>6</v>
      </c>
      <c r="R27" s="2">
        <v>0.82499999999999996</v>
      </c>
      <c r="S27" s="2">
        <v>-1.08512107889858E-2</v>
      </c>
      <c r="T27" s="2">
        <v>-0.13378542173239799</v>
      </c>
      <c r="U27" s="2">
        <v>3.6282196019296201E-3</v>
      </c>
      <c r="V27" s="2">
        <v>8.3784384930521899E-2</v>
      </c>
      <c r="X27" s="2">
        <v>0</v>
      </c>
      <c r="Y27" s="2">
        <f t="shared" ref="Y27:AA27" si="19">T28-T27</f>
        <v>3.6364513161160586E-2</v>
      </c>
      <c r="Z27" s="2">
        <f t="shared" si="19"/>
        <v>0</v>
      </c>
      <c r="AA27" s="2">
        <f t="shared" si="19"/>
        <v>-2.3221358275173E-2</v>
      </c>
    </row>
    <row r="28" spans="2:27" ht="14.25" customHeight="1" x14ac:dyDescent="0.3">
      <c r="B28" s="2">
        <v>26</v>
      </c>
      <c r="C28" s="5">
        <v>1.0249999999999999</v>
      </c>
      <c r="D28" s="2">
        <v>0</v>
      </c>
      <c r="E28" s="2">
        <v>0</v>
      </c>
      <c r="F28" s="2">
        <v>0</v>
      </c>
      <c r="G28" s="2">
        <v>0</v>
      </c>
      <c r="H28" s="5" t="s">
        <v>6</v>
      </c>
      <c r="J28" s="2">
        <v>26</v>
      </c>
      <c r="K28" s="2">
        <v>1.075</v>
      </c>
      <c r="L28" s="2">
        <v>40.273858426340702</v>
      </c>
      <c r="M28" s="26">
        <v>1.8447371529791501</v>
      </c>
      <c r="N28" s="2">
        <v>12.0896162845743</v>
      </c>
      <c r="O28" s="2" t="s">
        <v>16</v>
      </c>
      <c r="R28" s="2">
        <v>0.875</v>
      </c>
      <c r="S28" s="2">
        <v>-1.0851210789000599E-2</v>
      </c>
      <c r="T28" s="2">
        <v>-9.7420908571237405E-2</v>
      </c>
      <c r="U28" s="2">
        <v>3.6282196019296201E-3</v>
      </c>
      <c r="V28" s="2">
        <v>6.0563026655348899E-2</v>
      </c>
      <c r="X28" s="2">
        <v>0</v>
      </c>
      <c r="Y28" s="2">
        <f t="shared" ref="Y28:AA28" si="20">T29-T28</f>
        <v>3.6629180969782703E-2</v>
      </c>
      <c r="Z28" s="2">
        <f t="shared" si="20"/>
        <v>0</v>
      </c>
      <c r="AA28" s="2">
        <f t="shared" si="20"/>
        <v>-2.3390367715274502E-2</v>
      </c>
    </row>
    <row r="29" spans="2:27" ht="14.25" customHeight="1" x14ac:dyDescent="0.3">
      <c r="B29" s="2">
        <v>27</v>
      </c>
      <c r="C29" s="2">
        <v>1.0249999999999999</v>
      </c>
      <c r="D29" s="2">
        <v>36.343185608015702</v>
      </c>
      <c r="E29" s="2">
        <v>0.152591881673941</v>
      </c>
      <c r="F29" s="2">
        <v>5.8179999999999996</v>
      </c>
      <c r="G29" s="2">
        <v>-10.9570771195433</v>
      </c>
      <c r="H29" s="2" t="s">
        <v>16</v>
      </c>
      <c r="J29" s="2">
        <v>27</v>
      </c>
      <c r="K29" s="2">
        <v>1.075</v>
      </c>
      <c r="L29" s="2">
        <v>0</v>
      </c>
      <c r="M29" s="26">
        <v>0</v>
      </c>
      <c r="N29" s="2">
        <v>0</v>
      </c>
      <c r="O29" s="2" t="s">
        <v>17</v>
      </c>
      <c r="R29" s="2">
        <v>0.92500000000000004</v>
      </c>
      <c r="S29" s="2">
        <v>-1.08512107889858E-2</v>
      </c>
      <c r="T29" s="2">
        <v>-6.0791727601454702E-2</v>
      </c>
      <c r="U29" s="2">
        <v>3.6282196019296201E-3</v>
      </c>
      <c r="V29" s="2">
        <v>3.7172658940074398E-2</v>
      </c>
      <c r="X29" s="2">
        <v>0</v>
      </c>
      <c r="Y29" s="2">
        <f t="shared" ref="Y29:AA29" si="21">T30-T29</f>
        <v>3.6896673284203998E-2</v>
      </c>
      <c r="Z29" s="2">
        <f t="shared" si="21"/>
        <v>0</v>
      </c>
      <c r="AA29" s="2">
        <f t="shared" si="21"/>
        <v>-2.3561180805516297E-2</v>
      </c>
    </row>
    <row r="30" spans="2:27" ht="14.25" customHeight="1" x14ac:dyDescent="0.3">
      <c r="B30" s="2">
        <v>28</v>
      </c>
      <c r="C30" s="2">
        <v>1.0249999999999999</v>
      </c>
      <c r="D30" s="2">
        <v>0</v>
      </c>
      <c r="E30" s="2">
        <v>0</v>
      </c>
      <c r="F30" s="2">
        <v>0</v>
      </c>
      <c r="G30" s="2">
        <v>0</v>
      </c>
      <c r="H30" s="2" t="s">
        <v>17</v>
      </c>
      <c r="J30" s="2">
        <v>28</v>
      </c>
      <c r="K30" s="11">
        <v>1.075</v>
      </c>
      <c r="L30" s="2">
        <v>-20.4643077980657</v>
      </c>
      <c r="M30" s="26">
        <v>10.4284115757465</v>
      </c>
      <c r="N30" s="2">
        <v>60.972087940402901</v>
      </c>
      <c r="O30" s="2" t="s">
        <v>18</v>
      </c>
      <c r="R30" s="2">
        <v>0.97499999999999998</v>
      </c>
      <c r="S30" s="2">
        <v>-1.0851210789000599E-2</v>
      </c>
      <c r="T30" s="2">
        <v>-2.38950543172507E-2</v>
      </c>
      <c r="U30" s="2">
        <v>3.6282196019296201E-3</v>
      </c>
      <c r="V30" s="2">
        <v>1.3611478134558101E-2</v>
      </c>
      <c r="X30" s="2">
        <v>0</v>
      </c>
      <c r="Y30" s="2">
        <f t="shared" ref="Y30:Y34" si="22">T31-T30</f>
        <v>3.7167029137577898E-2</v>
      </c>
      <c r="Z30" s="2">
        <v>0</v>
      </c>
      <c r="AA30" s="2">
        <f t="shared" ref="AA30:AA33" si="23">V31-V30</f>
        <v>-2.3733822471469601E-2</v>
      </c>
    </row>
    <row r="31" spans="2:27" ht="14.25" customHeight="1" x14ac:dyDescent="0.3">
      <c r="B31" s="2">
        <v>29</v>
      </c>
      <c r="C31" s="2">
        <v>1.0249999999999999</v>
      </c>
      <c r="D31" s="2">
        <v>-19.7421367260594</v>
      </c>
      <c r="E31" s="2">
        <v>1.09218888305519</v>
      </c>
      <c r="F31" s="2">
        <v>7.4710000000000001</v>
      </c>
      <c r="G31" s="2">
        <v>88.974139329087706</v>
      </c>
      <c r="H31" s="2" t="s">
        <v>18</v>
      </c>
      <c r="J31" s="2">
        <v>29</v>
      </c>
      <c r="K31" s="5">
        <v>1.125</v>
      </c>
      <c r="L31" s="2">
        <v>0</v>
      </c>
      <c r="M31" s="27">
        <v>0</v>
      </c>
      <c r="N31" s="2">
        <v>0</v>
      </c>
      <c r="O31" s="5" t="s">
        <v>6</v>
      </c>
      <c r="R31" s="2">
        <v>1.0249999999999999</v>
      </c>
      <c r="S31" s="2">
        <v>-1.08512107889858E-2</v>
      </c>
      <c r="T31" s="2">
        <v>1.3271974820327199E-2</v>
      </c>
      <c r="U31" s="2">
        <v>3.6282196019093199E-3</v>
      </c>
      <c r="V31" s="2">
        <v>-1.0122344336911501E-2</v>
      </c>
      <c r="X31" s="2">
        <v>0</v>
      </c>
      <c r="Y31" s="2">
        <f t="shared" si="22"/>
        <v>3.7440196493150696E-2</v>
      </c>
      <c r="Z31" s="2">
        <v>0</v>
      </c>
      <c r="AA31" s="2">
        <f t="shared" si="23"/>
        <v>-2.3908259483859797E-2</v>
      </c>
    </row>
    <row r="32" spans="2:27" ht="14.25" customHeight="1" x14ac:dyDescent="0.3">
      <c r="B32" s="2">
        <v>30</v>
      </c>
      <c r="C32" s="11">
        <v>1.0249999999999999</v>
      </c>
      <c r="D32" s="2">
        <v>36.343185614487403</v>
      </c>
      <c r="E32" s="2">
        <v>0.15259188175324701</v>
      </c>
      <c r="F32" s="2">
        <v>5.8179999999999996</v>
      </c>
      <c r="G32" s="2">
        <v>-10.9570771157506</v>
      </c>
      <c r="H32" s="11" t="s">
        <v>43</v>
      </c>
      <c r="J32" s="2">
        <v>30</v>
      </c>
      <c r="K32" s="2">
        <v>1.125</v>
      </c>
      <c r="L32" s="2">
        <v>40.3025438880058</v>
      </c>
      <c r="M32" s="26">
        <v>2.87579049294943</v>
      </c>
      <c r="N32" s="2">
        <v>15.3544790843369</v>
      </c>
      <c r="O32" s="2" t="s">
        <v>16</v>
      </c>
      <c r="R32" s="2">
        <v>1.075</v>
      </c>
      <c r="S32" s="2">
        <v>-1.0851210789000599E-2</v>
      </c>
      <c r="T32" s="2">
        <v>5.0712171313477897E-2</v>
      </c>
      <c r="U32" s="2">
        <v>3.6282196019093199E-3</v>
      </c>
      <c r="V32" s="2">
        <v>-3.4030603820771298E-2</v>
      </c>
      <c r="X32" s="2">
        <v>0</v>
      </c>
      <c r="Y32" s="2">
        <f t="shared" si="22"/>
        <v>3.7716490167824204E-2</v>
      </c>
      <c r="Z32" s="2">
        <v>0</v>
      </c>
      <c r="AA32" s="2">
        <f t="shared" si="23"/>
        <v>-2.4084692875957901E-2</v>
      </c>
    </row>
    <row r="33" spans="2:27" ht="14.25" customHeight="1" x14ac:dyDescent="0.3">
      <c r="B33" s="2">
        <v>31</v>
      </c>
      <c r="C33" s="5">
        <v>1.075</v>
      </c>
      <c r="D33" s="2">
        <v>0</v>
      </c>
      <c r="E33" s="2">
        <v>0</v>
      </c>
      <c r="F33" s="2">
        <v>0</v>
      </c>
      <c r="G33" s="2">
        <v>0</v>
      </c>
      <c r="H33" s="5" t="s">
        <v>6</v>
      </c>
      <c r="J33" s="2">
        <v>31</v>
      </c>
      <c r="K33" s="2">
        <v>1.125</v>
      </c>
      <c r="L33" s="2">
        <v>0</v>
      </c>
      <c r="M33" s="26">
        <v>0</v>
      </c>
      <c r="N33" s="2">
        <v>0</v>
      </c>
      <c r="O33" s="2" t="s">
        <v>17</v>
      </c>
      <c r="R33" s="2">
        <v>1.125</v>
      </c>
      <c r="S33" s="2">
        <v>-1.0851210789000599E-2</v>
      </c>
      <c r="T33" s="2">
        <v>8.8428661481302101E-2</v>
      </c>
      <c r="U33" s="2">
        <v>3.6282196019296201E-3</v>
      </c>
      <c r="V33" s="2">
        <v>-5.8115296696729199E-2</v>
      </c>
      <c r="X33" s="2">
        <v>0</v>
      </c>
      <c r="Y33" s="2">
        <f t="shared" si="22"/>
        <v>3.7995677369991904E-2</v>
      </c>
      <c r="Z33" s="2">
        <v>0</v>
      </c>
      <c r="AA33" s="2">
        <f t="shared" si="23"/>
        <v>-2.4262973993563003E-2</v>
      </c>
    </row>
    <row r="34" spans="2:27" ht="14.25" customHeight="1" x14ac:dyDescent="0.3">
      <c r="B34" s="2">
        <v>32</v>
      </c>
      <c r="C34" s="2">
        <v>1.075</v>
      </c>
      <c r="D34" s="2">
        <v>40.086182733406901</v>
      </c>
      <c r="E34" s="2">
        <v>0.121699346633919</v>
      </c>
      <c r="F34" s="2">
        <v>3.9540000000000002</v>
      </c>
      <c r="G34" s="2">
        <v>16.720893542636102</v>
      </c>
      <c r="H34" s="2" t="s">
        <v>16</v>
      </c>
      <c r="J34" s="2">
        <v>32</v>
      </c>
      <c r="K34" s="11">
        <v>1.125</v>
      </c>
      <c r="L34" s="2">
        <v>-20.850164546480698</v>
      </c>
      <c r="M34" s="26">
        <v>13.6480703060327</v>
      </c>
      <c r="N34" s="2">
        <v>59.476680221641203</v>
      </c>
      <c r="O34" s="2" t="s">
        <v>18</v>
      </c>
      <c r="R34" s="2">
        <v>1.175</v>
      </c>
      <c r="S34" s="2">
        <v>-1.0851210789000599E-2</v>
      </c>
      <c r="T34" s="2">
        <v>0.126424338851294</v>
      </c>
      <c r="U34" s="2">
        <v>3.6282196019296201E-3</v>
      </c>
      <c r="V34" s="2">
        <v>-8.2378270690292202E-2</v>
      </c>
      <c r="X34" s="2">
        <v>0</v>
      </c>
      <c r="Y34" s="2">
        <f t="shared" si="22"/>
        <v>3.8277890845875989E-2</v>
      </c>
      <c r="Z34" s="2">
        <f t="shared" ref="Z34:AA34" si="24">U35-U34</f>
        <v>0</v>
      </c>
      <c r="AA34" s="2">
        <f t="shared" si="24"/>
        <v>-2.4443187604640801E-2</v>
      </c>
    </row>
    <row r="35" spans="2:27" ht="14.25" customHeight="1" x14ac:dyDescent="0.3">
      <c r="B35" s="2">
        <v>33</v>
      </c>
      <c r="C35" s="2">
        <v>1.075</v>
      </c>
      <c r="D35" s="2">
        <v>0</v>
      </c>
      <c r="E35" s="2">
        <v>0</v>
      </c>
      <c r="F35" s="2">
        <v>0</v>
      </c>
      <c r="G35" s="2">
        <v>0</v>
      </c>
      <c r="H35" s="2" t="s">
        <v>17</v>
      </c>
      <c r="J35" s="2">
        <v>33</v>
      </c>
      <c r="K35" s="5">
        <v>1.175</v>
      </c>
      <c r="L35" s="2">
        <v>0</v>
      </c>
      <c r="M35" s="27">
        <v>0</v>
      </c>
      <c r="N35" s="2">
        <v>0</v>
      </c>
      <c r="O35" s="5" t="s">
        <v>6</v>
      </c>
      <c r="R35" s="2">
        <v>1.2250000000000001</v>
      </c>
      <c r="S35" s="2">
        <v>-1.0851210789000599E-2</v>
      </c>
      <c r="T35" s="2">
        <v>0.16470222969716999</v>
      </c>
      <c r="U35" s="2">
        <v>3.6282196019296201E-3</v>
      </c>
      <c r="V35" s="2">
        <v>-0.106821458294933</v>
      </c>
    </row>
    <row r="36" spans="2:27" ht="14.25" customHeight="1" x14ac:dyDescent="0.3">
      <c r="B36" s="2">
        <v>34</v>
      </c>
      <c r="C36" s="2">
        <v>1.075</v>
      </c>
      <c r="D36" s="2">
        <v>-19.80548607854</v>
      </c>
      <c r="E36" s="2">
        <v>0.14606438966671201</v>
      </c>
      <c r="F36" s="2">
        <v>11.492000000000001</v>
      </c>
      <c r="G36" s="2">
        <v>61.274120369830101</v>
      </c>
      <c r="H36" s="2" t="s">
        <v>18</v>
      </c>
      <c r="J36" s="2">
        <v>34</v>
      </c>
      <c r="K36" s="2">
        <v>1.175</v>
      </c>
      <c r="L36" s="2">
        <v>41.027449111453201</v>
      </c>
      <c r="M36" s="26">
        <v>2.9439094972615498</v>
      </c>
      <c r="N36" s="2">
        <v>12.5031984126722</v>
      </c>
      <c r="O36" s="2" t="s">
        <v>16</v>
      </c>
    </row>
    <row r="37" spans="2:27" ht="14.25" customHeight="1" x14ac:dyDescent="0.3">
      <c r="B37" s="2">
        <v>35</v>
      </c>
      <c r="C37" s="11">
        <v>1.075</v>
      </c>
      <c r="D37" s="2">
        <v>40.086182924579802</v>
      </c>
      <c r="E37" s="2">
        <v>0.121699440516072</v>
      </c>
      <c r="F37" s="2">
        <v>3.9540000000000002</v>
      </c>
      <c r="G37" s="2">
        <v>16.720893072685399</v>
      </c>
      <c r="H37" s="11" t="s">
        <v>43</v>
      </c>
      <c r="J37" s="2">
        <v>35</v>
      </c>
      <c r="K37" s="2">
        <v>1.175</v>
      </c>
      <c r="L37" s="2">
        <v>0</v>
      </c>
      <c r="M37" s="26">
        <v>0</v>
      </c>
      <c r="N37" s="2">
        <v>0</v>
      </c>
      <c r="O37" s="2" t="s">
        <v>17</v>
      </c>
      <c r="X37" s="2">
        <v>385</v>
      </c>
      <c r="Y37" s="2">
        <v>400</v>
      </c>
      <c r="Z37" s="2">
        <v>560</v>
      </c>
      <c r="AA37" s="2">
        <v>340</v>
      </c>
    </row>
    <row r="38" spans="2:27" ht="14.25" customHeight="1" x14ac:dyDescent="0.3">
      <c r="B38" s="2">
        <v>36</v>
      </c>
      <c r="C38" s="5">
        <v>1.125</v>
      </c>
      <c r="D38" s="2">
        <v>0</v>
      </c>
      <c r="E38" s="2">
        <v>0</v>
      </c>
      <c r="F38" s="2">
        <v>0</v>
      </c>
      <c r="G38" s="2">
        <v>0</v>
      </c>
      <c r="H38" s="5" t="s">
        <v>6</v>
      </c>
      <c r="J38" s="2">
        <v>36</v>
      </c>
      <c r="K38" s="11">
        <v>1.175</v>
      </c>
      <c r="L38" s="2">
        <v>-21.065591746245602</v>
      </c>
      <c r="M38" s="26">
        <v>14.9543976977945</v>
      </c>
      <c r="N38" s="2">
        <v>58.176352297710203</v>
      </c>
      <c r="O38" s="2" t="s">
        <v>18</v>
      </c>
    </row>
    <row r="39" spans="2:27" ht="14.25" customHeight="1" x14ac:dyDescent="0.3">
      <c r="B39" s="2">
        <v>37</v>
      </c>
      <c r="C39" s="2">
        <v>1.125</v>
      </c>
      <c r="D39" s="2">
        <v>39.826483378363797</v>
      </c>
      <c r="E39" s="2">
        <v>0.17961247404799299</v>
      </c>
      <c r="F39" s="2">
        <v>6.6050000000000004</v>
      </c>
      <c r="G39" s="2">
        <v>20.145004691292201</v>
      </c>
      <c r="H39" s="2" t="s">
        <v>16</v>
      </c>
      <c r="J39" s="2">
        <v>37</v>
      </c>
      <c r="K39" s="5">
        <v>1.2250000000000001</v>
      </c>
      <c r="L39" s="2">
        <v>0</v>
      </c>
      <c r="M39" s="27">
        <v>0</v>
      </c>
      <c r="N39" s="2">
        <v>0</v>
      </c>
      <c r="O39" s="5" t="s">
        <v>6</v>
      </c>
      <c r="X39" s="2">
        <f t="shared" ref="X39:AA39" si="25">AVERAGE(X22:X34)*X37%</f>
        <v>0</v>
      </c>
      <c r="Y39" s="2">
        <f t="shared" si="25"/>
        <v>0.14153440626051877</v>
      </c>
      <c r="Z39" s="2">
        <f t="shared" si="25"/>
        <v>0</v>
      </c>
      <c r="AA39" s="2">
        <f t="shared" si="25"/>
        <v>-7.6822917173529556E-2</v>
      </c>
    </row>
    <row r="40" spans="2:27" ht="14.25" customHeight="1" x14ac:dyDescent="0.3">
      <c r="B40" s="2">
        <v>38</v>
      </c>
      <c r="C40" s="2">
        <v>1.125</v>
      </c>
      <c r="D40" s="2">
        <v>0</v>
      </c>
      <c r="E40" s="2">
        <v>0</v>
      </c>
      <c r="F40" s="2">
        <v>0</v>
      </c>
      <c r="G40" s="2">
        <v>0</v>
      </c>
      <c r="H40" s="2" t="s">
        <v>17</v>
      </c>
      <c r="J40" s="2">
        <v>38</v>
      </c>
      <c r="K40" s="2">
        <v>1.2250000000000001</v>
      </c>
      <c r="L40" s="2">
        <v>40.9451484527861</v>
      </c>
      <c r="M40" s="26">
        <v>4.0452786014196596</v>
      </c>
      <c r="N40" s="2">
        <v>14.9904154425549</v>
      </c>
      <c r="O40" s="2" t="s">
        <v>16</v>
      </c>
      <c r="X40" s="2">
        <f t="shared" ref="X40:AA40" si="26">_xlfn.STDEV.P(X26:X34)</f>
        <v>0</v>
      </c>
      <c r="Y40" s="2">
        <f t="shared" si="26"/>
        <v>7.020371390510082E-4</v>
      </c>
      <c r="Z40" s="2">
        <f t="shared" si="26"/>
        <v>0</v>
      </c>
      <c r="AA40" s="2">
        <f t="shared" si="26"/>
        <v>4.4830122862298032E-4</v>
      </c>
    </row>
    <row r="41" spans="2:27" ht="14.25" customHeight="1" x14ac:dyDescent="0.3">
      <c r="B41" s="2">
        <v>39</v>
      </c>
      <c r="C41" s="2">
        <v>1.125</v>
      </c>
      <c r="D41" s="2">
        <v>-19.912258604195799</v>
      </c>
      <c r="E41" s="2">
        <v>1.65528198470446</v>
      </c>
      <c r="F41" s="2">
        <v>10.593999999999999</v>
      </c>
      <c r="G41" s="2">
        <v>93.342379297065605</v>
      </c>
      <c r="H41" s="2" t="s">
        <v>18</v>
      </c>
      <c r="J41" s="2">
        <v>39</v>
      </c>
      <c r="K41" s="2">
        <v>1.2250000000000001</v>
      </c>
      <c r="L41" s="2">
        <v>0</v>
      </c>
      <c r="M41" s="26">
        <v>0</v>
      </c>
      <c r="N41" s="2">
        <v>0</v>
      </c>
      <c r="O41" s="2" t="s">
        <v>17</v>
      </c>
    </row>
    <row r="42" spans="2:27" ht="14.25" customHeight="1" x14ac:dyDescent="0.3">
      <c r="B42" s="2">
        <v>40</v>
      </c>
      <c r="C42" s="11">
        <v>1.125</v>
      </c>
      <c r="D42" s="2">
        <v>39.826496318670998</v>
      </c>
      <c r="E42" s="2">
        <v>0.17970192551185199</v>
      </c>
      <c r="F42" s="2">
        <v>6.6050000000000004</v>
      </c>
      <c r="G42" s="2">
        <v>20.144395931151202</v>
      </c>
      <c r="H42" s="11" t="s">
        <v>43</v>
      </c>
      <c r="J42" s="2">
        <v>40</v>
      </c>
      <c r="K42" s="11">
        <v>1.2250000000000001</v>
      </c>
      <c r="L42" s="2">
        <v>-21.5354163323161</v>
      </c>
      <c r="M42" s="26">
        <v>18.3609045534816</v>
      </c>
      <c r="N42" s="2">
        <v>57.346825185572598</v>
      </c>
      <c r="O42" s="2" t="s">
        <v>18</v>
      </c>
    </row>
    <row r="43" spans="2:27" ht="14.25" customHeight="1" x14ac:dyDescent="0.3">
      <c r="B43" s="2">
        <v>41</v>
      </c>
      <c r="C43" s="5">
        <v>1.175</v>
      </c>
      <c r="D43" s="2">
        <v>0</v>
      </c>
      <c r="E43" s="2">
        <v>0</v>
      </c>
      <c r="F43" s="2">
        <v>0</v>
      </c>
      <c r="G43" s="2">
        <v>0</v>
      </c>
      <c r="H43" s="5" t="s">
        <v>6</v>
      </c>
      <c r="M43" s="26"/>
    </row>
    <row r="44" spans="2:27" ht="14.25" customHeight="1" x14ac:dyDescent="0.3">
      <c r="B44" s="2">
        <v>42</v>
      </c>
      <c r="C44" s="2">
        <v>1.175</v>
      </c>
      <c r="D44" s="2">
        <v>39.794865683076502</v>
      </c>
      <c r="E44" s="2">
        <v>0.113211874092513</v>
      </c>
      <c r="F44" s="2">
        <v>5.952</v>
      </c>
      <c r="G44" s="2">
        <v>18.967819723134099</v>
      </c>
      <c r="H44" s="2" t="s">
        <v>16</v>
      </c>
      <c r="M44" s="26"/>
    </row>
    <row r="45" spans="2:27" ht="14.25" customHeight="1" x14ac:dyDescent="0.3">
      <c r="B45" s="2">
        <v>43</v>
      </c>
      <c r="C45" s="2">
        <v>1.175</v>
      </c>
      <c r="D45" s="2">
        <v>0</v>
      </c>
      <c r="E45" s="2">
        <v>0</v>
      </c>
      <c r="F45" s="2">
        <v>0</v>
      </c>
      <c r="G45" s="2">
        <v>0</v>
      </c>
      <c r="H45" s="2" t="s">
        <v>17</v>
      </c>
      <c r="L45" s="2">
        <f t="shared" ref="L45:N45" si="27">AVERAGE(L31,L27,L23,L19,L15,L11,L7,L3,L35,L39)</f>
        <v>0</v>
      </c>
      <c r="M45" s="29">
        <f t="shared" si="27"/>
        <v>0</v>
      </c>
      <c r="N45" s="2">
        <f t="shared" si="27"/>
        <v>0</v>
      </c>
    </row>
    <row r="46" spans="2:27" ht="14.25" customHeight="1" x14ac:dyDescent="0.3">
      <c r="B46" s="2">
        <v>44</v>
      </c>
      <c r="C46" s="2">
        <v>1.175</v>
      </c>
      <c r="D46" s="2">
        <v>-19.980264627874401</v>
      </c>
      <c r="E46" s="2">
        <v>1.4478350407041101</v>
      </c>
      <c r="F46" s="2">
        <v>12.077999999999999</v>
      </c>
      <c r="G46" s="2">
        <v>86.842001618842602</v>
      </c>
      <c r="H46" s="2" t="s">
        <v>18</v>
      </c>
      <c r="L46" s="2">
        <f t="shared" ref="L46:N46" si="28">AVERAGE(L32,L28,L24,L20,L16,L12,L8,L4,L36,L40)</f>
        <v>40.097750590073517</v>
      </c>
      <c r="M46" s="30">
        <f t="shared" si="28"/>
        <v>2.6413722965029862</v>
      </c>
      <c r="N46" s="2">
        <f t="shared" si="28"/>
        <v>13.65291265110913</v>
      </c>
    </row>
    <row r="47" spans="2:27" ht="14.25" customHeight="1" x14ac:dyDescent="0.3">
      <c r="B47" s="2">
        <v>45</v>
      </c>
      <c r="C47" s="11">
        <v>1.175</v>
      </c>
      <c r="D47" s="2">
        <v>39.794865683076502</v>
      </c>
      <c r="E47" s="2">
        <v>0.113211874092513</v>
      </c>
      <c r="F47" s="2">
        <v>5.952</v>
      </c>
      <c r="G47" s="2">
        <v>18.967819723134099</v>
      </c>
      <c r="H47" s="11" t="s">
        <v>43</v>
      </c>
      <c r="L47" s="2">
        <f t="shared" ref="L47:N47" si="29">AVERAGE(L33,L29,L25,L21,L17,L13,L9,L5,L37,L41)</f>
        <v>0</v>
      </c>
      <c r="M47" s="30">
        <f t="shared" si="29"/>
        <v>0</v>
      </c>
      <c r="N47" s="2">
        <f t="shared" si="29"/>
        <v>0</v>
      </c>
    </row>
    <row r="48" spans="2:27" ht="14.25" customHeight="1" x14ac:dyDescent="0.3">
      <c r="B48" s="2">
        <v>46</v>
      </c>
      <c r="C48" s="5">
        <v>1.2250000000000001</v>
      </c>
      <c r="D48" s="2">
        <v>0</v>
      </c>
      <c r="E48" s="2">
        <v>0</v>
      </c>
      <c r="F48" s="2">
        <v>0</v>
      </c>
      <c r="G48" s="2">
        <v>0</v>
      </c>
      <c r="H48" s="5" t="s">
        <v>6</v>
      </c>
      <c r="L48" s="2">
        <f t="shared" ref="L48:N48" si="30">AVERAGE(L34,L30,L26,L22,L18,L14,L10,L6,L38,L42)</f>
        <v>-20.643121133168748</v>
      </c>
      <c r="M48" s="30">
        <f t="shared" si="30"/>
        <v>13.248086938176888</v>
      </c>
      <c r="N48" s="2">
        <f t="shared" si="30"/>
        <v>59.636392419893106</v>
      </c>
    </row>
    <row r="49" spans="2:13" ht="14.25" customHeight="1" x14ac:dyDescent="0.3">
      <c r="B49" s="2">
        <v>47</v>
      </c>
      <c r="C49" s="2">
        <v>1.2250000000000001</v>
      </c>
      <c r="D49" s="2">
        <v>41.0217368205155</v>
      </c>
      <c r="E49" s="2">
        <v>0.114233961197845</v>
      </c>
      <c r="F49" s="2">
        <v>7.9660000000000002</v>
      </c>
      <c r="G49" s="2">
        <v>24.2038643827076</v>
      </c>
      <c r="H49" s="2" t="s">
        <v>16</v>
      </c>
      <c r="M49" s="26"/>
    </row>
    <row r="50" spans="2:13" ht="14.25" customHeight="1" x14ac:dyDescent="0.3">
      <c r="B50" s="2">
        <v>48</v>
      </c>
      <c r="C50" s="2">
        <v>1.2250000000000001</v>
      </c>
      <c r="D50" s="2">
        <v>0</v>
      </c>
      <c r="E50" s="2">
        <v>0</v>
      </c>
      <c r="F50" s="2">
        <v>0</v>
      </c>
      <c r="G50" s="2">
        <v>0</v>
      </c>
      <c r="H50" s="2" t="s">
        <v>17</v>
      </c>
      <c r="M50" s="26"/>
    </row>
    <row r="51" spans="2:13" ht="14.25" customHeight="1" x14ac:dyDescent="0.3">
      <c r="B51" s="2">
        <v>49</v>
      </c>
      <c r="C51" s="2">
        <v>1.2250000000000001</v>
      </c>
      <c r="D51" s="2">
        <v>-20.0688725257993</v>
      </c>
      <c r="E51" s="2">
        <v>1.92067419309363</v>
      </c>
      <c r="F51" s="2">
        <v>13.611000000000001</v>
      </c>
      <c r="G51" s="2">
        <v>93.582147115550697</v>
      </c>
      <c r="H51" s="2" t="s">
        <v>18</v>
      </c>
      <c r="M51" s="26"/>
    </row>
    <row r="52" spans="2:13" ht="14.25" customHeight="1" x14ac:dyDescent="0.3">
      <c r="B52" s="2">
        <v>50</v>
      </c>
      <c r="C52" s="11">
        <v>1.2250000000000001</v>
      </c>
      <c r="D52" s="2">
        <v>41.021845569123599</v>
      </c>
      <c r="E52" s="2">
        <v>0.114247012408478</v>
      </c>
      <c r="F52" s="2">
        <v>7.9660000000000002</v>
      </c>
      <c r="G52" s="2">
        <v>24.2038661572489</v>
      </c>
      <c r="H52" s="11" t="s">
        <v>43</v>
      </c>
      <c r="M52" s="26"/>
    </row>
    <row r="53" spans="2:13" ht="14.25" customHeight="1" x14ac:dyDescent="0.3">
      <c r="M53" s="26"/>
    </row>
    <row r="54" spans="2:13" ht="14.25" customHeight="1" x14ac:dyDescent="0.3">
      <c r="M54" s="26"/>
    </row>
    <row r="55" spans="2:13" ht="14.25" customHeight="1" x14ac:dyDescent="0.3">
      <c r="D55" s="2">
        <f t="shared" ref="D55:G55" si="31">AVERAGE(D48,D43,D38,D33,D28,D23,D18,D13,D8,D3)</f>
        <v>0</v>
      </c>
      <c r="E55" s="2">
        <f t="shared" si="31"/>
        <v>0</v>
      </c>
      <c r="F55" s="2">
        <f t="shared" si="31"/>
        <v>0</v>
      </c>
      <c r="G55" s="2">
        <f t="shared" si="31"/>
        <v>0</v>
      </c>
      <c r="M55" s="26"/>
    </row>
    <row r="56" spans="2:13" ht="14.25" customHeight="1" x14ac:dyDescent="0.3">
      <c r="D56" s="2">
        <f t="shared" ref="D56:G56" si="32">AVERAGE(D49,D44,D39,D34,D29,D24,D19,D14,D9,D4)</f>
        <v>39.158946909868511</v>
      </c>
      <c r="E56" s="2">
        <f t="shared" si="32"/>
        <v>0.12351143567925467</v>
      </c>
      <c r="F56" s="2">
        <f t="shared" si="32"/>
        <v>5.8834999999999997</v>
      </c>
      <c r="G56" s="2">
        <f t="shared" si="32"/>
        <v>15.587500190847498</v>
      </c>
      <c r="M56" s="26"/>
    </row>
    <row r="57" spans="2:13" ht="14.25" customHeight="1" x14ac:dyDescent="0.3">
      <c r="D57" s="2">
        <f t="shared" ref="D57:G57" si="33">AVERAGE(D50,D45,D40,D35,D30,D25,D20,D15,D10,D5)</f>
        <v>0</v>
      </c>
      <c r="E57" s="2">
        <f t="shared" si="33"/>
        <v>0</v>
      </c>
      <c r="F57" s="2">
        <f t="shared" si="33"/>
        <v>0</v>
      </c>
      <c r="G57" s="2">
        <f t="shared" si="33"/>
        <v>0</v>
      </c>
      <c r="M57" s="26"/>
    </row>
    <row r="58" spans="2:13" ht="14.25" customHeight="1" x14ac:dyDescent="0.3">
      <c r="D58" s="2">
        <f t="shared" ref="D58:G58" si="34">AVERAGE(D51,D46,D41,D36,D31,D26,D21,D16,D11,D6)</f>
        <v>-19.719906909346712</v>
      </c>
      <c r="E58" s="2">
        <f t="shared" si="34"/>
        <v>1.182464725439226</v>
      </c>
      <c r="F58" s="2">
        <f t="shared" si="34"/>
        <v>11.164700000000002</v>
      </c>
      <c r="G58" s="2">
        <f t="shared" si="34"/>
        <v>84.218825675208478</v>
      </c>
      <c r="M58" s="26"/>
    </row>
    <row r="59" spans="2:13" ht="14.25" customHeight="1" x14ac:dyDescent="0.3">
      <c r="D59" s="2">
        <f t="shared" ref="D59:G59" si="35">AVERAGE(D52,D47,D42,D37,D32,D27,D22,D17,D12,D7)</f>
        <v>39.158959107984309</v>
      </c>
      <c r="E59" s="2">
        <f t="shared" si="35"/>
        <v>0.12352082698823592</v>
      </c>
      <c r="F59" s="2">
        <f t="shared" si="35"/>
        <v>5.8834999999999997</v>
      </c>
      <c r="G59" s="2">
        <f t="shared" si="35"/>
        <v>15.587439367057291</v>
      </c>
      <c r="M59" s="26"/>
    </row>
    <row r="60" spans="2:13" ht="14.25" customHeight="1" x14ac:dyDescent="0.3">
      <c r="M60" s="26"/>
    </row>
    <row r="61" spans="2:13" ht="14.25" customHeight="1" x14ac:dyDescent="0.3">
      <c r="M61" s="26"/>
    </row>
    <row r="62" spans="2:13" ht="14.25" customHeight="1" x14ac:dyDescent="0.3">
      <c r="M62" s="26"/>
    </row>
    <row r="63" spans="2:13" ht="14.25" customHeight="1" x14ac:dyDescent="0.3">
      <c r="M63" s="26"/>
    </row>
    <row r="64" spans="2:13" ht="14.25" customHeight="1" x14ac:dyDescent="0.3">
      <c r="M64" s="26"/>
    </row>
    <row r="65" spans="13:13" ht="14.25" customHeight="1" x14ac:dyDescent="0.3">
      <c r="M65" s="26"/>
    </row>
    <row r="66" spans="13:13" ht="14.25" customHeight="1" x14ac:dyDescent="0.3">
      <c r="M66" s="26"/>
    </row>
    <row r="67" spans="13:13" ht="14.25" customHeight="1" x14ac:dyDescent="0.3">
      <c r="M67" s="26"/>
    </row>
    <row r="68" spans="13:13" ht="14.25" customHeight="1" x14ac:dyDescent="0.3">
      <c r="M68" s="26"/>
    </row>
    <row r="69" spans="13:13" ht="14.25" customHeight="1" x14ac:dyDescent="0.3">
      <c r="M69" s="26"/>
    </row>
    <row r="70" spans="13:13" ht="14.25" customHeight="1" x14ac:dyDescent="0.3">
      <c r="M70" s="26"/>
    </row>
    <row r="71" spans="13:13" ht="14.25" customHeight="1" x14ac:dyDescent="0.3">
      <c r="M71" s="26"/>
    </row>
    <row r="72" spans="13:13" ht="14.25" customHeight="1" x14ac:dyDescent="0.3">
      <c r="M72" s="26"/>
    </row>
    <row r="73" spans="13:13" ht="14.25" customHeight="1" x14ac:dyDescent="0.3">
      <c r="M73" s="26"/>
    </row>
    <row r="74" spans="13:13" ht="14.25" customHeight="1" x14ac:dyDescent="0.3">
      <c r="M74" s="26"/>
    </row>
    <row r="75" spans="13:13" ht="14.25" customHeight="1" x14ac:dyDescent="0.3">
      <c r="M75" s="26"/>
    </row>
    <row r="76" spans="13:13" ht="14.25" customHeight="1" x14ac:dyDescent="0.3">
      <c r="M76" s="26"/>
    </row>
    <row r="77" spans="13:13" ht="14.25" customHeight="1" x14ac:dyDescent="0.3">
      <c r="M77" s="26"/>
    </row>
    <row r="78" spans="13:13" ht="14.25" customHeight="1" x14ac:dyDescent="0.3">
      <c r="M78" s="26"/>
    </row>
    <row r="79" spans="13:13" ht="14.25" customHeight="1" x14ac:dyDescent="0.3">
      <c r="M79" s="26"/>
    </row>
    <row r="80" spans="13:13" ht="14.25" customHeight="1" x14ac:dyDescent="0.3">
      <c r="M80" s="26"/>
    </row>
    <row r="81" spans="13:13" ht="14.25" customHeight="1" x14ac:dyDescent="0.3">
      <c r="M81" s="26"/>
    </row>
    <row r="82" spans="13:13" ht="14.25" customHeight="1" x14ac:dyDescent="0.3">
      <c r="M82" s="26"/>
    </row>
    <row r="83" spans="13:13" ht="14.25" customHeight="1" x14ac:dyDescent="0.3">
      <c r="M83" s="26"/>
    </row>
    <row r="84" spans="13:13" ht="14.25" customHeight="1" x14ac:dyDescent="0.3">
      <c r="M84" s="26"/>
    </row>
    <row r="85" spans="13:13" ht="14.25" customHeight="1" x14ac:dyDescent="0.3">
      <c r="M85" s="26"/>
    </row>
    <row r="86" spans="13:13" ht="14.25" customHeight="1" x14ac:dyDescent="0.3">
      <c r="M86" s="26"/>
    </row>
    <row r="87" spans="13:13" ht="14.25" customHeight="1" x14ac:dyDescent="0.3">
      <c r="M87" s="26"/>
    </row>
    <row r="88" spans="13:13" ht="14.25" customHeight="1" x14ac:dyDescent="0.3">
      <c r="M88" s="26"/>
    </row>
    <row r="89" spans="13:13" ht="14.25" customHeight="1" x14ac:dyDescent="0.3">
      <c r="M89" s="26"/>
    </row>
    <row r="90" spans="13:13" ht="14.25" customHeight="1" x14ac:dyDescent="0.3">
      <c r="M90" s="26"/>
    </row>
    <row r="91" spans="13:13" ht="14.25" customHeight="1" x14ac:dyDescent="0.3">
      <c r="M91" s="26"/>
    </row>
    <row r="92" spans="13:13" ht="14.25" customHeight="1" x14ac:dyDescent="0.3">
      <c r="M92" s="26"/>
    </row>
    <row r="93" spans="13:13" ht="14.25" customHeight="1" x14ac:dyDescent="0.3">
      <c r="M93" s="26"/>
    </row>
    <row r="94" spans="13:13" ht="14.25" customHeight="1" x14ac:dyDescent="0.3">
      <c r="M94" s="26"/>
    </row>
    <row r="95" spans="13:13" ht="14.25" customHeight="1" x14ac:dyDescent="0.3">
      <c r="M95" s="26"/>
    </row>
    <row r="96" spans="13:13" ht="14.25" customHeight="1" x14ac:dyDescent="0.3">
      <c r="M96" s="26"/>
    </row>
    <row r="97" spans="13:13" ht="14.25" customHeight="1" x14ac:dyDescent="0.3">
      <c r="M97" s="26"/>
    </row>
    <row r="98" spans="13:13" ht="14.25" customHeight="1" x14ac:dyDescent="0.3">
      <c r="M98" s="26"/>
    </row>
    <row r="99" spans="13:13" ht="14.25" customHeight="1" x14ac:dyDescent="0.3">
      <c r="M99" s="26"/>
    </row>
    <row r="100" spans="13:13" ht="14.25" customHeight="1" x14ac:dyDescent="0.3">
      <c r="M100" s="26"/>
    </row>
    <row r="101" spans="13:13" ht="14.25" customHeight="1" x14ac:dyDescent="0.3">
      <c r="M101" s="26"/>
    </row>
    <row r="102" spans="13:13" ht="14.25" customHeight="1" x14ac:dyDescent="0.3">
      <c r="M102" s="26"/>
    </row>
    <row r="103" spans="13:13" ht="14.25" customHeight="1" x14ac:dyDescent="0.3">
      <c r="M103" s="26"/>
    </row>
    <row r="104" spans="13:13" ht="14.25" customHeight="1" x14ac:dyDescent="0.3">
      <c r="M104" s="26"/>
    </row>
    <row r="105" spans="13:13" ht="14.25" customHeight="1" x14ac:dyDescent="0.3">
      <c r="M105" s="26"/>
    </row>
    <row r="106" spans="13:13" ht="14.25" customHeight="1" x14ac:dyDescent="0.3">
      <c r="M106" s="26"/>
    </row>
    <row r="107" spans="13:13" ht="14.25" customHeight="1" x14ac:dyDescent="0.3">
      <c r="M107" s="26"/>
    </row>
    <row r="108" spans="13:13" ht="14.25" customHeight="1" x14ac:dyDescent="0.3">
      <c r="M108" s="26"/>
    </row>
    <row r="109" spans="13:13" ht="14.25" customHeight="1" x14ac:dyDescent="0.3">
      <c r="M109" s="26"/>
    </row>
    <row r="110" spans="13:13" ht="14.25" customHeight="1" x14ac:dyDescent="0.3">
      <c r="M110" s="26"/>
    </row>
    <row r="111" spans="13:13" ht="14.25" customHeight="1" x14ac:dyDescent="0.3">
      <c r="M111" s="26"/>
    </row>
    <row r="112" spans="13:13" ht="14.25" customHeight="1" x14ac:dyDescent="0.3">
      <c r="M112" s="26"/>
    </row>
    <row r="113" spans="13:13" ht="14.25" customHeight="1" x14ac:dyDescent="0.3">
      <c r="M113" s="26"/>
    </row>
    <row r="114" spans="13:13" ht="14.25" customHeight="1" x14ac:dyDescent="0.3">
      <c r="M114" s="26"/>
    </row>
    <row r="115" spans="13:13" ht="14.25" customHeight="1" x14ac:dyDescent="0.3">
      <c r="M115" s="26"/>
    </row>
    <row r="116" spans="13:13" ht="14.25" customHeight="1" x14ac:dyDescent="0.3">
      <c r="M116" s="26"/>
    </row>
    <row r="117" spans="13:13" ht="14.25" customHeight="1" x14ac:dyDescent="0.3">
      <c r="M117" s="26"/>
    </row>
    <row r="118" spans="13:13" ht="14.25" customHeight="1" x14ac:dyDescent="0.3">
      <c r="M118" s="26"/>
    </row>
    <row r="119" spans="13:13" ht="14.25" customHeight="1" x14ac:dyDescent="0.3">
      <c r="M119" s="26"/>
    </row>
    <row r="120" spans="13:13" ht="14.25" customHeight="1" x14ac:dyDescent="0.3">
      <c r="M120" s="26"/>
    </row>
    <row r="121" spans="13:13" ht="14.25" customHeight="1" x14ac:dyDescent="0.3">
      <c r="M121" s="26"/>
    </row>
    <row r="122" spans="13:13" ht="14.25" customHeight="1" x14ac:dyDescent="0.3">
      <c r="M122" s="26"/>
    </row>
    <row r="123" spans="13:13" ht="14.25" customHeight="1" x14ac:dyDescent="0.3">
      <c r="M123" s="26"/>
    </row>
    <row r="124" spans="13:13" ht="14.25" customHeight="1" x14ac:dyDescent="0.3">
      <c r="M124" s="26"/>
    </row>
    <row r="125" spans="13:13" ht="14.25" customHeight="1" x14ac:dyDescent="0.3">
      <c r="M125" s="26"/>
    </row>
    <row r="126" spans="13:13" ht="14.25" customHeight="1" x14ac:dyDescent="0.3">
      <c r="M126" s="26"/>
    </row>
    <row r="127" spans="13:13" ht="14.25" customHeight="1" x14ac:dyDescent="0.3">
      <c r="M127" s="26"/>
    </row>
    <row r="128" spans="13:13" ht="14.25" customHeight="1" x14ac:dyDescent="0.3">
      <c r="M128" s="26"/>
    </row>
    <row r="129" spans="13:13" ht="14.25" customHeight="1" x14ac:dyDescent="0.3">
      <c r="M129" s="26"/>
    </row>
    <row r="130" spans="13:13" ht="14.25" customHeight="1" x14ac:dyDescent="0.3">
      <c r="M130" s="26"/>
    </row>
    <row r="131" spans="13:13" ht="14.25" customHeight="1" x14ac:dyDescent="0.3">
      <c r="M131" s="26"/>
    </row>
    <row r="132" spans="13:13" ht="14.25" customHeight="1" x14ac:dyDescent="0.3">
      <c r="M132" s="26"/>
    </row>
    <row r="133" spans="13:13" ht="14.25" customHeight="1" x14ac:dyDescent="0.3">
      <c r="M133" s="26"/>
    </row>
    <row r="134" spans="13:13" ht="14.25" customHeight="1" x14ac:dyDescent="0.3">
      <c r="M134" s="26"/>
    </row>
    <row r="135" spans="13:13" ht="14.25" customHeight="1" x14ac:dyDescent="0.3">
      <c r="M135" s="26"/>
    </row>
    <row r="136" spans="13:13" ht="14.25" customHeight="1" x14ac:dyDescent="0.3">
      <c r="M136" s="26"/>
    </row>
    <row r="137" spans="13:13" ht="14.25" customHeight="1" x14ac:dyDescent="0.3">
      <c r="M137" s="26"/>
    </row>
    <row r="138" spans="13:13" ht="14.25" customHeight="1" x14ac:dyDescent="0.3">
      <c r="M138" s="26"/>
    </row>
    <row r="139" spans="13:13" ht="14.25" customHeight="1" x14ac:dyDescent="0.3">
      <c r="M139" s="26"/>
    </row>
    <row r="140" spans="13:13" ht="14.25" customHeight="1" x14ac:dyDescent="0.3">
      <c r="M140" s="26"/>
    </row>
    <row r="141" spans="13:13" ht="14.25" customHeight="1" x14ac:dyDescent="0.3">
      <c r="M141" s="26"/>
    </row>
    <row r="142" spans="13:13" ht="14.25" customHeight="1" x14ac:dyDescent="0.3">
      <c r="M142" s="26"/>
    </row>
    <row r="143" spans="13:13" ht="14.25" customHeight="1" x14ac:dyDescent="0.3">
      <c r="M143" s="26"/>
    </row>
    <row r="144" spans="13:13" ht="14.25" customHeight="1" x14ac:dyDescent="0.3">
      <c r="M144" s="26"/>
    </row>
    <row r="145" spans="13:13" ht="14.25" customHeight="1" x14ac:dyDescent="0.3">
      <c r="M145" s="26"/>
    </row>
    <row r="146" spans="13:13" ht="14.25" customHeight="1" x14ac:dyDescent="0.3">
      <c r="M146" s="26"/>
    </row>
    <row r="147" spans="13:13" ht="14.25" customHeight="1" x14ac:dyDescent="0.3">
      <c r="M147" s="26"/>
    </row>
    <row r="148" spans="13:13" ht="14.25" customHeight="1" x14ac:dyDescent="0.3">
      <c r="M148" s="26"/>
    </row>
    <row r="149" spans="13:13" ht="14.25" customHeight="1" x14ac:dyDescent="0.3">
      <c r="M149" s="26"/>
    </row>
    <row r="150" spans="13:13" ht="14.25" customHeight="1" x14ac:dyDescent="0.3">
      <c r="M150" s="26"/>
    </row>
    <row r="151" spans="13:13" ht="14.25" customHeight="1" x14ac:dyDescent="0.3">
      <c r="M151" s="26"/>
    </row>
    <row r="152" spans="13:13" ht="14.25" customHeight="1" x14ac:dyDescent="0.3">
      <c r="M152" s="26"/>
    </row>
    <row r="153" spans="13:13" ht="14.25" customHeight="1" x14ac:dyDescent="0.3">
      <c r="M153" s="26"/>
    </row>
    <row r="154" spans="13:13" ht="14.25" customHeight="1" x14ac:dyDescent="0.3">
      <c r="M154" s="26"/>
    </row>
    <row r="155" spans="13:13" ht="14.25" customHeight="1" x14ac:dyDescent="0.3">
      <c r="M155" s="26"/>
    </row>
    <row r="156" spans="13:13" ht="14.25" customHeight="1" x14ac:dyDescent="0.3">
      <c r="M156" s="26"/>
    </row>
    <row r="157" spans="13:13" ht="14.25" customHeight="1" x14ac:dyDescent="0.3">
      <c r="M157" s="26"/>
    </row>
    <row r="158" spans="13:13" ht="14.25" customHeight="1" x14ac:dyDescent="0.3">
      <c r="M158" s="26"/>
    </row>
    <row r="159" spans="13:13" ht="14.25" customHeight="1" x14ac:dyDescent="0.3">
      <c r="M159" s="26"/>
    </row>
    <row r="160" spans="13:13" ht="14.25" customHeight="1" x14ac:dyDescent="0.3">
      <c r="M160" s="26"/>
    </row>
    <row r="161" spans="13:13" ht="14.25" customHeight="1" x14ac:dyDescent="0.3">
      <c r="M161" s="26"/>
    </row>
    <row r="162" spans="13:13" ht="14.25" customHeight="1" x14ac:dyDescent="0.3">
      <c r="M162" s="26"/>
    </row>
    <row r="163" spans="13:13" ht="14.25" customHeight="1" x14ac:dyDescent="0.3">
      <c r="M163" s="26"/>
    </row>
    <row r="164" spans="13:13" ht="14.25" customHeight="1" x14ac:dyDescent="0.3">
      <c r="M164" s="26"/>
    </row>
    <row r="165" spans="13:13" ht="14.25" customHeight="1" x14ac:dyDescent="0.3">
      <c r="M165" s="26"/>
    </row>
    <row r="166" spans="13:13" ht="14.25" customHeight="1" x14ac:dyDescent="0.3">
      <c r="M166" s="26"/>
    </row>
    <row r="167" spans="13:13" ht="14.25" customHeight="1" x14ac:dyDescent="0.3">
      <c r="M167" s="26"/>
    </row>
    <row r="168" spans="13:13" ht="14.25" customHeight="1" x14ac:dyDescent="0.3">
      <c r="M168" s="26"/>
    </row>
    <row r="169" spans="13:13" ht="14.25" customHeight="1" x14ac:dyDescent="0.3">
      <c r="M169" s="26"/>
    </row>
    <row r="170" spans="13:13" ht="14.25" customHeight="1" x14ac:dyDescent="0.3">
      <c r="M170" s="26"/>
    </row>
    <row r="171" spans="13:13" ht="14.25" customHeight="1" x14ac:dyDescent="0.3">
      <c r="M171" s="26"/>
    </row>
    <row r="172" spans="13:13" ht="14.25" customHeight="1" x14ac:dyDescent="0.3">
      <c r="M172" s="26"/>
    </row>
    <row r="173" spans="13:13" ht="14.25" customHeight="1" x14ac:dyDescent="0.3">
      <c r="M173" s="26"/>
    </row>
    <row r="174" spans="13:13" ht="14.25" customHeight="1" x14ac:dyDescent="0.3">
      <c r="M174" s="26"/>
    </row>
    <row r="175" spans="13:13" ht="14.25" customHeight="1" x14ac:dyDescent="0.3">
      <c r="M175" s="26"/>
    </row>
    <row r="176" spans="13:13" ht="14.25" customHeight="1" x14ac:dyDescent="0.3">
      <c r="M176" s="26"/>
    </row>
    <row r="177" spans="13:13" ht="14.25" customHeight="1" x14ac:dyDescent="0.3">
      <c r="M177" s="26"/>
    </row>
    <row r="178" spans="13:13" ht="14.25" customHeight="1" x14ac:dyDescent="0.3">
      <c r="M178" s="26"/>
    </row>
    <row r="179" spans="13:13" ht="14.25" customHeight="1" x14ac:dyDescent="0.3">
      <c r="M179" s="26"/>
    </row>
    <row r="180" spans="13:13" ht="14.25" customHeight="1" x14ac:dyDescent="0.3">
      <c r="M180" s="26"/>
    </row>
    <row r="181" spans="13:13" ht="14.25" customHeight="1" x14ac:dyDescent="0.3">
      <c r="M181" s="26"/>
    </row>
    <row r="182" spans="13:13" ht="14.25" customHeight="1" x14ac:dyDescent="0.3">
      <c r="M182" s="26"/>
    </row>
    <row r="183" spans="13:13" ht="14.25" customHeight="1" x14ac:dyDescent="0.3">
      <c r="M183" s="26"/>
    </row>
    <row r="184" spans="13:13" ht="14.25" customHeight="1" x14ac:dyDescent="0.3">
      <c r="M184" s="26"/>
    </row>
    <row r="185" spans="13:13" ht="14.25" customHeight="1" x14ac:dyDescent="0.3">
      <c r="M185" s="26"/>
    </row>
    <row r="186" spans="13:13" ht="14.25" customHeight="1" x14ac:dyDescent="0.3">
      <c r="M186" s="26"/>
    </row>
    <row r="187" spans="13:13" ht="14.25" customHeight="1" x14ac:dyDescent="0.3">
      <c r="M187" s="26"/>
    </row>
    <row r="188" spans="13:13" ht="14.25" customHeight="1" x14ac:dyDescent="0.3">
      <c r="M188" s="26"/>
    </row>
    <row r="189" spans="13:13" ht="14.25" customHeight="1" x14ac:dyDescent="0.3">
      <c r="M189" s="26"/>
    </row>
    <row r="190" spans="13:13" ht="14.25" customHeight="1" x14ac:dyDescent="0.3">
      <c r="M190" s="26"/>
    </row>
    <row r="191" spans="13:13" ht="14.25" customHeight="1" x14ac:dyDescent="0.3">
      <c r="M191" s="26"/>
    </row>
    <row r="192" spans="13:13" ht="14.25" customHeight="1" x14ac:dyDescent="0.3">
      <c r="M192" s="26"/>
    </row>
    <row r="193" spans="13:13" ht="14.25" customHeight="1" x14ac:dyDescent="0.3">
      <c r="M193" s="26"/>
    </row>
    <row r="194" spans="13:13" ht="14.25" customHeight="1" x14ac:dyDescent="0.3">
      <c r="M194" s="26"/>
    </row>
    <row r="195" spans="13:13" ht="14.25" customHeight="1" x14ac:dyDescent="0.3">
      <c r="M195" s="26"/>
    </row>
    <row r="196" spans="13:13" ht="14.25" customHeight="1" x14ac:dyDescent="0.3">
      <c r="M196" s="26"/>
    </row>
    <row r="197" spans="13:13" ht="14.25" customHeight="1" x14ac:dyDescent="0.3">
      <c r="M197" s="26"/>
    </row>
    <row r="198" spans="13:13" ht="14.25" customHeight="1" x14ac:dyDescent="0.3">
      <c r="M198" s="26"/>
    </row>
    <row r="199" spans="13:13" ht="14.25" customHeight="1" x14ac:dyDescent="0.3">
      <c r="M199" s="26"/>
    </row>
    <row r="200" spans="13:13" ht="14.25" customHeight="1" x14ac:dyDescent="0.3">
      <c r="M200" s="26"/>
    </row>
    <row r="201" spans="13:13" ht="14.25" customHeight="1" x14ac:dyDescent="0.3">
      <c r="M201" s="26"/>
    </row>
    <row r="202" spans="13:13" ht="14.25" customHeight="1" x14ac:dyDescent="0.3">
      <c r="M202" s="26"/>
    </row>
    <row r="203" spans="13:13" ht="14.25" customHeight="1" x14ac:dyDescent="0.3">
      <c r="M203" s="26"/>
    </row>
    <row r="204" spans="13:13" ht="14.25" customHeight="1" x14ac:dyDescent="0.3">
      <c r="M204" s="26"/>
    </row>
    <row r="205" spans="13:13" ht="14.25" customHeight="1" x14ac:dyDescent="0.3">
      <c r="M205" s="26"/>
    </row>
    <row r="206" spans="13:13" ht="14.25" customHeight="1" x14ac:dyDescent="0.3">
      <c r="M206" s="26"/>
    </row>
    <row r="207" spans="13:13" ht="14.25" customHeight="1" x14ac:dyDescent="0.3">
      <c r="M207" s="26"/>
    </row>
    <row r="208" spans="13:13" ht="14.25" customHeight="1" x14ac:dyDescent="0.3">
      <c r="M208" s="26"/>
    </row>
    <row r="209" spans="13:13" ht="14.25" customHeight="1" x14ac:dyDescent="0.3">
      <c r="M209" s="26"/>
    </row>
    <row r="210" spans="13:13" ht="14.25" customHeight="1" x14ac:dyDescent="0.3">
      <c r="M210" s="26"/>
    </row>
    <row r="211" spans="13:13" ht="14.25" customHeight="1" x14ac:dyDescent="0.3">
      <c r="M211" s="26"/>
    </row>
    <row r="212" spans="13:13" ht="14.25" customHeight="1" x14ac:dyDescent="0.3">
      <c r="M212" s="26"/>
    </row>
    <row r="213" spans="13:13" ht="14.25" customHeight="1" x14ac:dyDescent="0.3">
      <c r="M213" s="26"/>
    </row>
    <row r="214" spans="13:13" ht="14.25" customHeight="1" x14ac:dyDescent="0.3">
      <c r="M214" s="26"/>
    </row>
    <row r="215" spans="13:13" ht="14.25" customHeight="1" x14ac:dyDescent="0.3">
      <c r="M215" s="26"/>
    </row>
    <row r="216" spans="13:13" ht="14.25" customHeight="1" x14ac:dyDescent="0.3">
      <c r="M216" s="26"/>
    </row>
    <row r="217" spans="13:13" ht="14.25" customHeight="1" x14ac:dyDescent="0.3">
      <c r="M217" s="26"/>
    </row>
    <row r="218" spans="13:13" ht="14.25" customHeight="1" x14ac:dyDescent="0.3">
      <c r="M218" s="26"/>
    </row>
    <row r="219" spans="13:13" ht="14.25" customHeight="1" x14ac:dyDescent="0.3">
      <c r="M219" s="26"/>
    </row>
    <row r="220" spans="13:13" ht="14.25" customHeight="1" x14ac:dyDescent="0.3">
      <c r="M220" s="26"/>
    </row>
    <row r="221" spans="13:13" ht="14.25" customHeight="1" x14ac:dyDescent="0.3">
      <c r="M221" s="26"/>
    </row>
    <row r="222" spans="13:13" ht="14.25" customHeight="1" x14ac:dyDescent="0.3">
      <c r="M222" s="26"/>
    </row>
    <row r="223" spans="13:13" ht="14.25" customHeight="1" x14ac:dyDescent="0.3">
      <c r="M223" s="26"/>
    </row>
    <row r="224" spans="13:13" ht="14.25" customHeight="1" x14ac:dyDescent="0.3">
      <c r="M224" s="26"/>
    </row>
    <row r="225" spans="13:13" ht="14.25" customHeight="1" x14ac:dyDescent="0.3">
      <c r="M225" s="26"/>
    </row>
    <row r="226" spans="13:13" ht="14.25" customHeight="1" x14ac:dyDescent="0.3">
      <c r="M226" s="26"/>
    </row>
    <row r="227" spans="13:13" ht="14.25" customHeight="1" x14ac:dyDescent="0.3">
      <c r="M227" s="26"/>
    </row>
    <row r="228" spans="13:13" ht="14.25" customHeight="1" x14ac:dyDescent="0.3">
      <c r="M228" s="26"/>
    </row>
    <row r="229" spans="13:13" ht="14.25" customHeight="1" x14ac:dyDescent="0.3">
      <c r="M229" s="26"/>
    </row>
    <row r="230" spans="13:13" ht="14.25" customHeight="1" x14ac:dyDescent="0.3">
      <c r="M230" s="26"/>
    </row>
    <row r="231" spans="13:13" ht="14.25" customHeight="1" x14ac:dyDescent="0.3">
      <c r="M231" s="26"/>
    </row>
    <row r="232" spans="13:13" ht="14.25" customHeight="1" x14ac:dyDescent="0.3">
      <c r="M232" s="26"/>
    </row>
    <row r="233" spans="13:13" ht="14.25" customHeight="1" x14ac:dyDescent="0.3">
      <c r="M233" s="26"/>
    </row>
    <row r="234" spans="13:13" ht="14.25" customHeight="1" x14ac:dyDescent="0.3">
      <c r="M234" s="26"/>
    </row>
    <row r="235" spans="13:13" ht="14.25" customHeight="1" x14ac:dyDescent="0.3">
      <c r="M235" s="26"/>
    </row>
    <row r="236" spans="13:13" ht="14.25" customHeight="1" x14ac:dyDescent="0.3">
      <c r="M236" s="26"/>
    </row>
    <row r="237" spans="13:13" ht="14.25" customHeight="1" x14ac:dyDescent="0.3">
      <c r="M237" s="26"/>
    </row>
    <row r="238" spans="13:13" ht="14.25" customHeight="1" x14ac:dyDescent="0.3">
      <c r="M238" s="26"/>
    </row>
    <row r="239" spans="13:13" ht="14.25" customHeight="1" x14ac:dyDescent="0.3">
      <c r="M239" s="26"/>
    </row>
    <row r="240" spans="13:13" ht="14.25" customHeight="1" x14ac:dyDescent="0.3">
      <c r="M240" s="26"/>
    </row>
    <row r="241" spans="13:13" ht="14.25" customHeight="1" x14ac:dyDescent="0.3">
      <c r="M241" s="26"/>
    </row>
    <row r="242" spans="13:13" ht="14.25" customHeight="1" x14ac:dyDescent="0.3">
      <c r="M242" s="26"/>
    </row>
    <row r="243" spans="13:13" ht="14.25" customHeight="1" x14ac:dyDescent="0.3">
      <c r="M243" s="26"/>
    </row>
    <row r="244" spans="13:13" ht="14.25" customHeight="1" x14ac:dyDescent="0.3">
      <c r="M244" s="26"/>
    </row>
    <row r="245" spans="13:13" ht="14.25" customHeight="1" x14ac:dyDescent="0.3">
      <c r="M245" s="26"/>
    </row>
    <row r="246" spans="13:13" ht="14.25" customHeight="1" x14ac:dyDescent="0.3">
      <c r="M246" s="26"/>
    </row>
    <row r="247" spans="13:13" ht="14.25" customHeight="1" x14ac:dyDescent="0.3">
      <c r="M247" s="26"/>
    </row>
    <row r="248" spans="13:13" ht="14.25" customHeight="1" x14ac:dyDescent="0.3">
      <c r="M248" s="26"/>
    </row>
    <row r="249" spans="13:13" ht="14.25" customHeight="1" x14ac:dyDescent="0.3">
      <c r="M249" s="26"/>
    </row>
    <row r="250" spans="13:13" ht="14.25" customHeight="1" x14ac:dyDescent="0.3">
      <c r="M250" s="26"/>
    </row>
    <row r="251" spans="13:13" ht="14.25" customHeight="1" x14ac:dyDescent="0.3">
      <c r="M251" s="26"/>
    </row>
    <row r="252" spans="13:13" ht="14.25" customHeight="1" x14ac:dyDescent="0.3">
      <c r="M252" s="26"/>
    </row>
    <row r="253" spans="13:13" ht="14.25" customHeight="1" x14ac:dyDescent="0.3">
      <c r="M253" s="26"/>
    </row>
    <row r="254" spans="13:13" ht="14.25" customHeight="1" x14ac:dyDescent="0.3">
      <c r="M254" s="26"/>
    </row>
    <row r="255" spans="13:13" ht="14.25" customHeight="1" x14ac:dyDescent="0.3">
      <c r="M255" s="26"/>
    </row>
    <row r="256" spans="13:13" ht="14.25" customHeight="1" x14ac:dyDescent="0.3">
      <c r="M256" s="26"/>
    </row>
    <row r="257" spans="13:13" ht="14.25" customHeight="1" x14ac:dyDescent="0.3">
      <c r="M257" s="26"/>
    </row>
    <row r="258" spans="13:13" ht="14.25" customHeight="1" x14ac:dyDescent="0.3">
      <c r="M258" s="26"/>
    </row>
    <row r="259" spans="13:13" ht="14.25" customHeight="1" x14ac:dyDescent="0.3">
      <c r="M259" s="26"/>
    </row>
    <row r="260" spans="13:13" ht="14.25" customHeight="1" x14ac:dyDescent="0.3">
      <c r="M260" s="26"/>
    </row>
    <row r="261" spans="13:13" ht="14.25" customHeight="1" x14ac:dyDescent="0.3">
      <c r="M261" s="26"/>
    </row>
    <row r="262" spans="13:13" ht="14.25" customHeight="1" x14ac:dyDescent="0.3">
      <c r="M262" s="26"/>
    </row>
    <row r="263" spans="13:13" ht="14.25" customHeight="1" x14ac:dyDescent="0.3">
      <c r="M263" s="26"/>
    </row>
    <row r="264" spans="13:13" ht="14.25" customHeight="1" x14ac:dyDescent="0.3">
      <c r="M264" s="26"/>
    </row>
    <row r="265" spans="13:13" ht="14.25" customHeight="1" x14ac:dyDescent="0.3">
      <c r="M265" s="26"/>
    </row>
    <row r="266" spans="13:13" ht="14.25" customHeight="1" x14ac:dyDescent="0.3">
      <c r="M266" s="26"/>
    </row>
    <row r="267" spans="13:13" ht="14.25" customHeight="1" x14ac:dyDescent="0.3">
      <c r="M267" s="26"/>
    </row>
    <row r="268" spans="13:13" ht="14.25" customHeight="1" x14ac:dyDescent="0.3">
      <c r="M268" s="26"/>
    </row>
    <row r="269" spans="13:13" ht="14.25" customHeight="1" x14ac:dyDescent="0.3">
      <c r="M269" s="26"/>
    </row>
    <row r="270" spans="13:13" ht="14.25" customHeight="1" x14ac:dyDescent="0.3">
      <c r="M270" s="26"/>
    </row>
    <row r="271" spans="13:13" ht="14.25" customHeight="1" x14ac:dyDescent="0.3">
      <c r="M271" s="26"/>
    </row>
    <row r="272" spans="13:13" ht="14.25" customHeight="1" x14ac:dyDescent="0.3">
      <c r="M272" s="26"/>
    </row>
    <row r="273" spans="13:13" ht="14.25" customHeight="1" x14ac:dyDescent="0.3">
      <c r="M273" s="26"/>
    </row>
    <row r="274" spans="13:13" ht="14.25" customHeight="1" x14ac:dyDescent="0.3">
      <c r="M274" s="26"/>
    </row>
    <row r="275" spans="13:13" ht="14.25" customHeight="1" x14ac:dyDescent="0.3">
      <c r="M275" s="26"/>
    </row>
    <row r="276" spans="13:13" ht="14.25" customHeight="1" x14ac:dyDescent="0.3">
      <c r="M276" s="26"/>
    </row>
    <row r="277" spans="13:13" ht="14.25" customHeight="1" x14ac:dyDescent="0.3">
      <c r="M277" s="26"/>
    </row>
    <row r="278" spans="13:13" ht="14.25" customHeight="1" x14ac:dyDescent="0.3">
      <c r="M278" s="26"/>
    </row>
    <row r="279" spans="13:13" ht="14.25" customHeight="1" x14ac:dyDescent="0.3">
      <c r="M279" s="26"/>
    </row>
    <row r="280" spans="13:13" ht="14.25" customHeight="1" x14ac:dyDescent="0.3">
      <c r="M280" s="26"/>
    </row>
    <row r="281" spans="13:13" ht="14.25" customHeight="1" x14ac:dyDescent="0.3">
      <c r="M281" s="26"/>
    </row>
    <row r="282" spans="13:13" ht="14.25" customHeight="1" x14ac:dyDescent="0.3">
      <c r="M282" s="26"/>
    </row>
    <row r="283" spans="13:13" ht="14.25" customHeight="1" x14ac:dyDescent="0.3">
      <c r="M283" s="26"/>
    </row>
    <row r="284" spans="13:13" ht="14.25" customHeight="1" x14ac:dyDescent="0.3">
      <c r="M284" s="26"/>
    </row>
    <row r="285" spans="13:13" ht="14.25" customHeight="1" x14ac:dyDescent="0.3">
      <c r="M285" s="26"/>
    </row>
    <row r="286" spans="13:13" ht="14.25" customHeight="1" x14ac:dyDescent="0.3">
      <c r="M286" s="26"/>
    </row>
    <row r="287" spans="13:13" ht="14.25" customHeight="1" x14ac:dyDescent="0.3">
      <c r="M287" s="26"/>
    </row>
    <row r="288" spans="13:13" ht="14.25" customHeight="1" x14ac:dyDescent="0.3">
      <c r="M288" s="26"/>
    </row>
    <row r="289" spans="13:13" ht="14.25" customHeight="1" x14ac:dyDescent="0.3">
      <c r="M289" s="26"/>
    </row>
    <row r="290" spans="13:13" ht="14.25" customHeight="1" x14ac:dyDescent="0.3">
      <c r="M290" s="26"/>
    </row>
    <row r="291" spans="13:13" ht="14.25" customHeight="1" x14ac:dyDescent="0.3">
      <c r="M291" s="26"/>
    </row>
    <row r="292" spans="13:13" ht="14.25" customHeight="1" x14ac:dyDescent="0.3">
      <c r="M292" s="26"/>
    </row>
    <row r="293" spans="13:13" ht="14.25" customHeight="1" x14ac:dyDescent="0.3">
      <c r="M293" s="26"/>
    </row>
    <row r="294" spans="13:13" ht="14.25" customHeight="1" x14ac:dyDescent="0.3">
      <c r="M294" s="26"/>
    </row>
    <row r="295" spans="13:13" ht="14.25" customHeight="1" x14ac:dyDescent="0.3">
      <c r="M295" s="26"/>
    </row>
    <row r="296" spans="13:13" ht="14.25" customHeight="1" x14ac:dyDescent="0.3">
      <c r="M296" s="26"/>
    </row>
    <row r="297" spans="13:13" ht="14.25" customHeight="1" x14ac:dyDescent="0.3">
      <c r="M297" s="26"/>
    </row>
    <row r="298" spans="13:13" ht="14.25" customHeight="1" x14ac:dyDescent="0.3">
      <c r="M298" s="26"/>
    </row>
    <row r="299" spans="13:13" ht="14.25" customHeight="1" x14ac:dyDescent="0.3">
      <c r="M299" s="26"/>
    </row>
    <row r="300" spans="13:13" ht="14.25" customHeight="1" x14ac:dyDescent="0.3">
      <c r="M300" s="26"/>
    </row>
    <row r="301" spans="13:13" ht="14.25" customHeight="1" x14ac:dyDescent="0.3">
      <c r="M301" s="26"/>
    </row>
    <row r="302" spans="13:13" ht="14.25" customHeight="1" x14ac:dyDescent="0.3">
      <c r="M302" s="26"/>
    </row>
    <row r="303" spans="13:13" ht="14.25" customHeight="1" x14ac:dyDescent="0.3">
      <c r="M303" s="26"/>
    </row>
    <row r="304" spans="13:13" ht="14.25" customHeight="1" x14ac:dyDescent="0.3">
      <c r="M304" s="26"/>
    </row>
    <row r="305" spans="13:13" ht="14.25" customHeight="1" x14ac:dyDescent="0.3">
      <c r="M305" s="26"/>
    </row>
    <row r="306" spans="13:13" ht="14.25" customHeight="1" x14ac:dyDescent="0.3">
      <c r="M306" s="26"/>
    </row>
    <row r="307" spans="13:13" ht="14.25" customHeight="1" x14ac:dyDescent="0.3">
      <c r="M307" s="26"/>
    </row>
    <row r="308" spans="13:13" ht="14.25" customHeight="1" x14ac:dyDescent="0.3">
      <c r="M308" s="26"/>
    </row>
    <row r="309" spans="13:13" ht="14.25" customHeight="1" x14ac:dyDescent="0.3">
      <c r="M309" s="26"/>
    </row>
    <row r="310" spans="13:13" ht="14.25" customHeight="1" x14ac:dyDescent="0.3">
      <c r="M310" s="26"/>
    </row>
    <row r="311" spans="13:13" ht="14.25" customHeight="1" x14ac:dyDescent="0.3">
      <c r="M311" s="26"/>
    </row>
    <row r="312" spans="13:13" ht="14.25" customHeight="1" x14ac:dyDescent="0.3">
      <c r="M312" s="26"/>
    </row>
    <row r="313" spans="13:13" ht="14.25" customHeight="1" x14ac:dyDescent="0.3">
      <c r="M313" s="26"/>
    </row>
    <row r="314" spans="13:13" ht="14.25" customHeight="1" x14ac:dyDescent="0.3">
      <c r="M314" s="26"/>
    </row>
    <row r="315" spans="13:13" ht="14.25" customHeight="1" x14ac:dyDescent="0.3">
      <c r="M315" s="26"/>
    </row>
    <row r="316" spans="13:13" ht="14.25" customHeight="1" x14ac:dyDescent="0.3">
      <c r="M316" s="26"/>
    </row>
    <row r="317" spans="13:13" ht="14.25" customHeight="1" x14ac:dyDescent="0.3">
      <c r="M317" s="26"/>
    </row>
    <row r="318" spans="13:13" ht="14.25" customHeight="1" x14ac:dyDescent="0.3">
      <c r="M318" s="26"/>
    </row>
    <row r="319" spans="13:13" ht="14.25" customHeight="1" x14ac:dyDescent="0.3">
      <c r="M319" s="26"/>
    </row>
    <row r="320" spans="13:13" ht="14.25" customHeight="1" x14ac:dyDescent="0.3">
      <c r="M320" s="26"/>
    </row>
    <row r="321" spans="13:13" ht="14.25" customHeight="1" x14ac:dyDescent="0.3">
      <c r="M321" s="26"/>
    </row>
    <row r="322" spans="13:13" ht="14.25" customHeight="1" x14ac:dyDescent="0.3">
      <c r="M322" s="26"/>
    </row>
    <row r="323" spans="13:13" ht="14.25" customHeight="1" x14ac:dyDescent="0.3">
      <c r="M323" s="26"/>
    </row>
    <row r="324" spans="13:13" ht="14.25" customHeight="1" x14ac:dyDescent="0.3">
      <c r="M324" s="26"/>
    </row>
    <row r="325" spans="13:13" ht="14.25" customHeight="1" x14ac:dyDescent="0.3">
      <c r="M325" s="26"/>
    </row>
    <row r="326" spans="13:13" ht="14.25" customHeight="1" x14ac:dyDescent="0.3">
      <c r="M326" s="26"/>
    </row>
    <row r="327" spans="13:13" ht="14.25" customHeight="1" x14ac:dyDescent="0.3">
      <c r="M327" s="26"/>
    </row>
    <row r="328" spans="13:13" ht="14.25" customHeight="1" x14ac:dyDescent="0.3">
      <c r="M328" s="26"/>
    </row>
    <row r="329" spans="13:13" ht="14.25" customHeight="1" x14ac:dyDescent="0.3">
      <c r="M329" s="26"/>
    </row>
    <row r="330" spans="13:13" ht="14.25" customHeight="1" x14ac:dyDescent="0.3">
      <c r="M330" s="26"/>
    </row>
    <row r="331" spans="13:13" ht="14.25" customHeight="1" x14ac:dyDescent="0.3">
      <c r="M331" s="26"/>
    </row>
    <row r="332" spans="13:13" ht="14.25" customHeight="1" x14ac:dyDescent="0.3">
      <c r="M332" s="26"/>
    </row>
    <row r="333" spans="13:13" ht="14.25" customHeight="1" x14ac:dyDescent="0.3">
      <c r="M333" s="26"/>
    </row>
    <row r="334" spans="13:13" ht="14.25" customHeight="1" x14ac:dyDescent="0.3">
      <c r="M334" s="26"/>
    </row>
    <row r="335" spans="13:13" ht="14.25" customHeight="1" x14ac:dyDescent="0.3">
      <c r="M335" s="26"/>
    </row>
    <row r="336" spans="13:13" ht="14.25" customHeight="1" x14ac:dyDescent="0.3">
      <c r="M336" s="26"/>
    </row>
    <row r="337" spans="13:13" ht="14.25" customHeight="1" x14ac:dyDescent="0.3">
      <c r="M337" s="26"/>
    </row>
    <row r="338" spans="13:13" ht="14.25" customHeight="1" x14ac:dyDescent="0.3">
      <c r="M338" s="26"/>
    </row>
    <row r="339" spans="13:13" ht="14.25" customHeight="1" x14ac:dyDescent="0.3">
      <c r="M339" s="26"/>
    </row>
    <row r="340" spans="13:13" ht="14.25" customHeight="1" x14ac:dyDescent="0.3">
      <c r="M340" s="26"/>
    </row>
    <row r="341" spans="13:13" ht="14.25" customHeight="1" x14ac:dyDescent="0.3">
      <c r="M341" s="26"/>
    </row>
    <row r="342" spans="13:13" ht="14.25" customHeight="1" x14ac:dyDescent="0.3">
      <c r="M342" s="26"/>
    </row>
    <row r="343" spans="13:13" ht="14.25" customHeight="1" x14ac:dyDescent="0.3">
      <c r="M343" s="26"/>
    </row>
    <row r="344" spans="13:13" ht="14.25" customHeight="1" x14ac:dyDescent="0.3">
      <c r="M344" s="26"/>
    </row>
    <row r="345" spans="13:13" ht="14.25" customHeight="1" x14ac:dyDescent="0.3">
      <c r="M345" s="26"/>
    </row>
    <row r="346" spans="13:13" ht="14.25" customHeight="1" x14ac:dyDescent="0.3">
      <c r="M346" s="26"/>
    </row>
    <row r="347" spans="13:13" ht="14.25" customHeight="1" x14ac:dyDescent="0.3">
      <c r="M347" s="26"/>
    </row>
    <row r="348" spans="13:13" ht="14.25" customHeight="1" x14ac:dyDescent="0.3">
      <c r="M348" s="26"/>
    </row>
    <row r="349" spans="13:13" ht="14.25" customHeight="1" x14ac:dyDescent="0.3">
      <c r="M349" s="26"/>
    </row>
    <row r="350" spans="13:13" ht="14.25" customHeight="1" x14ac:dyDescent="0.3">
      <c r="M350" s="26"/>
    </row>
    <row r="351" spans="13:13" ht="14.25" customHeight="1" x14ac:dyDescent="0.3">
      <c r="M351" s="26"/>
    </row>
    <row r="352" spans="13:13" ht="14.25" customHeight="1" x14ac:dyDescent="0.3">
      <c r="M352" s="26"/>
    </row>
    <row r="353" spans="13:13" ht="14.25" customHeight="1" x14ac:dyDescent="0.3">
      <c r="M353" s="26"/>
    </row>
    <row r="354" spans="13:13" ht="14.25" customHeight="1" x14ac:dyDescent="0.3">
      <c r="M354" s="26"/>
    </row>
    <row r="355" spans="13:13" ht="14.25" customHeight="1" x14ac:dyDescent="0.3">
      <c r="M355" s="26"/>
    </row>
    <row r="356" spans="13:13" ht="14.25" customHeight="1" x14ac:dyDescent="0.3">
      <c r="M356" s="26"/>
    </row>
    <row r="357" spans="13:13" ht="14.25" customHeight="1" x14ac:dyDescent="0.3">
      <c r="M357" s="26"/>
    </row>
    <row r="358" spans="13:13" ht="14.25" customHeight="1" x14ac:dyDescent="0.3">
      <c r="M358" s="26"/>
    </row>
    <row r="359" spans="13:13" ht="14.25" customHeight="1" x14ac:dyDescent="0.3">
      <c r="M359" s="26"/>
    </row>
    <row r="360" spans="13:13" ht="14.25" customHeight="1" x14ac:dyDescent="0.3">
      <c r="M360" s="26"/>
    </row>
    <row r="361" spans="13:13" ht="14.25" customHeight="1" x14ac:dyDescent="0.3">
      <c r="M361" s="26"/>
    </row>
    <row r="362" spans="13:13" ht="14.25" customHeight="1" x14ac:dyDescent="0.3">
      <c r="M362" s="26"/>
    </row>
    <row r="363" spans="13:13" ht="14.25" customHeight="1" x14ac:dyDescent="0.3">
      <c r="M363" s="26"/>
    </row>
    <row r="364" spans="13:13" ht="14.25" customHeight="1" x14ac:dyDescent="0.3">
      <c r="M364" s="26"/>
    </row>
    <row r="365" spans="13:13" ht="14.25" customHeight="1" x14ac:dyDescent="0.3">
      <c r="M365" s="26"/>
    </row>
    <row r="366" spans="13:13" ht="14.25" customHeight="1" x14ac:dyDescent="0.3">
      <c r="M366" s="26"/>
    </row>
    <row r="367" spans="13:13" ht="14.25" customHeight="1" x14ac:dyDescent="0.3">
      <c r="M367" s="26"/>
    </row>
    <row r="368" spans="13:13" ht="14.25" customHeight="1" x14ac:dyDescent="0.3">
      <c r="M368" s="26"/>
    </row>
    <row r="369" spans="13:13" ht="14.25" customHeight="1" x14ac:dyDescent="0.3">
      <c r="M369" s="26"/>
    </row>
    <row r="370" spans="13:13" ht="14.25" customHeight="1" x14ac:dyDescent="0.3">
      <c r="M370" s="26"/>
    </row>
    <row r="371" spans="13:13" ht="14.25" customHeight="1" x14ac:dyDescent="0.3">
      <c r="M371" s="26"/>
    </row>
    <row r="372" spans="13:13" ht="14.25" customHeight="1" x14ac:dyDescent="0.3">
      <c r="M372" s="26"/>
    </row>
    <row r="373" spans="13:13" ht="14.25" customHeight="1" x14ac:dyDescent="0.3">
      <c r="M373" s="26"/>
    </row>
    <row r="374" spans="13:13" ht="14.25" customHeight="1" x14ac:dyDescent="0.3">
      <c r="M374" s="26"/>
    </row>
    <row r="375" spans="13:13" ht="14.25" customHeight="1" x14ac:dyDescent="0.3">
      <c r="M375" s="26"/>
    </row>
    <row r="376" spans="13:13" ht="14.25" customHeight="1" x14ac:dyDescent="0.3">
      <c r="M376" s="26"/>
    </row>
    <row r="377" spans="13:13" ht="14.25" customHeight="1" x14ac:dyDescent="0.3">
      <c r="M377" s="26"/>
    </row>
    <row r="378" spans="13:13" ht="14.25" customHeight="1" x14ac:dyDescent="0.3">
      <c r="M378" s="26"/>
    </row>
    <row r="379" spans="13:13" ht="14.25" customHeight="1" x14ac:dyDescent="0.3">
      <c r="M379" s="26"/>
    </row>
    <row r="380" spans="13:13" ht="14.25" customHeight="1" x14ac:dyDescent="0.3">
      <c r="M380" s="26"/>
    </row>
    <row r="381" spans="13:13" ht="14.25" customHeight="1" x14ac:dyDescent="0.3">
      <c r="M381" s="26"/>
    </row>
    <row r="382" spans="13:13" ht="14.25" customHeight="1" x14ac:dyDescent="0.3">
      <c r="M382" s="26"/>
    </row>
    <row r="383" spans="13:13" ht="14.25" customHeight="1" x14ac:dyDescent="0.3">
      <c r="M383" s="26"/>
    </row>
    <row r="384" spans="13:13" ht="14.25" customHeight="1" x14ac:dyDescent="0.3">
      <c r="M384" s="26"/>
    </row>
    <row r="385" spans="13:13" ht="14.25" customHeight="1" x14ac:dyDescent="0.3">
      <c r="M385" s="26"/>
    </row>
    <row r="386" spans="13:13" ht="14.25" customHeight="1" x14ac:dyDescent="0.3">
      <c r="M386" s="26"/>
    </row>
    <row r="387" spans="13:13" ht="14.25" customHeight="1" x14ac:dyDescent="0.3">
      <c r="M387" s="26"/>
    </row>
    <row r="388" spans="13:13" ht="14.25" customHeight="1" x14ac:dyDescent="0.3">
      <c r="M388" s="26"/>
    </row>
    <row r="389" spans="13:13" ht="14.25" customHeight="1" x14ac:dyDescent="0.3">
      <c r="M389" s="26"/>
    </row>
    <row r="390" spans="13:13" ht="14.25" customHeight="1" x14ac:dyDescent="0.3">
      <c r="M390" s="26"/>
    </row>
    <row r="391" spans="13:13" ht="14.25" customHeight="1" x14ac:dyDescent="0.3">
      <c r="M391" s="26"/>
    </row>
    <row r="392" spans="13:13" ht="14.25" customHeight="1" x14ac:dyDescent="0.3">
      <c r="M392" s="26"/>
    </row>
    <row r="393" spans="13:13" ht="14.25" customHeight="1" x14ac:dyDescent="0.3">
      <c r="M393" s="26"/>
    </row>
    <row r="394" spans="13:13" ht="14.25" customHeight="1" x14ac:dyDescent="0.3">
      <c r="M394" s="26"/>
    </row>
    <row r="395" spans="13:13" ht="14.25" customHeight="1" x14ac:dyDescent="0.3">
      <c r="M395" s="26"/>
    </row>
    <row r="396" spans="13:13" ht="14.25" customHeight="1" x14ac:dyDescent="0.3">
      <c r="M396" s="26"/>
    </row>
    <row r="397" spans="13:13" ht="14.25" customHeight="1" x14ac:dyDescent="0.3">
      <c r="M397" s="26"/>
    </row>
    <row r="398" spans="13:13" ht="14.25" customHeight="1" x14ac:dyDescent="0.3">
      <c r="M398" s="26"/>
    </row>
    <row r="399" spans="13:13" ht="14.25" customHeight="1" x14ac:dyDescent="0.3">
      <c r="M399" s="26"/>
    </row>
    <row r="400" spans="13:13" ht="14.25" customHeight="1" x14ac:dyDescent="0.3">
      <c r="M400" s="26"/>
    </row>
    <row r="401" spans="13:13" ht="14.25" customHeight="1" x14ac:dyDescent="0.3">
      <c r="M401" s="26"/>
    </row>
    <row r="402" spans="13:13" ht="14.25" customHeight="1" x14ac:dyDescent="0.3">
      <c r="M402" s="26"/>
    </row>
    <row r="403" spans="13:13" ht="14.25" customHeight="1" x14ac:dyDescent="0.3">
      <c r="M403" s="26"/>
    </row>
    <row r="404" spans="13:13" ht="14.25" customHeight="1" x14ac:dyDescent="0.3">
      <c r="M404" s="26"/>
    </row>
    <row r="405" spans="13:13" ht="14.25" customHeight="1" x14ac:dyDescent="0.3">
      <c r="M405" s="26"/>
    </row>
    <row r="406" spans="13:13" ht="14.25" customHeight="1" x14ac:dyDescent="0.3">
      <c r="M406" s="26"/>
    </row>
    <row r="407" spans="13:13" ht="14.25" customHeight="1" x14ac:dyDescent="0.3">
      <c r="M407" s="26"/>
    </row>
    <row r="408" spans="13:13" ht="14.25" customHeight="1" x14ac:dyDescent="0.3">
      <c r="M408" s="26"/>
    </row>
    <row r="409" spans="13:13" ht="14.25" customHeight="1" x14ac:dyDescent="0.3">
      <c r="M409" s="26"/>
    </row>
    <row r="410" spans="13:13" ht="14.25" customHeight="1" x14ac:dyDescent="0.3">
      <c r="M410" s="26"/>
    </row>
    <row r="411" spans="13:13" ht="14.25" customHeight="1" x14ac:dyDescent="0.3">
      <c r="M411" s="26"/>
    </row>
    <row r="412" spans="13:13" ht="14.25" customHeight="1" x14ac:dyDescent="0.3">
      <c r="M412" s="26"/>
    </row>
    <row r="413" spans="13:13" ht="14.25" customHeight="1" x14ac:dyDescent="0.3">
      <c r="M413" s="26"/>
    </row>
    <row r="414" spans="13:13" ht="14.25" customHeight="1" x14ac:dyDescent="0.3">
      <c r="M414" s="26"/>
    </row>
    <row r="415" spans="13:13" ht="14.25" customHeight="1" x14ac:dyDescent="0.3">
      <c r="M415" s="26"/>
    </row>
    <row r="416" spans="13:13" ht="14.25" customHeight="1" x14ac:dyDescent="0.3">
      <c r="M416" s="26"/>
    </row>
    <row r="417" spans="13:13" ht="14.25" customHeight="1" x14ac:dyDescent="0.3">
      <c r="M417" s="26"/>
    </row>
    <row r="418" spans="13:13" ht="14.25" customHeight="1" x14ac:dyDescent="0.3">
      <c r="M418" s="26"/>
    </row>
    <row r="419" spans="13:13" ht="14.25" customHeight="1" x14ac:dyDescent="0.3">
      <c r="M419" s="26"/>
    </row>
    <row r="420" spans="13:13" ht="14.25" customHeight="1" x14ac:dyDescent="0.3">
      <c r="M420" s="26"/>
    </row>
    <row r="421" spans="13:13" ht="14.25" customHeight="1" x14ac:dyDescent="0.3">
      <c r="M421" s="26"/>
    </row>
    <row r="422" spans="13:13" ht="14.25" customHeight="1" x14ac:dyDescent="0.3">
      <c r="M422" s="26"/>
    </row>
    <row r="423" spans="13:13" ht="14.25" customHeight="1" x14ac:dyDescent="0.3">
      <c r="M423" s="26"/>
    </row>
    <row r="424" spans="13:13" ht="14.25" customHeight="1" x14ac:dyDescent="0.3">
      <c r="M424" s="26"/>
    </row>
    <row r="425" spans="13:13" ht="14.25" customHeight="1" x14ac:dyDescent="0.3">
      <c r="M425" s="26"/>
    </row>
    <row r="426" spans="13:13" ht="14.25" customHeight="1" x14ac:dyDescent="0.3">
      <c r="M426" s="26"/>
    </row>
    <row r="427" spans="13:13" ht="14.25" customHeight="1" x14ac:dyDescent="0.3">
      <c r="M427" s="26"/>
    </row>
    <row r="428" spans="13:13" ht="14.25" customHeight="1" x14ac:dyDescent="0.3">
      <c r="M428" s="26"/>
    </row>
    <row r="429" spans="13:13" ht="14.25" customHeight="1" x14ac:dyDescent="0.3">
      <c r="M429" s="26"/>
    </row>
    <row r="430" spans="13:13" ht="14.25" customHeight="1" x14ac:dyDescent="0.3">
      <c r="M430" s="26"/>
    </row>
    <row r="431" spans="13:13" ht="14.25" customHeight="1" x14ac:dyDescent="0.3">
      <c r="M431" s="26"/>
    </row>
    <row r="432" spans="13:13" ht="14.25" customHeight="1" x14ac:dyDescent="0.3">
      <c r="M432" s="26"/>
    </row>
    <row r="433" spans="13:13" ht="14.25" customHeight="1" x14ac:dyDescent="0.3">
      <c r="M433" s="26"/>
    </row>
    <row r="434" spans="13:13" ht="14.25" customHeight="1" x14ac:dyDescent="0.3">
      <c r="M434" s="26"/>
    </row>
    <row r="435" spans="13:13" ht="14.25" customHeight="1" x14ac:dyDescent="0.3">
      <c r="M435" s="26"/>
    </row>
    <row r="436" spans="13:13" ht="14.25" customHeight="1" x14ac:dyDescent="0.3">
      <c r="M436" s="26"/>
    </row>
    <row r="437" spans="13:13" ht="14.25" customHeight="1" x14ac:dyDescent="0.3">
      <c r="M437" s="26"/>
    </row>
    <row r="438" spans="13:13" ht="14.25" customHeight="1" x14ac:dyDescent="0.3">
      <c r="M438" s="26"/>
    </row>
    <row r="439" spans="13:13" ht="14.25" customHeight="1" x14ac:dyDescent="0.3">
      <c r="M439" s="26"/>
    </row>
    <row r="440" spans="13:13" ht="14.25" customHeight="1" x14ac:dyDescent="0.3">
      <c r="M440" s="26"/>
    </row>
    <row r="441" spans="13:13" ht="14.25" customHeight="1" x14ac:dyDescent="0.3">
      <c r="M441" s="26"/>
    </row>
    <row r="442" spans="13:13" ht="14.25" customHeight="1" x14ac:dyDescent="0.3">
      <c r="M442" s="26"/>
    </row>
    <row r="443" spans="13:13" ht="14.25" customHeight="1" x14ac:dyDescent="0.3">
      <c r="M443" s="26"/>
    </row>
    <row r="444" spans="13:13" ht="14.25" customHeight="1" x14ac:dyDescent="0.3">
      <c r="M444" s="26"/>
    </row>
    <row r="445" spans="13:13" ht="14.25" customHeight="1" x14ac:dyDescent="0.3">
      <c r="M445" s="26"/>
    </row>
    <row r="446" spans="13:13" ht="14.25" customHeight="1" x14ac:dyDescent="0.3">
      <c r="M446" s="26"/>
    </row>
    <row r="447" spans="13:13" ht="14.25" customHeight="1" x14ac:dyDescent="0.3">
      <c r="M447" s="26"/>
    </row>
    <row r="448" spans="13:13" ht="14.25" customHeight="1" x14ac:dyDescent="0.3">
      <c r="M448" s="26"/>
    </row>
    <row r="449" spans="13:13" ht="14.25" customHeight="1" x14ac:dyDescent="0.3">
      <c r="M449" s="26"/>
    </row>
    <row r="450" spans="13:13" ht="14.25" customHeight="1" x14ac:dyDescent="0.3">
      <c r="M450" s="26"/>
    </row>
    <row r="451" spans="13:13" ht="14.25" customHeight="1" x14ac:dyDescent="0.3">
      <c r="M451" s="26"/>
    </row>
    <row r="452" spans="13:13" ht="14.25" customHeight="1" x14ac:dyDescent="0.3">
      <c r="M452" s="26"/>
    </row>
    <row r="453" spans="13:13" ht="14.25" customHeight="1" x14ac:dyDescent="0.3">
      <c r="M453" s="26"/>
    </row>
    <row r="454" spans="13:13" ht="14.25" customHeight="1" x14ac:dyDescent="0.3">
      <c r="M454" s="26"/>
    </row>
    <row r="455" spans="13:13" ht="14.25" customHeight="1" x14ac:dyDescent="0.3">
      <c r="M455" s="26"/>
    </row>
    <row r="456" spans="13:13" ht="14.25" customHeight="1" x14ac:dyDescent="0.3">
      <c r="M456" s="26"/>
    </row>
    <row r="457" spans="13:13" ht="14.25" customHeight="1" x14ac:dyDescent="0.3">
      <c r="M457" s="26"/>
    </row>
    <row r="458" spans="13:13" ht="14.25" customHeight="1" x14ac:dyDescent="0.3">
      <c r="M458" s="26"/>
    </row>
    <row r="459" spans="13:13" ht="14.25" customHeight="1" x14ac:dyDescent="0.3">
      <c r="M459" s="26"/>
    </row>
    <row r="460" spans="13:13" ht="14.25" customHeight="1" x14ac:dyDescent="0.3">
      <c r="M460" s="26"/>
    </row>
    <row r="461" spans="13:13" ht="14.25" customHeight="1" x14ac:dyDescent="0.3">
      <c r="M461" s="26"/>
    </row>
    <row r="462" spans="13:13" ht="14.25" customHeight="1" x14ac:dyDescent="0.3">
      <c r="M462" s="26"/>
    </row>
    <row r="463" spans="13:13" ht="14.25" customHeight="1" x14ac:dyDescent="0.3">
      <c r="M463" s="26"/>
    </row>
    <row r="464" spans="13:13" ht="14.25" customHeight="1" x14ac:dyDescent="0.3">
      <c r="M464" s="26"/>
    </row>
    <row r="465" spans="13:13" ht="14.25" customHeight="1" x14ac:dyDescent="0.3">
      <c r="M465" s="26"/>
    </row>
    <row r="466" spans="13:13" ht="14.25" customHeight="1" x14ac:dyDescent="0.3">
      <c r="M466" s="26"/>
    </row>
    <row r="467" spans="13:13" ht="14.25" customHeight="1" x14ac:dyDescent="0.3">
      <c r="M467" s="26"/>
    </row>
    <row r="468" spans="13:13" ht="14.25" customHeight="1" x14ac:dyDescent="0.3">
      <c r="M468" s="26"/>
    </row>
    <row r="469" spans="13:13" ht="14.25" customHeight="1" x14ac:dyDescent="0.3">
      <c r="M469" s="26"/>
    </row>
    <row r="470" spans="13:13" ht="14.25" customHeight="1" x14ac:dyDescent="0.3">
      <c r="M470" s="26"/>
    </row>
    <row r="471" spans="13:13" ht="14.25" customHeight="1" x14ac:dyDescent="0.3">
      <c r="M471" s="26"/>
    </row>
    <row r="472" spans="13:13" ht="14.25" customHeight="1" x14ac:dyDescent="0.3">
      <c r="M472" s="26"/>
    </row>
    <row r="473" spans="13:13" ht="14.25" customHeight="1" x14ac:dyDescent="0.3">
      <c r="M473" s="26"/>
    </row>
    <row r="474" spans="13:13" ht="14.25" customHeight="1" x14ac:dyDescent="0.3">
      <c r="M474" s="26"/>
    </row>
    <row r="475" spans="13:13" ht="14.25" customHeight="1" x14ac:dyDescent="0.3">
      <c r="M475" s="26"/>
    </row>
    <row r="476" spans="13:13" ht="14.25" customHeight="1" x14ac:dyDescent="0.3">
      <c r="M476" s="26"/>
    </row>
    <row r="477" spans="13:13" ht="14.25" customHeight="1" x14ac:dyDescent="0.3">
      <c r="M477" s="26"/>
    </row>
    <row r="478" spans="13:13" ht="14.25" customHeight="1" x14ac:dyDescent="0.3">
      <c r="M478" s="26"/>
    </row>
    <row r="479" spans="13:13" ht="14.25" customHeight="1" x14ac:dyDescent="0.3">
      <c r="M479" s="26"/>
    </row>
    <row r="480" spans="13:13" ht="14.25" customHeight="1" x14ac:dyDescent="0.3">
      <c r="M480" s="26"/>
    </row>
    <row r="481" spans="13:13" ht="14.25" customHeight="1" x14ac:dyDescent="0.3">
      <c r="M481" s="26"/>
    </row>
    <row r="482" spans="13:13" ht="14.25" customHeight="1" x14ac:dyDescent="0.3">
      <c r="M482" s="26"/>
    </row>
    <row r="483" spans="13:13" ht="14.25" customHeight="1" x14ac:dyDescent="0.3">
      <c r="M483" s="26"/>
    </row>
    <row r="484" spans="13:13" ht="14.25" customHeight="1" x14ac:dyDescent="0.3">
      <c r="M484" s="26"/>
    </row>
    <row r="485" spans="13:13" ht="14.25" customHeight="1" x14ac:dyDescent="0.3">
      <c r="M485" s="26"/>
    </row>
    <row r="486" spans="13:13" ht="14.25" customHeight="1" x14ac:dyDescent="0.3">
      <c r="M486" s="26"/>
    </row>
    <row r="487" spans="13:13" ht="14.25" customHeight="1" x14ac:dyDescent="0.3">
      <c r="M487" s="26"/>
    </row>
    <row r="488" spans="13:13" ht="14.25" customHeight="1" x14ac:dyDescent="0.3">
      <c r="M488" s="26"/>
    </row>
    <row r="489" spans="13:13" ht="14.25" customHeight="1" x14ac:dyDescent="0.3">
      <c r="M489" s="26"/>
    </row>
    <row r="490" spans="13:13" ht="14.25" customHeight="1" x14ac:dyDescent="0.3">
      <c r="M490" s="26"/>
    </row>
    <row r="491" spans="13:13" ht="14.25" customHeight="1" x14ac:dyDescent="0.3">
      <c r="M491" s="26"/>
    </row>
    <row r="492" spans="13:13" ht="14.25" customHeight="1" x14ac:dyDescent="0.3">
      <c r="M492" s="26"/>
    </row>
    <row r="493" spans="13:13" ht="14.25" customHeight="1" x14ac:dyDescent="0.3">
      <c r="M493" s="26"/>
    </row>
    <row r="494" spans="13:13" ht="14.25" customHeight="1" x14ac:dyDescent="0.3">
      <c r="M494" s="26"/>
    </row>
    <row r="495" spans="13:13" ht="14.25" customHeight="1" x14ac:dyDescent="0.3">
      <c r="M495" s="26"/>
    </row>
    <row r="496" spans="13:13" ht="14.25" customHeight="1" x14ac:dyDescent="0.3">
      <c r="M496" s="26"/>
    </row>
    <row r="497" spans="13:13" ht="14.25" customHeight="1" x14ac:dyDescent="0.3">
      <c r="M497" s="26"/>
    </row>
    <row r="498" spans="13:13" ht="14.25" customHeight="1" x14ac:dyDescent="0.3">
      <c r="M498" s="26"/>
    </row>
    <row r="499" spans="13:13" ht="14.25" customHeight="1" x14ac:dyDescent="0.3">
      <c r="M499" s="26"/>
    </row>
    <row r="500" spans="13:13" ht="14.25" customHeight="1" x14ac:dyDescent="0.3">
      <c r="M500" s="26"/>
    </row>
    <row r="501" spans="13:13" ht="14.25" customHeight="1" x14ac:dyDescent="0.3">
      <c r="M501" s="26"/>
    </row>
    <row r="502" spans="13:13" ht="14.25" customHeight="1" x14ac:dyDescent="0.3">
      <c r="M502" s="26"/>
    </row>
    <row r="503" spans="13:13" ht="14.25" customHeight="1" x14ac:dyDescent="0.3">
      <c r="M503" s="26"/>
    </row>
    <row r="504" spans="13:13" ht="14.25" customHeight="1" x14ac:dyDescent="0.3">
      <c r="M504" s="26"/>
    </row>
    <row r="505" spans="13:13" ht="14.25" customHeight="1" x14ac:dyDescent="0.3">
      <c r="M505" s="26"/>
    </row>
    <row r="506" spans="13:13" ht="14.25" customHeight="1" x14ac:dyDescent="0.3">
      <c r="M506" s="26"/>
    </row>
    <row r="507" spans="13:13" ht="14.25" customHeight="1" x14ac:dyDescent="0.3">
      <c r="M507" s="26"/>
    </row>
    <row r="508" spans="13:13" ht="14.25" customHeight="1" x14ac:dyDescent="0.3">
      <c r="M508" s="26"/>
    </row>
    <row r="509" spans="13:13" ht="14.25" customHeight="1" x14ac:dyDescent="0.3">
      <c r="M509" s="26"/>
    </row>
    <row r="510" spans="13:13" ht="14.25" customHeight="1" x14ac:dyDescent="0.3">
      <c r="M510" s="26"/>
    </row>
    <row r="511" spans="13:13" ht="14.25" customHeight="1" x14ac:dyDescent="0.3">
      <c r="M511" s="26"/>
    </row>
    <row r="512" spans="13:13" ht="14.25" customHeight="1" x14ac:dyDescent="0.3">
      <c r="M512" s="26"/>
    </row>
    <row r="513" spans="13:13" ht="14.25" customHeight="1" x14ac:dyDescent="0.3">
      <c r="M513" s="26"/>
    </row>
    <row r="514" spans="13:13" ht="14.25" customHeight="1" x14ac:dyDescent="0.3">
      <c r="M514" s="26"/>
    </row>
    <row r="515" spans="13:13" ht="14.25" customHeight="1" x14ac:dyDescent="0.3">
      <c r="M515" s="26"/>
    </row>
    <row r="516" spans="13:13" ht="14.25" customHeight="1" x14ac:dyDescent="0.3">
      <c r="M516" s="26"/>
    </row>
    <row r="517" spans="13:13" ht="14.25" customHeight="1" x14ac:dyDescent="0.3">
      <c r="M517" s="26"/>
    </row>
    <row r="518" spans="13:13" ht="14.25" customHeight="1" x14ac:dyDescent="0.3">
      <c r="M518" s="26"/>
    </row>
    <row r="519" spans="13:13" ht="14.25" customHeight="1" x14ac:dyDescent="0.3">
      <c r="M519" s="26"/>
    </row>
    <row r="520" spans="13:13" ht="14.25" customHeight="1" x14ac:dyDescent="0.3">
      <c r="M520" s="26"/>
    </row>
    <row r="521" spans="13:13" ht="14.25" customHeight="1" x14ac:dyDescent="0.3">
      <c r="M521" s="26"/>
    </row>
    <row r="522" spans="13:13" ht="14.25" customHeight="1" x14ac:dyDescent="0.3">
      <c r="M522" s="26"/>
    </row>
    <row r="523" spans="13:13" ht="14.25" customHeight="1" x14ac:dyDescent="0.3">
      <c r="M523" s="26"/>
    </row>
    <row r="524" spans="13:13" ht="14.25" customHeight="1" x14ac:dyDescent="0.3">
      <c r="M524" s="26"/>
    </row>
    <row r="525" spans="13:13" ht="14.25" customHeight="1" x14ac:dyDescent="0.3">
      <c r="M525" s="26"/>
    </row>
    <row r="526" spans="13:13" ht="14.25" customHeight="1" x14ac:dyDescent="0.3">
      <c r="M526" s="26"/>
    </row>
    <row r="527" spans="13:13" ht="14.25" customHeight="1" x14ac:dyDescent="0.3">
      <c r="M527" s="26"/>
    </row>
    <row r="528" spans="13:13" ht="14.25" customHeight="1" x14ac:dyDescent="0.3">
      <c r="M528" s="26"/>
    </row>
    <row r="529" spans="13:13" ht="14.25" customHeight="1" x14ac:dyDescent="0.3">
      <c r="M529" s="26"/>
    </row>
    <row r="530" spans="13:13" ht="14.25" customHeight="1" x14ac:dyDescent="0.3">
      <c r="M530" s="26"/>
    </row>
    <row r="531" spans="13:13" ht="14.25" customHeight="1" x14ac:dyDescent="0.3">
      <c r="M531" s="26"/>
    </row>
    <row r="532" spans="13:13" ht="14.25" customHeight="1" x14ac:dyDescent="0.3">
      <c r="M532" s="26"/>
    </row>
    <row r="533" spans="13:13" ht="14.25" customHeight="1" x14ac:dyDescent="0.3">
      <c r="M533" s="26"/>
    </row>
    <row r="534" spans="13:13" ht="14.25" customHeight="1" x14ac:dyDescent="0.3">
      <c r="M534" s="26"/>
    </row>
    <row r="535" spans="13:13" ht="14.25" customHeight="1" x14ac:dyDescent="0.3">
      <c r="M535" s="26"/>
    </row>
    <row r="536" spans="13:13" ht="14.25" customHeight="1" x14ac:dyDescent="0.3">
      <c r="M536" s="26"/>
    </row>
    <row r="537" spans="13:13" ht="14.25" customHeight="1" x14ac:dyDescent="0.3">
      <c r="M537" s="26"/>
    </row>
    <row r="538" spans="13:13" ht="14.25" customHeight="1" x14ac:dyDescent="0.3">
      <c r="M538" s="26"/>
    </row>
    <row r="539" spans="13:13" ht="14.25" customHeight="1" x14ac:dyDescent="0.3">
      <c r="M539" s="26"/>
    </row>
    <row r="540" spans="13:13" ht="14.25" customHeight="1" x14ac:dyDescent="0.3">
      <c r="M540" s="26"/>
    </row>
    <row r="541" spans="13:13" ht="14.25" customHeight="1" x14ac:dyDescent="0.3">
      <c r="M541" s="26"/>
    </row>
    <row r="542" spans="13:13" ht="14.25" customHeight="1" x14ac:dyDescent="0.3">
      <c r="M542" s="26"/>
    </row>
    <row r="543" spans="13:13" ht="14.25" customHeight="1" x14ac:dyDescent="0.3">
      <c r="M543" s="26"/>
    </row>
    <row r="544" spans="13:13" ht="14.25" customHeight="1" x14ac:dyDescent="0.3">
      <c r="M544" s="26"/>
    </row>
    <row r="545" spans="13:13" ht="14.25" customHeight="1" x14ac:dyDescent="0.3">
      <c r="M545" s="26"/>
    </row>
    <row r="546" spans="13:13" ht="14.25" customHeight="1" x14ac:dyDescent="0.3">
      <c r="M546" s="26"/>
    </row>
    <row r="547" spans="13:13" ht="14.25" customHeight="1" x14ac:dyDescent="0.3">
      <c r="M547" s="26"/>
    </row>
    <row r="548" spans="13:13" ht="14.25" customHeight="1" x14ac:dyDescent="0.3">
      <c r="M548" s="26"/>
    </row>
    <row r="549" spans="13:13" ht="14.25" customHeight="1" x14ac:dyDescent="0.3">
      <c r="M549" s="26"/>
    </row>
    <row r="550" spans="13:13" ht="14.25" customHeight="1" x14ac:dyDescent="0.3">
      <c r="M550" s="26"/>
    </row>
    <row r="551" spans="13:13" ht="14.25" customHeight="1" x14ac:dyDescent="0.3">
      <c r="M551" s="26"/>
    </row>
    <row r="552" spans="13:13" ht="14.25" customHeight="1" x14ac:dyDescent="0.3">
      <c r="M552" s="26"/>
    </row>
    <row r="553" spans="13:13" ht="14.25" customHeight="1" x14ac:dyDescent="0.3">
      <c r="M553" s="26"/>
    </row>
    <row r="554" spans="13:13" ht="14.25" customHeight="1" x14ac:dyDescent="0.3">
      <c r="M554" s="26"/>
    </row>
    <row r="555" spans="13:13" ht="14.25" customHeight="1" x14ac:dyDescent="0.3">
      <c r="M555" s="26"/>
    </row>
    <row r="556" spans="13:13" ht="14.25" customHeight="1" x14ac:dyDescent="0.3">
      <c r="M556" s="26"/>
    </row>
    <row r="557" spans="13:13" ht="14.25" customHeight="1" x14ac:dyDescent="0.3">
      <c r="M557" s="26"/>
    </row>
    <row r="558" spans="13:13" ht="14.25" customHeight="1" x14ac:dyDescent="0.3">
      <c r="M558" s="26"/>
    </row>
    <row r="559" spans="13:13" ht="14.25" customHeight="1" x14ac:dyDescent="0.3">
      <c r="M559" s="26"/>
    </row>
    <row r="560" spans="13:13" ht="14.25" customHeight="1" x14ac:dyDescent="0.3">
      <c r="M560" s="26"/>
    </row>
    <row r="561" spans="13:13" ht="14.25" customHeight="1" x14ac:dyDescent="0.3">
      <c r="M561" s="26"/>
    </row>
    <row r="562" spans="13:13" ht="14.25" customHeight="1" x14ac:dyDescent="0.3">
      <c r="M562" s="26"/>
    </row>
    <row r="563" spans="13:13" ht="14.25" customHeight="1" x14ac:dyDescent="0.3">
      <c r="M563" s="26"/>
    </row>
    <row r="564" spans="13:13" ht="14.25" customHeight="1" x14ac:dyDescent="0.3">
      <c r="M564" s="26"/>
    </row>
    <row r="565" spans="13:13" ht="14.25" customHeight="1" x14ac:dyDescent="0.3">
      <c r="M565" s="26"/>
    </row>
    <row r="566" spans="13:13" ht="14.25" customHeight="1" x14ac:dyDescent="0.3">
      <c r="M566" s="26"/>
    </row>
    <row r="567" spans="13:13" ht="14.25" customHeight="1" x14ac:dyDescent="0.3">
      <c r="M567" s="26"/>
    </row>
    <row r="568" spans="13:13" ht="14.25" customHeight="1" x14ac:dyDescent="0.3">
      <c r="M568" s="26"/>
    </row>
    <row r="569" spans="13:13" ht="14.25" customHeight="1" x14ac:dyDescent="0.3">
      <c r="M569" s="26"/>
    </row>
    <row r="570" spans="13:13" ht="14.25" customHeight="1" x14ac:dyDescent="0.3">
      <c r="M570" s="26"/>
    </row>
    <row r="571" spans="13:13" ht="14.25" customHeight="1" x14ac:dyDescent="0.3">
      <c r="M571" s="26"/>
    </row>
    <row r="572" spans="13:13" ht="14.25" customHeight="1" x14ac:dyDescent="0.3">
      <c r="M572" s="26"/>
    </row>
    <row r="573" spans="13:13" ht="14.25" customHeight="1" x14ac:dyDescent="0.3">
      <c r="M573" s="26"/>
    </row>
    <row r="574" spans="13:13" ht="14.25" customHeight="1" x14ac:dyDescent="0.3">
      <c r="M574" s="26"/>
    </row>
    <row r="575" spans="13:13" ht="14.25" customHeight="1" x14ac:dyDescent="0.3">
      <c r="M575" s="26"/>
    </row>
    <row r="576" spans="13:13" ht="14.25" customHeight="1" x14ac:dyDescent="0.3">
      <c r="M576" s="26"/>
    </row>
    <row r="577" spans="13:13" ht="14.25" customHeight="1" x14ac:dyDescent="0.3">
      <c r="M577" s="26"/>
    </row>
    <row r="578" spans="13:13" ht="14.25" customHeight="1" x14ac:dyDescent="0.3">
      <c r="M578" s="26"/>
    </row>
    <row r="579" spans="13:13" ht="14.25" customHeight="1" x14ac:dyDescent="0.3">
      <c r="M579" s="26"/>
    </row>
    <row r="580" spans="13:13" ht="14.25" customHeight="1" x14ac:dyDescent="0.3">
      <c r="M580" s="26"/>
    </row>
    <row r="581" spans="13:13" ht="14.25" customHeight="1" x14ac:dyDescent="0.3">
      <c r="M581" s="26"/>
    </row>
    <row r="582" spans="13:13" ht="14.25" customHeight="1" x14ac:dyDescent="0.3">
      <c r="M582" s="26"/>
    </row>
    <row r="583" spans="13:13" ht="14.25" customHeight="1" x14ac:dyDescent="0.3">
      <c r="M583" s="26"/>
    </row>
    <row r="584" spans="13:13" ht="14.25" customHeight="1" x14ac:dyDescent="0.3">
      <c r="M584" s="26"/>
    </row>
    <row r="585" spans="13:13" ht="14.25" customHeight="1" x14ac:dyDescent="0.3">
      <c r="M585" s="26"/>
    </row>
    <row r="586" spans="13:13" ht="14.25" customHeight="1" x14ac:dyDescent="0.3">
      <c r="M586" s="26"/>
    </row>
    <row r="587" spans="13:13" ht="14.25" customHeight="1" x14ac:dyDescent="0.3">
      <c r="M587" s="26"/>
    </row>
    <row r="588" spans="13:13" ht="14.25" customHeight="1" x14ac:dyDescent="0.3">
      <c r="M588" s="26"/>
    </row>
    <row r="589" spans="13:13" ht="14.25" customHeight="1" x14ac:dyDescent="0.3">
      <c r="M589" s="26"/>
    </row>
    <row r="590" spans="13:13" ht="14.25" customHeight="1" x14ac:dyDescent="0.3">
      <c r="M590" s="26"/>
    </row>
    <row r="591" spans="13:13" ht="14.25" customHeight="1" x14ac:dyDescent="0.3">
      <c r="M591" s="26"/>
    </row>
    <row r="592" spans="13:13" ht="14.25" customHeight="1" x14ac:dyDescent="0.3">
      <c r="M592" s="26"/>
    </row>
    <row r="593" spans="13:13" ht="14.25" customHeight="1" x14ac:dyDescent="0.3">
      <c r="M593" s="26"/>
    </row>
    <row r="594" spans="13:13" ht="14.25" customHeight="1" x14ac:dyDescent="0.3">
      <c r="M594" s="26"/>
    </row>
    <row r="595" spans="13:13" ht="14.25" customHeight="1" x14ac:dyDescent="0.3">
      <c r="M595" s="26"/>
    </row>
    <row r="596" spans="13:13" ht="14.25" customHeight="1" x14ac:dyDescent="0.3">
      <c r="M596" s="26"/>
    </row>
    <row r="597" spans="13:13" ht="14.25" customHeight="1" x14ac:dyDescent="0.3">
      <c r="M597" s="26"/>
    </row>
    <row r="598" spans="13:13" ht="14.25" customHeight="1" x14ac:dyDescent="0.3">
      <c r="M598" s="26"/>
    </row>
    <row r="599" spans="13:13" ht="14.25" customHeight="1" x14ac:dyDescent="0.3">
      <c r="M599" s="26"/>
    </row>
    <row r="600" spans="13:13" ht="14.25" customHeight="1" x14ac:dyDescent="0.3">
      <c r="M600" s="26"/>
    </row>
    <row r="601" spans="13:13" ht="14.25" customHeight="1" x14ac:dyDescent="0.3">
      <c r="M601" s="26"/>
    </row>
    <row r="602" spans="13:13" ht="14.25" customHeight="1" x14ac:dyDescent="0.3">
      <c r="M602" s="26"/>
    </row>
    <row r="603" spans="13:13" ht="14.25" customHeight="1" x14ac:dyDescent="0.3">
      <c r="M603" s="26"/>
    </row>
    <row r="604" spans="13:13" ht="14.25" customHeight="1" x14ac:dyDescent="0.3">
      <c r="M604" s="26"/>
    </row>
    <row r="605" spans="13:13" ht="14.25" customHeight="1" x14ac:dyDescent="0.3">
      <c r="M605" s="26"/>
    </row>
    <row r="606" spans="13:13" ht="14.25" customHeight="1" x14ac:dyDescent="0.3">
      <c r="M606" s="26"/>
    </row>
    <row r="607" spans="13:13" ht="14.25" customHeight="1" x14ac:dyDescent="0.3">
      <c r="M607" s="26"/>
    </row>
    <row r="608" spans="13:13" ht="14.25" customHeight="1" x14ac:dyDescent="0.3">
      <c r="M608" s="26"/>
    </row>
    <row r="609" spans="13:13" ht="14.25" customHeight="1" x14ac:dyDescent="0.3">
      <c r="M609" s="26"/>
    </row>
    <row r="610" spans="13:13" ht="14.25" customHeight="1" x14ac:dyDescent="0.3">
      <c r="M610" s="26"/>
    </row>
    <row r="611" spans="13:13" ht="14.25" customHeight="1" x14ac:dyDescent="0.3">
      <c r="M611" s="26"/>
    </row>
    <row r="612" spans="13:13" ht="14.25" customHeight="1" x14ac:dyDescent="0.3">
      <c r="M612" s="26"/>
    </row>
    <row r="613" spans="13:13" ht="14.25" customHeight="1" x14ac:dyDescent="0.3">
      <c r="M613" s="26"/>
    </row>
    <row r="614" spans="13:13" ht="14.25" customHeight="1" x14ac:dyDescent="0.3">
      <c r="M614" s="26"/>
    </row>
    <row r="615" spans="13:13" ht="14.25" customHeight="1" x14ac:dyDescent="0.3">
      <c r="M615" s="26"/>
    </row>
    <row r="616" spans="13:13" ht="14.25" customHeight="1" x14ac:dyDescent="0.3">
      <c r="M616" s="26"/>
    </row>
    <row r="617" spans="13:13" ht="14.25" customHeight="1" x14ac:dyDescent="0.3">
      <c r="M617" s="26"/>
    </row>
    <row r="618" spans="13:13" ht="14.25" customHeight="1" x14ac:dyDescent="0.3">
      <c r="M618" s="26"/>
    </row>
    <row r="619" spans="13:13" ht="14.25" customHeight="1" x14ac:dyDescent="0.3">
      <c r="M619" s="26"/>
    </row>
    <row r="620" spans="13:13" ht="14.25" customHeight="1" x14ac:dyDescent="0.3">
      <c r="M620" s="26"/>
    </row>
    <row r="621" spans="13:13" ht="14.25" customHeight="1" x14ac:dyDescent="0.3">
      <c r="M621" s="26"/>
    </row>
    <row r="622" spans="13:13" ht="14.25" customHeight="1" x14ac:dyDescent="0.3">
      <c r="M622" s="26"/>
    </row>
    <row r="623" spans="13:13" ht="14.25" customHeight="1" x14ac:dyDescent="0.3">
      <c r="M623" s="26"/>
    </row>
    <row r="624" spans="13:13" ht="14.25" customHeight="1" x14ac:dyDescent="0.3">
      <c r="M624" s="26"/>
    </row>
    <row r="625" spans="13:13" ht="14.25" customHeight="1" x14ac:dyDescent="0.3">
      <c r="M625" s="26"/>
    </row>
    <row r="626" spans="13:13" ht="14.25" customHeight="1" x14ac:dyDescent="0.3">
      <c r="M626" s="26"/>
    </row>
    <row r="627" spans="13:13" ht="14.25" customHeight="1" x14ac:dyDescent="0.3">
      <c r="M627" s="26"/>
    </row>
    <row r="628" spans="13:13" ht="14.25" customHeight="1" x14ac:dyDescent="0.3">
      <c r="M628" s="26"/>
    </row>
    <row r="629" spans="13:13" ht="14.25" customHeight="1" x14ac:dyDescent="0.3">
      <c r="M629" s="26"/>
    </row>
    <row r="630" spans="13:13" ht="14.25" customHeight="1" x14ac:dyDescent="0.3">
      <c r="M630" s="26"/>
    </row>
    <row r="631" spans="13:13" ht="14.25" customHeight="1" x14ac:dyDescent="0.3">
      <c r="M631" s="26"/>
    </row>
    <row r="632" spans="13:13" ht="14.25" customHeight="1" x14ac:dyDescent="0.3">
      <c r="M632" s="26"/>
    </row>
    <row r="633" spans="13:13" ht="14.25" customHeight="1" x14ac:dyDescent="0.3">
      <c r="M633" s="26"/>
    </row>
    <row r="634" spans="13:13" ht="14.25" customHeight="1" x14ac:dyDescent="0.3">
      <c r="M634" s="26"/>
    </row>
    <row r="635" spans="13:13" ht="14.25" customHeight="1" x14ac:dyDescent="0.3">
      <c r="M635" s="26"/>
    </row>
    <row r="636" spans="13:13" ht="14.25" customHeight="1" x14ac:dyDescent="0.3">
      <c r="M636" s="26"/>
    </row>
    <row r="637" spans="13:13" ht="14.25" customHeight="1" x14ac:dyDescent="0.3">
      <c r="M637" s="26"/>
    </row>
    <row r="638" spans="13:13" ht="14.25" customHeight="1" x14ac:dyDescent="0.3">
      <c r="M638" s="26"/>
    </row>
    <row r="639" spans="13:13" ht="14.25" customHeight="1" x14ac:dyDescent="0.3">
      <c r="M639" s="26"/>
    </row>
    <row r="640" spans="13:13" ht="14.25" customHeight="1" x14ac:dyDescent="0.3">
      <c r="M640" s="26"/>
    </row>
    <row r="641" spans="13:13" ht="14.25" customHeight="1" x14ac:dyDescent="0.3">
      <c r="M641" s="26"/>
    </row>
    <row r="642" spans="13:13" ht="14.25" customHeight="1" x14ac:dyDescent="0.3">
      <c r="M642" s="26"/>
    </row>
    <row r="643" spans="13:13" ht="14.25" customHeight="1" x14ac:dyDescent="0.3">
      <c r="M643" s="26"/>
    </row>
    <row r="644" spans="13:13" ht="14.25" customHeight="1" x14ac:dyDescent="0.3">
      <c r="M644" s="26"/>
    </row>
    <row r="645" spans="13:13" ht="14.25" customHeight="1" x14ac:dyDescent="0.3">
      <c r="M645" s="26"/>
    </row>
    <row r="646" spans="13:13" ht="14.25" customHeight="1" x14ac:dyDescent="0.3">
      <c r="M646" s="26"/>
    </row>
    <row r="647" spans="13:13" ht="14.25" customHeight="1" x14ac:dyDescent="0.3">
      <c r="M647" s="26"/>
    </row>
    <row r="648" spans="13:13" ht="14.25" customHeight="1" x14ac:dyDescent="0.3">
      <c r="M648" s="26"/>
    </row>
    <row r="649" spans="13:13" ht="14.25" customHeight="1" x14ac:dyDescent="0.3">
      <c r="M649" s="26"/>
    </row>
    <row r="650" spans="13:13" ht="14.25" customHeight="1" x14ac:dyDescent="0.3">
      <c r="M650" s="26"/>
    </row>
    <row r="651" spans="13:13" ht="14.25" customHeight="1" x14ac:dyDescent="0.3">
      <c r="M651" s="26"/>
    </row>
    <row r="652" spans="13:13" ht="14.25" customHeight="1" x14ac:dyDescent="0.3">
      <c r="M652" s="26"/>
    </row>
    <row r="653" spans="13:13" ht="14.25" customHeight="1" x14ac:dyDescent="0.3">
      <c r="M653" s="26"/>
    </row>
    <row r="654" spans="13:13" ht="14.25" customHeight="1" x14ac:dyDescent="0.3">
      <c r="M654" s="26"/>
    </row>
    <row r="655" spans="13:13" ht="14.25" customHeight="1" x14ac:dyDescent="0.3">
      <c r="M655" s="26"/>
    </row>
    <row r="656" spans="13:13" ht="14.25" customHeight="1" x14ac:dyDescent="0.3">
      <c r="M656" s="26"/>
    </row>
    <row r="657" spans="13:13" ht="14.25" customHeight="1" x14ac:dyDescent="0.3">
      <c r="M657" s="26"/>
    </row>
    <row r="658" spans="13:13" ht="14.25" customHeight="1" x14ac:dyDescent="0.3">
      <c r="M658" s="26"/>
    </row>
    <row r="659" spans="13:13" ht="14.25" customHeight="1" x14ac:dyDescent="0.3">
      <c r="M659" s="26"/>
    </row>
    <row r="660" spans="13:13" ht="14.25" customHeight="1" x14ac:dyDescent="0.3">
      <c r="M660" s="26"/>
    </row>
    <row r="661" spans="13:13" ht="14.25" customHeight="1" x14ac:dyDescent="0.3">
      <c r="M661" s="26"/>
    </row>
    <row r="662" spans="13:13" ht="14.25" customHeight="1" x14ac:dyDescent="0.3">
      <c r="M662" s="26"/>
    </row>
    <row r="663" spans="13:13" ht="14.25" customHeight="1" x14ac:dyDescent="0.3">
      <c r="M663" s="26"/>
    </row>
    <row r="664" spans="13:13" ht="14.25" customHeight="1" x14ac:dyDescent="0.3">
      <c r="M664" s="26"/>
    </row>
    <row r="665" spans="13:13" ht="14.25" customHeight="1" x14ac:dyDescent="0.3">
      <c r="M665" s="26"/>
    </row>
    <row r="666" spans="13:13" ht="14.25" customHeight="1" x14ac:dyDescent="0.3">
      <c r="M666" s="26"/>
    </row>
    <row r="667" spans="13:13" ht="14.25" customHeight="1" x14ac:dyDescent="0.3">
      <c r="M667" s="26"/>
    </row>
    <row r="668" spans="13:13" ht="14.25" customHeight="1" x14ac:dyDescent="0.3">
      <c r="M668" s="26"/>
    </row>
    <row r="669" spans="13:13" ht="14.25" customHeight="1" x14ac:dyDescent="0.3">
      <c r="M669" s="26"/>
    </row>
    <row r="670" spans="13:13" ht="14.25" customHeight="1" x14ac:dyDescent="0.3">
      <c r="M670" s="26"/>
    </row>
    <row r="671" spans="13:13" ht="14.25" customHeight="1" x14ac:dyDescent="0.3">
      <c r="M671" s="26"/>
    </row>
    <row r="672" spans="13:13" ht="14.25" customHeight="1" x14ac:dyDescent="0.3">
      <c r="M672" s="26"/>
    </row>
    <row r="673" spans="13:13" ht="14.25" customHeight="1" x14ac:dyDescent="0.3">
      <c r="M673" s="26"/>
    </row>
    <row r="674" spans="13:13" ht="14.25" customHeight="1" x14ac:dyDescent="0.3">
      <c r="M674" s="26"/>
    </row>
    <row r="675" spans="13:13" ht="14.25" customHeight="1" x14ac:dyDescent="0.3">
      <c r="M675" s="26"/>
    </row>
    <row r="676" spans="13:13" ht="14.25" customHeight="1" x14ac:dyDescent="0.3">
      <c r="M676" s="26"/>
    </row>
    <row r="677" spans="13:13" ht="14.25" customHeight="1" x14ac:dyDescent="0.3">
      <c r="M677" s="26"/>
    </row>
    <row r="678" spans="13:13" ht="14.25" customHeight="1" x14ac:dyDescent="0.3">
      <c r="M678" s="26"/>
    </row>
    <row r="679" spans="13:13" ht="14.25" customHeight="1" x14ac:dyDescent="0.3">
      <c r="M679" s="26"/>
    </row>
    <row r="680" spans="13:13" ht="14.25" customHeight="1" x14ac:dyDescent="0.3">
      <c r="M680" s="26"/>
    </row>
    <row r="681" spans="13:13" ht="14.25" customHeight="1" x14ac:dyDescent="0.3">
      <c r="M681" s="26"/>
    </row>
    <row r="682" spans="13:13" ht="14.25" customHeight="1" x14ac:dyDescent="0.3">
      <c r="M682" s="26"/>
    </row>
    <row r="683" spans="13:13" ht="14.25" customHeight="1" x14ac:dyDescent="0.3">
      <c r="M683" s="26"/>
    </row>
    <row r="684" spans="13:13" ht="14.25" customHeight="1" x14ac:dyDescent="0.3">
      <c r="M684" s="26"/>
    </row>
    <row r="685" spans="13:13" ht="14.25" customHeight="1" x14ac:dyDescent="0.3">
      <c r="M685" s="26"/>
    </row>
    <row r="686" spans="13:13" ht="14.25" customHeight="1" x14ac:dyDescent="0.3">
      <c r="M686" s="26"/>
    </row>
    <row r="687" spans="13:13" ht="14.25" customHeight="1" x14ac:dyDescent="0.3">
      <c r="M687" s="26"/>
    </row>
    <row r="688" spans="13:13" ht="14.25" customHeight="1" x14ac:dyDescent="0.3">
      <c r="M688" s="26"/>
    </row>
    <row r="689" spans="13:13" ht="14.25" customHeight="1" x14ac:dyDescent="0.3">
      <c r="M689" s="26"/>
    </row>
    <row r="690" spans="13:13" ht="14.25" customHeight="1" x14ac:dyDescent="0.3">
      <c r="M690" s="26"/>
    </row>
    <row r="691" spans="13:13" ht="14.25" customHeight="1" x14ac:dyDescent="0.3">
      <c r="M691" s="26"/>
    </row>
    <row r="692" spans="13:13" ht="14.25" customHeight="1" x14ac:dyDescent="0.3">
      <c r="M692" s="26"/>
    </row>
    <row r="693" spans="13:13" ht="14.25" customHeight="1" x14ac:dyDescent="0.3">
      <c r="M693" s="26"/>
    </row>
    <row r="694" spans="13:13" ht="14.25" customHeight="1" x14ac:dyDescent="0.3">
      <c r="M694" s="26"/>
    </row>
    <row r="695" spans="13:13" ht="14.25" customHeight="1" x14ac:dyDescent="0.3">
      <c r="M695" s="26"/>
    </row>
    <row r="696" spans="13:13" ht="14.25" customHeight="1" x14ac:dyDescent="0.3">
      <c r="M696" s="26"/>
    </row>
    <row r="697" spans="13:13" ht="14.25" customHeight="1" x14ac:dyDescent="0.3">
      <c r="M697" s="26"/>
    </row>
    <row r="698" spans="13:13" ht="14.25" customHeight="1" x14ac:dyDescent="0.3">
      <c r="M698" s="26"/>
    </row>
    <row r="699" spans="13:13" ht="14.25" customHeight="1" x14ac:dyDescent="0.3">
      <c r="M699" s="26"/>
    </row>
    <row r="700" spans="13:13" ht="14.25" customHeight="1" x14ac:dyDescent="0.3">
      <c r="M700" s="26"/>
    </row>
    <row r="701" spans="13:13" ht="14.25" customHeight="1" x14ac:dyDescent="0.3">
      <c r="M701" s="26"/>
    </row>
    <row r="702" spans="13:13" ht="14.25" customHeight="1" x14ac:dyDescent="0.3">
      <c r="M702" s="26"/>
    </row>
    <row r="703" spans="13:13" ht="14.25" customHeight="1" x14ac:dyDescent="0.3">
      <c r="M703" s="26"/>
    </row>
    <row r="704" spans="13:13" ht="14.25" customHeight="1" x14ac:dyDescent="0.3">
      <c r="M704" s="26"/>
    </row>
    <row r="705" spans="13:13" ht="14.25" customHeight="1" x14ac:dyDescent="0.3">
      <c r="M705" s="26"/>
    </row>
    <row r="706" spans="13:13" ht="14.25" customHeight="1" x14ac:dyDescent="0.3">
      <c r="M706" s="26"/>
    </row>
    <row r="707" spans="13:13" ht="14.25" customHeight="1" x14ac:dyDescent="0.3">
      <c r="M707" s="26"/>
    </row>
    <row r="708" spans="13:13" ht="14.25" customHeight="1" x14ac:dyDescent="0.3">
      <c r="M708" s="26"/>
    </row>
    <row r="709" spans="13:13" ht="14.25" customHeight="1" x14ac:dyDescent="0.3">
      <c r="M709" s="26"/>
    </row>
    <row r="710" spans="13:13" ht="14.25" customHeight="1" x14ac:dyDescent="0.3">
      <c r="M710" s="26"/>
    </row>
    <row r="711" spans="13:13" ht="14.25" customHeight="1" x14ac:dyDescent="0.3">
      <c r="M711" s="26"/>
    </row>
    <row r="712" spans="13:13" ht="14.25" customHeight="1" x14ac:dyDescent="0.3">
      <c r="M712" s="26"/>
    </row>
    <row r="713" spans="13:13" ht="14.25" customHeight="1" x14ac:dyDescent="0.3">
      <c r="M713" s="26"/>
    </row>
    <row r="714" spans="13:13" ht="14.25" customHeight="1" x14ac:dyDescent="0.3">
      <c r="M714" s="26"/>
    </row>
    <row r="715" spans="13:13" ht="14.25" customHeight="1" x14ac:dyDescent="0.3">
      <c r="M715" s="26"/>
    </row>
    <row r="716" spans="13:13" ht="14.25" customHeight="1" x14ac:dyDescent="0.3">
      <c r="M716" s="26"/>
    </row>
    <row r="717" spans="13:13" ht="14.25" customHeight="1" x14ac:dyDescent="0.3">
      <c r="M717" s="26"/>
    </row>
    <row r="718" spans="13:13" ht="14.25" customHeight="1" x14ac:dyDescent="0.3">
      <c r="M718" s="26"/>
    </row>
    <row r="719" spans="13:13" ht="14.25" customHeight="1" x14ac:dyDescent="0.3">
      <c r="M719" s="26"/>
    </row>
    <row r="720" spans="13:13" ht="14.25" customHeight="1" x14ac:dyDescent="0.3">
      <c r="M720" s="26"/>
    </row>
    <row r="721" spans="13:13" ht="14.25" customHeight="1" x14ac:dyDescent="0.3">
      <c r="M721" s="26"/>
    </row>
    <row r="722" spans="13:13" ht="14.25" customHeight="1" x14ac:dyDescent="0.3">
      <c r="M722" s="26"/>
    </row>
    <row r="723" spans="13:13" ht="14.25" customHeight="1" x14ac:dyDescent="0.3">
      <c r="M723" s="26"/>
    </row>
    <row r="724" spans="13:13" ht="14.25" customHeight="1" x14ac:dyDescent="0.3">
      <c r="M724" s="26"/>
    </row>
    <row r="725" spans="13:13" ht="14.25" customHeight="1" x14ac:dyDescent="0.3">
      <c r="M725" s="26"/>
    </row>
    <row r="726" spans="13:13" ht="14.25" customHeight="1" x14ac:dyDescent="0.3">
      <c r="M726" s="26"/>
    </row>
    <row r="727" spans="13:13" ht="14.25" customHeight="1" x14ac:dyDescent="0.3">
      <c r="M727" s="26"/>
    </row>
    <row r="728" spans="13:13" ht="14.25" customHeight="1" x14ac:dyDescent="0.3">
      <c r="M728" s="26"/>
    </row>
    <row r="729" spans="13:13" ht="14.25" customHeight="1" x14ac:dyDescent="0.3">
      <c r="M729" s="26"/>
    </row>
    <row r="730" spans="13:13" ht="14.25" customHeight="1" x14ac:dyDescent="0.3">
      <c r="M730" s="26"/>
    </row>
    <row r="731" spans="13:13" ht="14.25" customHeight="1" x14ac:dyDescent="0.3">
      <c r="M731" s="26"/>
    </row>
    <row r="732" spans="13:13" ht="14.25" customHeight="1" x14ac:dyDescent="0.3">
      <c r="M732" s="26"/>
    </row>
    <row r="733" spans="13:13" ht="14.25" customHeight="1" x14ac:dyDescent="0.3">
      <c r="M733" s="26"/>
    </row>
    <row r="734" spans="13:13" ht="14.25" customHeight="1" x14ac:dyDescent="0.3">
      <c r="M734" s="26"/>
    </row>
    <row r="735" spans="13:13" ht="14.25" customHeight="1" x14ac:dyDescent="0.3">
      <c r="M735" s="26"/>
    </row>
    <row r="736" spans="13:13" ht="14.25" customHeight="1" x14ac:dyDescent="0.3">
      <c r="M736" s="26"/>
    </row>
    <row r="737" spans="13:13" ht="14.25" customHeight="1" x14ac:dyDescent="0.3">
      <c r="M737" s="26"/>
    </row>
    <row r="738" spans="13:13" ht="14.25" customHeight="1" x14ac:dyDescent="0.3">
      <c r="M738" s="26"/>
    </row>
    <row r="739" spans="13:13" ht="14.25" customHeight="1" x14ac:dyDescent="0.3">
      <c r="M739" s="26"/>
    </row>
    <row r="740" spans="13:13" ht="14.25" customHeight="1" x14ac:dyDescent="0.3">
      <c r="M740" s="26"/>
    </row>
    <row r="741" spans="13:13" ht="14.25" customHeight="1" x14ac:dyDescent="0.3">
      <c r="M741" s="26"/>
    </row>
    <row r="742" spans="13:13" ht="14.25" customHeight="1" x14ac:dyDescent="0.3">
      <c r="M742" s="26"/>
    </row>
    <row r="743" spans="13:13" ht="14.25" customHeight="1" x14ac:dyDescent="0.3">
      <c r="M743" s="26"/>
    </row>
    <row r="744" spans="13:13" ht="14.25" customHeight="1" x14ac:dyDescent="0.3">
      <c r="M744" s="26"/>
    </row>
    <row r="745" spans="13:13" ht="14.25" customHeight="1" x14ac:dyDescent="0.3">
      <c r="M745" s="26"/>
    </row>
    <row r="746" spans="13:13" ht="14.25" customHeight="1" x14ac:dyDescent="0.3">
      <c r="M746" s="26"/>
    </row>
    <row r="747" spans="13:13" ht="14.25" customHeight="1" x14ac:dyDescent="0.3">
      <c r="M747" s="26"/>
    </row>
    <row r="748" spans="13:13" ht="14.25" customHeight="1" x14ac:dyDescent="0.3">
      <c r="M748" s="26"/>
    </row>
    <row r="749" spans="13:13" ht="14.25" customHeight="1" x14ac:dyDescent="0.3">
      <c r="M749" s="26"/>
    </row>
    <row r="750" spans="13:13" ht="14.25" customHeight="1" x14ac:dyDescent="0.3">
      <c r="M750" s="26"/>
    </row>
    <row r="751" spans="13:13" ht="14.25" customHeight="1" x14ac:dyDescent="0.3">
      <c r="M751" s="26"/>
    </row>
    <row r="752" spans="13:13" ht="14.25" customHeight="1" x14ac:dyDescent="0.3">
      <c r="M752" s="26"/>
    </row>
    <row r="753" spans="13:13" ht="14.25" customHeight="1" x14ac:dyDescent="0.3">
      <c r="M753" s="26"/>
    </row>
    <row r="754" spans="13:13" ht="14.25" customHeight="1" x14ac:dyDescent="0.3">
      <c r="M754" s="26"/>
    </row>
    <row r="755" spans="13:13" ht="14.25" customHeight="1" x14ac:dyDescent="0.3">
      <c r="M755" s="26"/>
    </row>
    <row r="756" spans="13:13" ht="14.25" customHeight="1" x14ac:dyDescent="0.3">
      <c r="M756" s="26"/>
    </row>
    <row r="757" spans="13:13" ht="14.25" customHeight="1" x14ac:dyDescent="0.3">
      <c r="M757" s="26"/>
    </row>
    <row r="758" spans="13:13" ht="14.25" customHeight="1" x14ac:dyDescent="0.3">
      <c r="M758" s="26"/>
    </row>
    <row r="759" spans="13:13" ht="14.25" customHeight="1" x14ac:dyDescent="0.3">
      <c r="M759" s="26"/>
    </row>
    <row r="760" spans="13:13" ht="14.25" customHeight="1" x14ac:dyDescent="0.3">
      <c r="M760" s="26"/>
    </row>
    <row r="761" spans="13:13" ht="14.25" customHeight="1" x14ac:dyDescent="0.3">
      <c r="M761" s="26"/>
    </row>
    <row r="762" spans="13:13" ht="14.25" customHeight="1" x14ac:dyDescent="0.3">
      <c r="M762" s="26"/>
    </row>
    <row r="763" spans="13:13" ht="14.25" customHeight="1" x14ac:dyDescent="0.3">
      <c r="M763" s="26"/>
    </row>
    <row r="764" spans="13:13" ht="14.25" customHeight="1" x14ac:dyDescent="0.3">
      <c r="M764" s="26"/>
    </row>
    <row r="765" spans="13:13" ht="14.25" customHeight="1" x14ac:dyDescent="0.3">
      <c r="M765" s="26"/>
    </row>
    <row r="766" spans="13:13" ht="14.25" customHeight="1" x14ac:dyDescent="0.3">
      <c r="M766" s="26"/>
    </row>
    <row r="767" spans="13:13" ht="14.25" customHeight="1" x14ac:dyDescent="0.3">
      <c r="M767" s="26"/>
    </row>
    <row r="768" spans="13:13" ht="14.25" customHeight="1" x14ac:dyDescent="0.3">
      <c r="M768" s="26"/>
    </row>
    <row r="769" spans="13:13" ht="14.25" customHeight="1" x14ac:dyDescent="0.3">
      <c r="M769" s="26"/>
    </row>
    <row r="770" spans="13:13" ht="14.25" customHeight="1" x14ac:dyDescent="0.3">
      <c r="M770" s="26"/>
    </row>
    <row r="771" spans="13:13" ht="14.25" customHeight="1" x14ac:dyDescent="0.3">
      <c r="M771" s="26"/>
    </row>
    <row r="772" spans="13:13" ht="14.25" customHeight="1" x14ac:dyDescent="0.3">
      <c r="M772" s="26"/>
    </row>
    <row r="773" spans="13:13" ht="14.25" customHeight="1" x14ac:dyDescent="0.3">
      <c r="M773" s="26"/>
    </row>
    <row r="774" spans="13:13" ht="14.25" customHeight="1" x14ac:dyDescent="0.3">
      <c r="M774" s="26"/>
    </row>
    <row r="775" spans="13:13" ht="14.25" customHeight="1" x14ac:dyDescent="0.3">
      <c r="M775" s="26"/>
    </row>
    <row r="776" spans="13:13" ht="14.25" customHeight="1" x14ac:dyDescent="0.3">
      <c r="M776" s="26"/>
    </row>
    <row r="777" spans="13:13" ht="14.25" customHeight="1" x14ac:dyDescent="0.3">
      <c r="M777" s="26"/>
    </row>
    <row r="778" spans="13:13" ht="14.25" customHeight="1" x14ac:dyDescent="0.3">
      <c r="M778" s="26"/>
    </row>
    <row r="779" spans="13:13" ht="14.25" customHeight="1" x14ac:dyDescent="0.3">
      <c r="M779" s="26"/>
    </row>
    <row r="780" spans="13:13" ht="14.25" customHeight="1" x14ac:dyDescent="0.3">
      <c r="M780" s="26"/>
    </row>
    <row r="781" spans="13:13" ht="14.25" customHeight="1" x14ac:dyDescent="0.3">
      <c r="M781" s="26"/>
    </row>
    <row r="782" spans="13:13" ht="14.25" customHeight="1" x14ac:dyDescent="0.3">
      <c r="M782" s="26"/>
    </row>
    <row r="783" spans="13:13" ht="14.25" customHeight="1" x14ac:dyDescent="0.3">
      <c r="M783" s="26"/>
    </row>
    <row r="784" spans="13:13" ht="14.25" customHeight="1" x14ac:dyDescent="0.3">
      <c r="M784" s="26"/>
    </row>
    <row r="785" spans="13:13" ht="14.25" customHeight="1" x14ac:dyDescent="0.3">
      <c r="M785" s="26"/>
    </row>
    <row r="786" spans="13:13" ht="14.25" customHeight="1" x14ac:dyDescent="0.3">
      <c r="M786" s="26"/>
    </row>
    <row r="787" spans="13:13" ht="14.25" customHeight="1" x14ac:dyDescent="0.3">
      <c r="M787" s="26"/>
    </row>
    <row r="788" spans="13:13" ht="14.25" customHeight="1" x14ac:dyDescent="0.3">
      <c r="M788" s="26"/>
    </row>
    <row r="789" spans="13:13" ht="14.25" customHeight="1" x14ac:dyDescent="0.3">
      <c r="M789" s="26"/>
    </row>
    <row r="790" spans="13:13" ht="14.25" customHeight="1" x14ac:dyDescent="0.3">
      <c r="M790" s="26"/>
    </row>
    <row r="791" spans="13:13" ht="14.25" customHeight="1" x14ac:dyDescent="0.3">
      <c r="M791" s="26"/>
    </row>
    <row r="792" spans="13:13" ht="14.25" customHeight="1" x14ac:dyDescent="0.3">
      <c r="M792" s="26"/>
    </row>
    <row r="793" spans="13:13" ht="14.25" customHeight="1" x14ac:dyDescent="0.3">
      <c r="M793" s="26"/>
    </row>
    <row r="794" spans="13:13" ht="14.25" customHeight="1" x14ac:dyDescent="0.3">
      <c r="M794" s="26"/>
    </row>
    <row r="795" spans="13:13" ht="14.25" customHeight="1" x14ac:dyDescent="0.3">
      <c r="M795" s="26"/>
    </row>
    <row r="796" spans="13:13" ht="14.25" customHeight="1" x14ac:dyDescent="0.3">
      <c r="M796" s="26"/>
    </row>
    <row r="797" spans="13:13" ht="14.25" customHeight="1" x14ac:dyDescent="0.3">
      <c r="M797" s="26"/>
    </row>
    <row r="798" spans="13:13" ht="14.25" customHeight="1" x14ac:dyDescent="0.3">
      <c r="M798" s="26"/>
    </row>
    <row r="799" spans="13:13" ht="14.25" customHeight="1" x14ac:dyDescent="0.3">
      <c r="M799" s="26"/>
    </row>
    <row r="800" spans="13:13" ht="14.25" customHeight="1" x14ac:dyDescent="0.3">
      <c r="M800" s="26"/>
    </row>
    <row r="801" spans="13:13" ht="14.25" customHeight="1" x14ac:dyDescent="0.3">
      <c r="M801" s="26"/>
    </row>
    <row r="802" spans="13:13" ht="14.25" customHeight="1" x14ac:dyDescent="0.3">
      <c r="M802" s="26"/>
    </row>
    <row r="803" spans="13:13" ht="14.25" customHeight="1" x14ac:dyDescent="0.3">
      <c r="M803" s="26"/>
    </row>
    <row r="804" spans="13:13" ht="14.25" customHeight="1" x14ac:dyDescent="0.3">
      <c r="M804" s="26"/>
    </row>
    <row r="805" spans="13:13" ht="14.25" customHeight="1" x14ac:dyDescent="0.3">
      <c r="M805" s="26"/>
    </row>
    <row r="806" spans="13:13" ht="14.25" customHeight="1" x14ac:dyDescent="0.3">
      <c r="M806" s="26"/>
    </row>
    <row r="807" spans="13:13" ht="14.25" customHeight="1" x14ac:dyDescent="0.3">
      <c r="M807" s="26"/>
    </row>
    <row r="808" spans="13:13" ht="14.25" customHeight="1" x14ac:dyDescent="0.3">
      <c r="M808" s="26"/>
    </row>
    <row r="809" spans="13:13" ht="14.25" customHeight="1" x14ac:dyDescent="0.3">
      <c r="M809" s="26"/>
    </row>
    <row r="810" spans="13:13" ht="14.25" customHeight="1" x14ac:dyDescent="0.3">
      <c r="M810" s="26"/>
    </row>
    <row r="811" spans="13:13" ht="14.25" customHeight="1" x14ac:dyDescent="0.3">
      <c r="M811" s="26"/>
    </row>
    <row r="812" spans="13:13" ht="14.25" customHeight="1" x14ac:dyDescent="0.3">
      <c r="M812" s="26"/>
    </row>
    <row r="813" spans="13:13" ht="14.25" customHeight="1" x14ac:dyDescent="0.3">
      <c r="M813" s="26"/>
    </row>
    <row r="814" spans="13:13" ht="14.25" customHeight="1" x14ac:dyDescent="0.3">
      <c r="M814" s="26"/>
    </row>
    <row r="815" spans="13:13" ht="14.25" customHeight="1" x14ac:dyDescent="0.3">
      <c r="M815" s="26"/>
    </row>
    <row r="816" spans="13:13" ht="14.25" customHeight="1" x14ac:dyDescent="0.3">
      <c r="M816" s="26"/>
    </row>
    <row r="817" spans="13:13" ht="14.25" customHeight="1" x14ac:dyDescent="0.3">
      <c r="M817" s="26"/>
    </row>
    <row r="818" spans="13:13" ht="14.25" customHeight="1" x14ac:dyDescent="0.3">
      <c r="M818" s="26"/>
    </row>
    <row r="819" spans="13:13" ht="14.25" customHeight="1" x14ac:dyDescent="0.3">
      <c r="M819" s="26"/>
    </row>
    <row r="820" spans="13:13" ht="14.25" customHeight="1" x14ac:dyDescent="0.3">
      <c r="M820" s="26"/>
    </row>
    <row r="821" spans="13:13" ht="14.25" customHeight="1" x14ac:dyDescent="0.3">
      <c r="M821" s="26"/>
    </row>
    <row r="822" spans="13:13" ht="14.25" customHeight="1" x14ac:dyDescent="0.3">
      <c r="M822" s="26"/>
    </row>
    <row r="823" spans="13:13" ht="14.25" customHeight="1" x14ac:dyDescent="0.3">
      <c r="M823" s="26"/>
    </row>
    <row r="824" spans="13:13" ht="14.25" customHeight="1" x14ac:dyDescent="0.3">
      <c r="M824" s="26"/>
    </row>
    <row r="825" spans="13:13" ht="14.25" customHeight="1" x14ac:dyDescent="0.3">
      <c r="M825" s="26"/>
    </row>
    <row r="826" spans="13:13" ht="14.25" customHeight="1" x14ac:dyDescent="0.3">
      <c r="M826" s="26"/>
    </row>
    <row r="827" spans="13:13" ht="14.25" customHeight="1" x14ac:dyDescent="0.3">
      <c r="M827" s="26"/>
    </row>
    <row r="828" spans="13:13" ht="14.25" customHeight="1" x14ac:dyDescent="0.3">
      <c r="M828" s="26"/>
    </row>
    <row r="829" spans="13:13" ht="14.25" customHeight="1" x14ac:dyDescent="0.3">
      <c r="M829" s="26"/>
    </row>
    <row r="830" spans="13:13" ht="14.25" customHeight="1" x14ac:dyDescent="0.3">
      <c r="M830" s="26"/>
    </row>
    <row r="831" spans="13:13" ht="14.25" customHeight="1" x14ac:dyDescent="0.3">
      <c r="M831" s="26"/>
    </row>
    <row r="832" spans="13:13" ht="14.25" customHeight="1" x14ac:dyDescent="0.3">
      <c r="M832" s="26"/>
    </row>
    <row r="833" spans="13:13" ht="14.25" customHeight="1" x14ac:dyDescent="0.3">
      <c r="M833" s="26"/>
    </row>
    <row r="834" spans="13:13" ht="14.25" customHeight="1" x14ac:dyDescent="0.3">
      <c r="M834" s="26"/>
    </row>
    <row r="835" spans="13:13" ht="14.25" customHeight="1" x14ac:dyDescent="0.3">
      <c r="M835" s="26"/>
    </row>
    <row r="836" spans="13:13" ht="14.25" customHeight="1" x14ac:dyDescent="0.3">
      <c r="M836" s="26"/>
    </row>
    <row r="837" spans="13:13" ht="14.25" customHeight="1" x14ac:dyDescent="0.3">
      <c r="M837" s="26"/>
    </row>
    <row r="838" spans="13:13" ht="14.25" customHeight="1" x14ac:dyDescent="0.3">
      <c r="M838" s="26"/>
    </row>
    <row r="839" spans="13:13" ht="14.25" customHeight="1" x14ac:dyDescent="0.3">
      <c r="M839" s="26"/>
    </row>
    <row r="840" spans="13:13" ht="14.25" customHeight="1" x14ac:dyDescent="0.3">
      <c r="M840" s="26"/>
    </row>
    <row r="841" spans="13:13" ht="14.25" customHeight="1" x14ac:dyDescent="0.3">
      <c r="M841" s="26"/>
    </row>
    <row r="842" spans="13:13" ht="14.25" customHeight="1" x14ac:dyDescent="0.3">
      <c r="M842" s="26"/>
    </row>
    <row r="843" spans="13:13" ht="14.25" customHeight="1" x14ac:dyDescent="0.3">
      <c r="M843" s="26"/>
    </row>
    <row r="844" spans="13:13" ht="14.25" customHeight="1" x14ac:dyDescent="0.3">
      <c r="M844" s="26"/>
    </row>
    <row r="845" spans="13:13" ht="14.25" customHeight="1" x14ac:dyDescent="0.3">
      <c r="M845" s="26"/>
    </row>
    <row r="846" spans="13:13" ht="14.25" customHeight="1" x14ac:dyDescent="0.3">
      <c r="M846" s="26"/>
    </row>
    <row r="847" spans="13:13" ht="14.25" customHeight="1" x14ac:dyDescent="0.3">
      <c r="M847" s="26"/>
    </row>
    <row r="848" spans="13:13" ht="14.25" customHeight="1" x14ac:dyDescent="0.3">
      <c r="M848" s="26"/>
    </row>
    <row r="849" spans="13:13" ht="14.25" customHeight="1" x14ac:dyDescent="0.3">
      <c r="M849" s="26"/>
    </row>
    <row r="850" spans="13:13" ht="14.25" customHeight="1" x14ac:dyDescent="0.3">
      <c r="M850" s="26"/>
    </row>
    <row r="851" spans="13:13" ht="14.25" customHeight="1" x14ac:dyDescent="0.3">
      <c r="M851" s="26"/>
    </row>
    <row r="852" spans="13:13" ht="14.25" customHeight="1" x14ac:dyDescent="0.3">
      <c r="M852" s="26"/>
    </row>
    <row r="853" spans="13:13" ht="14.25" customHeight="1" x14ac:dyDescent="0.3">
      <c r="M853" s="26"/>
    </row>
    <row r="854" spans="13:13" ht="14.25" customHeight="1" x14ac:dyDescent="0.3">
      <c r="M854" s="26"/>
    </row>
    <row r="855" spans="13:13" ht="14.25" customHeight="1" x14ac:dyDescent="0.3">
      <c r="M855" s="26"/>
    </row>
    <row r="856" spans="13:13" ht="14.25" customHeight="1" x14ac:dyDescent="0.3">
      <c r="M856" s="26"/>
    </row>
    <row r="857" spans="13:13" ht="14.25" customHeight="1" x14ac:dyDescent="0.3">
      <c r="M857" s="26"/>
    </row>
    <row r="858" spans="13:13" ht="14.25" customHeight="1" x14ac:dyDescent="0.3">
      <c r="M858" s="26"/>
    </row>
    <row r="859" spans="13:13" ht="14.25" customHeight="1" x14ac:dyDescent="0.3">
      <c r="M859" s="26"/>
    </row>
    <row r="860" spans="13:13" ht="14.25" customHeight="1" x14ac:dyDescent="0.3">
      <c r="M860" s="26"/>
    </row>
    <row r="861" spans="13:13" ht="14.25" customHeight="1" x14ac:dyDescent="0.3">
      <c r="M861" s="26"/>
    </row>
    <row r="862" spans="13:13" ht="14.25" customHeight="1" x14ac:dyDescent="0.3">
      <c r="M862" s="26"/>
    </row>
    <row r="863" spans="13:13" ht="14.25" customHeight="1" x14ac:dyDescent="0.3">
      <c r="M863" s="26"/>
    </row>
    <row r="864" spans="13:13" ht="14.25" customHeight="1" x14ac:dyDescent="0.3">
      <c r="M864" s="26"/>
    </row>
    <row r="865" spans="13:13" ht="14.25" customHeight="1" x14ac:dyDescent="0.3">
      <c r="M865" s="26"/>
    </row>
    <row r="866" spans="13:13" ht="14.25" customHeight="1" x14ac:dyDescent="0.3">
      <c r="M866" s="26"/>
    </row>
    <row r="867" spans="13:13" ht="14.25" customHeight="1" x14ac:dyDescent="0.3">
      <c r="M867" s="26"/>
    </row>
    <row r="868" spans="13:13" ht="14.25" customHeight="1" x14ac:dyDescent="0.3">
      <c r="M868" s="26"/>
    </row>
    <row r="869" spans="13:13" ht="14.25" customHeight="1" x14ac:dyDescent="0.3">
      <c r="M869" s="26"/>
    </row>
    <row r="870" spans="13:13" ht="14.25" customHeight="1" x14ac:dyDescent="0.3">
      <c r="M870" s="26"/>
    </row>
    <row r="871" spans="13:13" ht="14.25" customHeight="1" x14ac:dyDescent="0.3">
      <c r="M871" s="26"/>
    </row>
    <row r="872" spans="13:13" ht="14.25" customHeight="1" x14ac:dyDescent="0.3">
      <c r="M872" s="26"/>
    </row>
    <row r="873" spans="13:13" ht="14.25" customHeight="1" x14ac:dyDescent="0.3">
      <c r="M873" s="26"/>
    </row>
    <row r="874" spans="13:13" ht="14.25" customHeight="1" x14ac:dyDescent="0.3">
      <c r="M874" s="26"/>
    </row>
    <row r="875" spans="13:13" ht="14.25" customHeight="1" x14ac:dyDescent="0.3">
      <c r="M875" s="26"/>
    </row>
    <row r="876" spans="13:13" ht="14.25" customHeight="1" x14ac:dyDescent="0.3">
      <c r="M876" s="26"/>
    </row>
    <row r="877" spans="13:13" ht="14.25" customHeight="1" x14ac:dyDescent="0.3">
      <c r="M877" s="26"/>
    </row>
    <row r="878" spans="13:13" ht="14.25" customHeight="1" x14ac:dyDescent="0.3">
      <c r="M878" s="26"/>
    </row>
    <row r="879" spans="13:13" ht="14.25" customHeight="1" x14ac:dyDescent="0.3">
      <c r="M879" s="26"/>
    </row>
    <row r="880" spans="13:13" ht="14.25" customHeight="1" x14ac:dyDescent="0.3">
      <c r="M880" s="26"/>
    </row>
    <row r="881" spans="13:13" ht="14.25" customHeight="1" x14ac:dyDescent="0.3">
      <c r="M881" s="26"/>
    </row>
    <row r="882" spans="13:13" ht="14.25" customHeight="1" x14ac:dyDescent="0.3">
      <c r="M882" s="26"/>
    </row>
    <row r="883" spans="13:13" ht="14.25" customHeight="1" x14ac:dyDescent="0.3">
      <c r="M883" s="26"/>
    </row>
    <row r="884" spans="13:13" ht="14.25" customHeight="1" x14ac:dyDescent="0.3">
      <c r="M884" s="26"/>
    </row>
    <row r="885" spans="13:13" ht="14.25" customHeight="1" x14ac:dyDescent="0.3">
      <c r="M885" s="26"/>
    </row>
    <row r="886" spans="13:13" ht="14.25" customHeight="1" x14ac:dyDescent="0.3">
      <c r="M886" s="26"/>
    </row>
    <row r="887" spans="13:13" ht="14.25" customHeight="1" x14ac:dyDescent="0.3">
      <c r="M887" s="26"/>
    </row>
    <row r="888" spans="13:13" ht="14.25" customHeight="1" x14ac:dyDescent="0.3">
      <c r="M888" s="26"/>
    </row>
    <row r="889" spans="13:13" ht="14.25" customHeight="1" x14ac:dyDescent="0.3">
      <c r="M889" s="26"/>
    </row>
    <row r="890" spans="13:13" ht="14.25" customHeight="1" x14ac:dyDescent="0.3">
      <c r="M890" s="26"/>
    </row>
    <row r="891" spans="13:13" ht="14.25" customHeight="1" x14ac:dyDescent="0.3">
      <c r="M891" s="26"/>
    </row>
    <row r="892" spans="13:13" ht="14.25" customHeight="1" x14ac:dyDescent="0.3">
      <c r="M892" s="26"/>
    </row>
    <row r="893" spans="13:13" ht="14.25" customHeight="1" x14ac:dyDescent="0.3">
      <c r="M893" s="26"/>
    </row>
    <row r="894" spans="13:13" ht="14.25" customHeight="1" x14ac:dyDescent="0.3">
      <c r="M894" s="26"/>
    </row>
    <row r="895" spans="13:13" ht="14.25" customHeight="1" x14ac:dyDescent="0.3">
      <c r="M895" s="26"/>
    </row>
    <row r="896" spans="13:13" ht="14.25" customHeight="1" x14ac:dyDescent="0.3">
      <c r="M896" s="26"/>
    </row>
    <row r="897" spans="13:13" ht="14.25" customHeight="1" x14ac:dyDescent="0.3">
      <c r="M897" s="26"/>
    </row>
    <row r="898" spans="13:13" ht="14.25" customHeight="1" x14ac:dyDescent="0.3">
      <c r="M898" s="26"/>
    </row>
    <row r="899" spans="13:13" ht="14.25" customHeight="1" x14ac:dyDescent="0.3">
      <c r="M899" s="26"/>
    </row>
    <row r="900" spans="13:13" ht="14.25" customHeight="1" x14ac:dyDescent="0.3">
      <c r="M900" s="26"/>
    </row>
    <row r="901" spans="13:13" ht="14.25" customHeight="1" x14ac:dyDescent="0.3">
      <c r="M901" s="26"/>
    </row>
    <row r="902" spans="13:13" ht="14.25" customHeight="1" x14ac:dyDescent="0.3">
      <c r="M902" s="26"/>
    </row>
    <row r="903" spans="13:13" ht="14.25" customHeight="1" x14ac:dyDescent="0.3">
      <c r="M903" s="26"/>
    </row>
    <row r="904" spans="13:13" ht="14.25" customHeight="1" x14ac:dyDescent="0.3">
      <c r="M904" s="26"/>
    </row>
    <row r="905" spans="13:13" ht="14.25" customHeight="1" x14ac:dyDescent="0.3">
      <c r="M905" s="26"/>
    </row>
    <row r="906" spans="13:13" ht="14.25" customHeight="1" x14ac:dyDescent="0.3">
      <c r="M906" s="26"/>
    </row>
    <row r="907" spans="13:13" ht="14.25" customHeight="1" x14ac:dyDescent="0.3">
      <c r="M907" s="26"/>
    </row>
    <row r="908" spans="13:13" ht="14.25" customHeight="1" x14ac:dyDescent="0.3">
      <c r="M908" s="26"/>
    </row>
    <row r="909" spans="13:13" ht="14.25" customHeight="1" x14ac:dyDescent="0.3">
      <c r="M909" s="26"/>
    </row>
    <row r="910" spans="13:13" ht="14.25" customHeight="1" x14ac:dyDescent="0.3">
      <c r="M910" s="26"/>
    </row>
    <row r="911" spans="13:13" ht="14.25" customHeight="1" x14ac:dyDescent="0.3">
      <c r="M911" s="26"/>
    </row>
    <row r="912" spans="13:13" ht="14.25" customHeight="1" x14ac:dyDescent="0.3">
      <c r="M912" s="26"/>
    </row>
    <row r="913" spans="13:13" ht="14.25" customHeight="1" x14ac:dyDescent="0.3">
      <c r="M913" s="26"/>
    </row>
    <row r="914" spans="13:13" ht="14.25" customHeight="1" x14ac:dyDescent="0.3">
      <c r="M914" s="26"/>
    </row>
    <row r="915" spans="13:13" ht="14.25" customHeight="1" x14ac:dyDescent="0.3">
      <c r="M915" s="26"/>
    </row>
    <row r="916" spans="13:13" ht="14.25" customHeight="1" x14ac:dyDescent="0.3">
      <c r="M916" s="26"/>
    </row>
    <row r="917" spans="13:13" ht="14.25" customHeight="1" x14ac:dyDescent="0.3">
      <c r="M917" s="26"/>
    </row>
    <row r="918" spans="13:13" ht="14.25" customHeight="1" x14ac:dyDescent="0.3">
      <c r="M918" s="26"/>
    </row>
    <row r="919" spans="13:13" ht="14.25" customHeight="1" x14ac:dyDescent="0.3">
      <c r="M919" s="26"/>
    </row>
    <row r="920" spans="13:13" ht="14.25" customHeight="1" x14ac:dyDescent="0.3">
      <c r="M920" s="26"/>
    </row>
    <row r="921" spans="13:13" ht="14.25" customHeight="1" x14ac:dyDescent="0.3">
      <c r="M921" s="26"/>
    </row>
    <row r="922" spans="13:13" ht="14.25" customHeight="1" x14ac:dyDescent="0.3">
      <c r="M922" s="26"/>
    </row>
    <row r="923" spans="13:13" ht="14.25" customHeight="1" x14ac:dyDescent="0.3">
      <c r="M923" s="26"/>
    </row>
    <row r="924" spans="13:13" ht="14.25" customHeight="1" x14ac:dyDescent="0.3">
      <c r="M924" s="26"/>
    </row>
    <row r="925" spans="13:13" ht="14.25" customHeight="1" x14ac:dyDescent="0.3">
      <c r="M925" s="26"/>
    </row>
    <row r="926" spans="13:13" ht="14.25" customHeight="1" x14ac:dyDescent="0.3">
      <c r="M926" s="26"/>
    </row>
    <row r="927" spans="13:13" ht="14.25" customHeight="1" x14ac:dyDescent="0.3">
      <c r="M927" s="26"/>
    </row>
    <row r="928" spans="13:13" ht="14.25" customHeight="1" x14ac:dyDescent="0.3">
      <c r="M928" s="26"/>
    </row>
    <row r="929" spans="13:13" ht="14.25" customHeight="1" x14ac:dyDescent="0.3">
      <c r="M929" s="26"/>
    </row>
    <row r="930" spans="13:13" ht="14.25" customHeight="1" x14ac:dyDescent="0.3">
      <c r="M930" s="26"/>
    </row>
    <row r="931" spans="13:13" ht="14.25" customHeight="1" x14ac:dyDescent="0.3">
      <c r="M931" s="26"/>
    </row>
    <row r="932" spans="13:13" ht="14.25" customHeight="1" x14ac:dyDescent="0.3">
      <c r="M932" s="26"/>
    </row>
    <row r="933" spans="13:13" ht="14.25" customHeight="1" x14ac:dyDescent="0.3">
      <c r="M933" s="26"/>
    </row>
    <row r="934" spans="13:13" ht="14.25" customHeight="1" x14ac:dyDescent="0.3">
      <c r="M934" s="26"/>
    </row>
    <row r="935" spans="13:13" ht="14.25" customHeight="1" x14ac:dyDescent="0.3">
      <c r="M935" s="26"/>
    </row>
    <row r="936" spans="13:13" ht="14.25" customHeight="1" x14ac:dyDescent="0.3">
      <c r="M936" s="26"/>
    </row>
    <row r="937" spans="13:13" ht="14.25" customHeight="1" x14ac:dyDescent="0.3">
      <c r="M937" s="26"/>
    </row>
    <row r="938" spans="13:13" ht="14.25" customHeight="1" x14ac:dyDescent="0.3">
      <c r="M938" s="26"/>
    </row>
    <row r="939" spans="13:13" ht="14.25" customHeight="1" x14ac:dyDescent="0.3">
      <c r="M939" s="26"/>
    </row>
    <row r="940" spans="13:13" ht="14.25" customHeight="1" x14ac:dyDescent="0.3">
      <c r="M940" s="26"/>
    </row>
    <row r="941" spans="13:13" ht="14.25" customHeight="1" x14ac:dyDescent="0.3">
      <c r="M941" s="26"/>
    </row>
    <row r="942" spans="13:13" ht="14.25" customHeight="1" x14ac:dyDescent="0.3">
      <c r="M942" s="26"/>
    </row>
    <row r="943" spans="13:13" ht="14.25" customHeight="1" x14ac:dyDescent="0.3">
      <c r="M943" s="26"/>
    </row>
    <row r="944" spans="13:13" ht="14.25" customHeight="1" x14ac:dyDescent="0.3">
      <c r="M944" s="26"/>
    </row>
    <row r="945" spans="13:13" ht="14.25" customHeight="1" x14ac:dyDescent="0.3">
      <c r="M945" s="26"/>
    </row>
    <row r="946" spans="13:13" ht="14.25" customHeight="1" x14ac:dyDescent="0.3">
      <c r="M946" s="26"/>
    </row>
    <row r="947" spans="13:13" ht="14.25" customHeight="1" x14ac:dyDescent="0.3">
      <c r="M947" s="26"/>
    </row>
    <row r="948" spans="13:13" ht="14.25" customHeight="1" x14ac:dyDescent="0.3">
      <c r="M948" s="26"/>
    </row>
    <row r="949" spans="13:13" ht="14.25" customHeight="1" x14ac:dyDescent="0.3">
      <c r="M949" s="26"/>
    </row>
    <row r="950" spans="13:13" ht="14.25" customHeight="1" x14ac:dyDescent="0.3">
      <c r="M950" s="26"/>
    </row>
    <row r="951" spans="13:13" ht="14.25" customHeight="1" x14ac:dyDescent="0.3">
      <c r="M951" s="26"/>
    </row>
    <row r="952" spans="13:13" ht="14.25" customHeight="1" x14ac:dyDescent="0.3">
      <c r="M952" s="26"/>
    </row>
    <row r="953" spans="13:13" ht="14.25" customHeight="1" x14ac:dyDescent="0.3">
      <c r="M953" s="26"/>
    </row>
    <row r="954" spans="13:13" ht="14.25" customHeight="1" x14ac:dyDescent="0.3">
      <c r="M954" s="26"/>
    </row>
    <row r="955" spans="13:13" ht="14.25" customHeight="1" x14ac:dyDescent="0.3">
      <c r="M955" s="26"/>
    </row>
    <row r="956" spans="13:13" ht="14.25" customHeight="1" x14ac:dyDescent="0.3">
      <c r="M956" s="26"/>
    </row>
    <row r="957" spans="13:13" ht="14.25" customHeight="1" x14ac:dyDescent="0.3">
      <c r="M957" s="26"/>
    </row>
    <row r="958" spans="13:13" ht="14.25" customHeight="1" x14ac:dyDescent="0.3">
      <c r="M958" s="26"/>
    </row>
    <row r="959" spans="13:13" ht="14.25" customHeight="1" x14ac:dyDescent="0.3">
      <c r="M959" s="26"/>
    </row>
    <row r="960" spans="13:13" ht="14.25" customHeight="1" x14ac:dyDescent="0.3">
      <c r="M960" s="26"/>
    </row>
    <row r="961" spans="13:13" ht="14.25" customHeight="1" x14ac:dyDescent="0.3">
      <c r="M961" s="26"/>
    </row>
    <row r="962" spans="13:13" ht="14.25" customHeight="1" x14ac:dyDescent="0.3">
      <c r="M962" s="26"/>
    </row>
    <row r="963" spans="13:13" ht="14.25" customHeight="1" x14ac:dyDescent="0.3">
      <c r="M963" s="26"/>
    </row>
    <row r="964" spans="13:13" ht="14.25" customHeight="1" x14ac:dyDescent="0.3">
      <c r="M964" s="26"/>
    </row>
    <row r="965" spans="13:13" ht="14.25" customHeight="1" x14ac:dyDescent="0.3">
      <c r="M965" s="26"/>
    </row>
    <row r="966" spans="13:13" ht="14.25" customHeight="1" x14ac:dyDescent="0.3">
      <c r="M966" s="26"/>
    </row>
    <row r="967" spans="13:13" ht="14.25" customHeight="1" x14ac:dyDescent="0.3">
      <c r="M967" s="26"/>
    </row>
    <row r="968" spans="13:13" ht="14.25" customHeight="1" x14ac:dyDescent="0.3">
      <c r="M968" s="26"/>
    </row>
    <row r="969" spans="13:13" ht="14.25" customHeight="1" x14ac:dyDescent="0.3">
      <c r="M969" s="26"/>
    </row>
    <row r="970" spans="13:13" ht="14.25" customHeight="1" x14ac:dyDescent="0.3">
      <c r="M970" s="26"/>
    </row>
    <row r="971" spans="13:13" ht="14.25" customHeight="1" x14ac:dyDescent="0.3">
      <c r="M971" s="26"/>
    </row>
    <row r="972" spans="13:13" ht="14.25" customHeight="1" x14ac:dyDescent="0.3">
      <c r="M972" s="26"/>
    </row>
    <row r="973" spans="13:13" ht="14.25" customHeight="1" x14ac:dyDescent="0.3">
      <c r="M973" s="26"/>
    </row>
    <row r="974" spans="13:13" ht="14.25" customHeight="1" x14ac:dyDescent="0.3">
      <c r="M974" s="26"/>
    </row>
    <row r="975" spans="13:13" ht="14.25" customHeight="1" x14ac:dyDescent="0.3">
      <c r="M975" s="26"/>
    </row>
    <row r="976" spans="13:13" ht="14.25" customHeight="1" x14ac:dyDescent="0.3">
      <c r="M976" s="26"/>
    </row>
    <row r="977" spans="13:13" ht="14.25" customHeight="1" x14ac:dyDescent="0.3">
      <c r="M977" s="26"/>
    </row>
    <row r="978" spans="13:13" ht="14.25" customHeight="1" x14ac:dyDescent="0.3">
      <c r="M978" s="26"/>
    </row>
    <row r="979" spans="13:13" ht="14.25" customHeight="1" x14ac:dyDescent="0.3">
      <c r="M979" s="26"/>
    </row>
    <row r="980" spans="13:13" ht="14.25" customHeight="1" x14ac:dyDescent="0.3">
      <c r="M980" s="26"/>
    </row>
    <row r="981" spans="13:13" ht="14.25" customHeight="1" x14ac:dyDescent="0.3">
      <c r="M981" s="26"/>
    </row>
    <row r="982" spans="13:13" ht="14.25" customHeight="1" x14ac:dyDescent="0.3">
      <c r="M982" s="26"/>
    </row>
    <row r="983" spans="13:13" ht="14.25" customHeight="1" x14ac:dyDescent="0.3">
      <c r="M983" s="26"/>
    </row>
    <row r="984" spans="13:13" ht="14.25" customHeight="1" x14ac:dyDescent="0.3">
      <c r="M984" s="26"/>
    </row>
    <row r="985" spans="13:13" ht="14.25" customHeight="1" x14ac:dyDescent="0.3">
      <c r="M985" s="26"/>
    </row>
    <row r="986" spans="13:13" ht="14.25" customHeight="1" x14ac:dyDescent="0.3">
      <c r="M986" s="26"/>
    </row>
    <row r="987" spans="13:13" ht="14.25" customHeight="1" x14ac:dyDescent="0.3">
      <c r="M987" s="26"/>
    </row>
    <row r="988" spans="13:13" ht="14.25" customHeight="1" x14ac:dyDescent="0.3">
      <c r="M988" s="26"/>
    </row>
    <row r="989" spans="13:13" ht="14.25" customHeight="1" x14ac:dyDescent="0.3">
      <c r="M989" s="26"/>
    </row>
    <row r="990" spans="13:13" ht="14.25" customHeight="1" x14ac:dyDescent="0.3">
      <c r="M990" s="26"/>
    </row>
    <row r="991" spans="13:13" ht="14.25" customHeight="1" x14ac:dyDescent="0.3">
      <c r="M991" s="26"/>
    </row>
    <row r="992" spans="13:13" ht="14.25" customHeight="1" x14ac:dyDescent="0.3">
      <c r="M992" s="26"/>
    </row>
    <row r="993" spans="13:13" ht="14.25" customHeight="1" x14ac:dyDescent="0.3">
      <c r="M993" s="26"/>
    </row>
    <row r="994" spans="13:13" ht="14.25" customHeight="1" x14ac:dyDescent="0.3">
      <c r="M994" s="26"/>
    </row>
    <row r="995" spans="13:13" ht="14.25" customHeight="1" x14ac:dyDescent="0.3">
      <c r="M995" s="26"/>
    </row>
    <row r="996" spans="13:13" ht="14.25" customHeight="1" x14ac:dyDescent="0.3">
      <c r="M996" s="26"/>
    </row>
    <row r="997" spans="13:13" ht="14.25" customHeight="1" x14ac:dyDescent="0.3">
      <c r="M997" s="26"/>
    </row>
    <row r="998" spans="13:13" ht="14.25" customHeight="1" x14ac:dyDescent="0.3">
      <c r="M998" s="26"/>
    </row>
    <row r="999" spans="13:13" ht="14.25" customHeight="1" x14ac:dyDescent="0.3">
      <c r="M999" s="26"/>
    </row>
    <row r="1000" spans="13:13" ht="14.25" customHeight="1" x14ac:dyDescent="0.3">
      <c r="M1000" s="26"/>
    </row>
  </sheetData>
  <mergeCells count="3">
    <mergeCell ref="B1:H1"/>
    <mergeCell ref="J1:O1"/>
    <mergeCell ref="Q1:V1"/>
  </mergeCells>
  <conditionalFormatting sqref="G3:G54 G60:G100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44 N49:N100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23">
    <cfRule type="cellIs" dxfId="2" priority="3" operator="between">
      <formula>-0.1</formula>
      <formula>0.1</formula>
    </cfRule>
  </conditionalFormatting>
  <conditionalFormatting sqref="S3:V3">
    <cfRule type="cellIs" dxfId="1" priority="4" operator="between">
      <formula>-0.1</formula>
      <formula>0.1</formula>
    </cfRule>
  </conditionalFormatting>
  <conditionalFormatting sqref="U23">
    <cfRule type="cellIs" dxfId="0" priority="5" operator="between">
      <formula>-0.1</formula>
      <formula>0.1</formula>
    </cfRule>
  </conditionalFormatting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BDD6EE"/>
  </sheetPr>
  <dimension ref="A1:AA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6.6640625" customWidth="1"/>
    <col min="3" max="8" width="8.6640625" customWidth="1"/>
    <col min="9" max="9" width="4.88671875" customWidth="1"/>
    <col min="10" max="10" width="6.33203125" customWidth="1"/>
    <col min="11" max="15" width="8.6640625" customWidth="1"/>
    <col min="16" max="16" width="5.109375" customWidth="1"/>
    <col min="17" max="27" width="8.6640625" customWidth="1"/>
  </cols>
  <sheetData>
    <row r="1" spans="1:27" ht="14.25" customHeight="1" x14ac:dyDescent="0.3">
      <c r="A1" s="2" t="s">
        <v>28</v>
      </c>
      <c r="B1" s="52" t="s">
        <v>20</v>
      </c>
      <c r="C1" s="53"/>
      <c r="D1" s="53"/>
      <c r="E1" s="53"/>
      <c r="F1" s="53"/>
      <c r="G1" s="53"/>
      <c r="H1" s="53"/>
      <c r="J1" s="52" t="s">
        <v>21</v>
      </c>
      <c r="K1" s="53"/>
      <c r="L1" s="53"/>
      <c r="M1" s="53"/>
      <c r="N1" s="53"/>
      <c r="O1" s="53"/>
      <c r="Q1" s="52" t="s">
        <v>22</v>
      </c>
      <c r="R1" s="53"/>
      <c r="S1" s="53"/>
      <c r="T1" s="53"/>
      <c r="U1" s="53"/>
      <c r="V1" s="53"/>
    </row>
    <row r="2" spans="1:27" ht="14.25" customHeight="1" x14ac:dyDescent="0.3">
      <c r="B2" s="2" t="s">
        <v>23</v>
      </c>
      <c r="C2" s="2" t="s">
        <v>24</v>
      </c>
      <c r="D2" s="2" t="s">
        <v>11</v>
      </c>
      <c r="E2" s="2" t="s">
        <v>12</v>
      </c>
      <c r="F2" s="2" t="s">
        <v>13</v>
      </c>
      <c r="G2" s="2" t="s">
        <v>25</v>
      </c>
      <c r="H2" s="2" t="s">
        <v>26</v>
      </c>
      <c r="J2" s="2" t="s">
        <v>23</v>
      </c>
      <c r="K2" s="2" t="s">
        <v>24</v>
      </c>
      <c r="L2" s="2" t="s">
        <v>11</v>
      </c>
      <c r="M2" s="2" t="s">
        <v>12</v>
      </c>
      <c r="N2" s="2" t="s">
        <v>25</v>
      </c>
      <c r="O2" s="2" t="s">
        <v>26</v>
      </c>
      <c r="Q2" s="2" t="s">
        <v>23</v>
      </c>
      <c r="R2" s="2" t="s">
        <v>24</v>
      </c>
      <c r="S2" s="2" t="s">
        <v>6</v>
      </c>
      <c r="T2" s="2" t="s">
        <v>16</v>
      </c>
      <c r="U2" s="2" t="s">
        <v>17</v>
      </c>
      <c r="V2" s="2" t="s">
        <v>18</v>
      </c>
    </row>
    <row r="3" spans="1:27" ht="14.25" customHeight="1" x14ac:dyDescent="0.3">
      <c r="B3" s="2">
        <v>1</v>
      </c>
      <c r="C3" s="5">
        <v>5.0000000000000001E-3</v>
      </c>
      <c r="D3" s="2">
        <v>30.6773889466353</v>
      </c>
      <c r="E3" s="2">
        <v>1.24261323400028</v>
      </c>
      <c r="F3" s="2">
        <v>4.4880000000000004</v>
      </c>
      <c r="G3" s="2">
        <v>88.2215822150566</v>
      </c>
      <c r="H3" s="5" t="s">
        <v>6</v>
      </c>
      <c r="J3" s="2">
        <v>1</v>
      </c>
      <c r="K3" s="2">
        <v>5.0000000000000001E-3</v>
      </c>
      <c r="L3" s="2">
        <v>31.142120334640602</v>
      </c>
      <c r="M3" s="15">
        <v>5.7439545388314199</v>
      </c>
      <c r="N3" s="2">
        <v>69.499190167007896</v>
      </c>
      <c r="O3" s="5" t="s">
        <v>6</v>
      </c>
      <c r="Q3" s="2">
        <v>1</v>
      </c>
      <c r="R3" s="2">
        <v>2.5000000000000001E-3</v>
      </c>
      <c r="S3" s="16">
        <v>9.0221837392057899E-3</v>
      </c>
      <c r="T3" s="17">
        <v>-8.2229776932649708E-3</v>
      </c>
      <c r="U3" s="15">
        <v>1.50844940906479E-5</v>
      </c>
      <c r="V3" s="15">
        <v>6.9861311695095706E-5</v>
      </c>
      <c r="X3" s="2">
        <f t="shared" ref="X3:AA3" si="0">S4-S3</f>
        <v>1.9979332059744011E-2</v>
      </c>
      <c r="Y3" s="2">
        <f t="shared" si="0"/>
        <v>-2.8927696719165293E-3</v>
      </c>
      <c r="Z3" s="18">
        <f t="shared" si="0"/>
        <v>-3.6323953611981478E-3</v>
      </c>
      <c r="AA3" s="18">
        <f t="shared" si="0"/>
        <v>-1.7054643342362358E-3</v>
      </c>
    </row>
    <row r="4" spans="1:27" ht="14.25" customHeight="1" x14ac:dyDescent="0.3">
      <c r="B4" s="2">
        <v>2</v>
      </c>
      <c r="C4" s="2">
        <v>5.0000000000000001E-3</v>
      </c>
      <c r="D4" s="2">
        <v>-4.8337206260082297</v>
      </c>
      <c r="E4" s="2">
        <v>0.32023905370976002</v>
      </c>
      <c r="F4" s="2">
        <v>3.6949999999999998</v>
      </c>
      <c r="G4" s="2">
        <v>48.205494486839399</v>
      </c>
      <c r="H4" s="2" t="s">
        <v>16</v>
      </c>
      <c r="J4" s="2">
        <v>2</v>
      </c>
      <c r="K4" s="2">
        <v>5.0000000000000001E-3</v>
      </c>
      <c r="L4" s="2">
        <v>-4.7981685955874198</v>
      </c>
      <c r="M4" s="2">
        <v>2.49912418489953</v>
      </c>
      <c r="N4" s="2">
        <v>38.833925727001201</v>
      </c>
      <c r="O4" s="2" t="s">
        <v>16</v>
      </c>
      <c r="Q4" s="2">
        <v>2</v>
      </c>
      <c r="R4" s="2">
        <v>5.0000000000000001E-3</v>
      </c>
      <c r="S4" s="2">
        <v>2.9001515798949801E-2</v>
      </c>
      <c r="T4" s="2">
        <v>-1.11157473651815E-2</v>
      </c>
      <c r="U4" s="15">
        <v>-3.6173108671074998E-3</v>
      </c>
      <c r="V4" s="15">
        <v>-1.63560302254114E-3</v>
      </c>
      <c r="X4" s="2">
        <f t="shared" ref="X4:AA4" si="1">S5-S4</f>
        <v>2.00860985300002E-2</v>
      </c>
      <c r="Y4" s="2">
        <f t="shared" si="1"/>
        <v>-2.9082281869960997E-3</v>
      </c>
      <c r="Z4" s="18">
        <f t="shared" si="1"/>
        <v>-3.6518063220114501E-3</v>
      </c>
      <c r="AA4" s="18">
        <f t="shared" si="1"/>
        <v>-1.71457807270185E-3</v>
      </c>
    </row>
    <row r="5" spans="1:27" ht="14.25" customHeight="1" x14ac:dyDescent="0.3">
      <c r="B5" s="2">
        <v>3</v>
      </c>
      <c r="C5" s="2">
        <v>5.0000000000000001E-3</v>
      </c>
      <c r="D5" s="2">
        <v>-8.3976740340703397</v>
      </c>
      <c r="E5" s="2">
        <v>0.127052448175903</v>
      </c>
      <c r="F5" s="2">
        <v>3.6589999999999998</v>
      </c>
      <c r="G5" s="2">
        <v>37.9315840329579</v>
      </c>
      <c r="H5" s="2" t="s">
        <v>17</v>
      </c>
      <c r="J5" s="2">
        <v>3</v>
      </c>
      <c r="K5" s="2">
        <v>5.0000000000000001E-3</v>
      </c>
      <c r="L5" s="2">
        <v>-8.4966058856459306</v>
      </c>
      <c r="M5" s="2">
        <v>2.0004939035429601</v>
      </c>
      <c r="N5" s="2">
        <v>30.251443502946699</v>
      </c>
      <c r="O5" s="2" t="s">
        <v>17</v>
      </c>
      <c r="Q5" s="2">
        <v>3</v>
      </c>
      <c r="R5" s="2">
        <v>7.4999999999999997E-3</v>
      </c>
      <c r="S5" s="2">
        <v>4.9087614328950001E-2</v>
      </c>
      <c r="T5" s="2">
        <v>-1.40239755521776E-2</v>
      </c>
      <c r="U5" s="15">
        <v>-7.26911718911895E-3</v>
      </c>
      <c r="V5" s="15">
        <v>-3.35018109524299E-3</v>
      </c>
      <c r="X5" s="2">
        <f t="shared" ref="X5:AA5" si="2">S6-S5</f>
        <v>2.0193702408009405E-2</v>
      </c>
      <c r="Y5" s="2">
        <f t="shared" si="2"/>
        <v>-2.9238079488465019E-3</v>
      </c>
      <c r="Z5" s="18">
        <f t="shared" si="2"/>
        <v>-3.6713695299438499E-3</v>
      </c>
      <c r="AA5" s="18">
        <f t="shared" si="2"/>
        <v>-1.7237632935221199E-3</v>
      </c>
    </row>
    <row r="6" spans="1:27" ht="14.25" customHeight="1" x14ac:dyDescent="0.3">
      <c r="B6" s="2">
        <v>4</v>
      </c>
      <c r="C6" s="2">
        <v>5.0000000000000001E-3</v>
      </c>
      <c r="D6" s="2">
        <v>-2.4265239517636399</v>
      </c>
      <c r="E6" s="2">
        <v>0.732012795677354</v>
      </c>
      <c r="F6" s="2">
        <v>1.8009999999999999</v>
      </c>
      <c r="G6" s="2">
        <v>46.674295722690601</v>
      </c>
      <c r="H6" s="2" t="s">
        <v>18</v>
      </c>
      <c r="J6" s="2">
        <v>4</v>
      </c>
      <c r="K6" s="2">
        <v>5.0000000000000001E-3</v>
      </c>
      <c r="L6" s="2">
        <v>-2.41680205967551</v>
      </c>
      <c r="M6" s="2">
        <v>1.9080871419965399</v>
      </c>
      <c r="N6" s="2">
        <v>38.051811268713799</v>
      </c>
      <c r="O6" s="2" t="s">
        <v>18</v>
      </c>
      <c r="Q6" s="2">
        <v>4</v>
      </c>
      <c r="R6" s="2">
        <v>0.01</v>
      </c>
      <c r="S6" s="2">
        <v>6.9281316736959406E-2</v>
      </c>
      <c r="T6" s="2">
        <v>-1.6947783501024102E-2</v>
      </c>
      <c r="U6" s="15">
        <v>-1.09404867190628E-2</v>
      </c>
      <c r="V6" s="15">
        <v>-5.0739443887651099E-3</v>
      </c>
      <c r="X6" s="2">
        <f t="shared" ref="X6:AA6" si="3">S7-S6</f>
        <v>2.03021522685497E-2</v>
      </c>
      <c r="Y6" s="2">
        <f t="shared" si="3"/>
        <v>-2.9395101988853971E-3</v>
      </c>
      <c r="Z6" s="18">
        <f t="shared" si="3"/>
        <v>-3.6910865439462003E-3</v>
      </c>
      <c r="AA6" s="18">
        <f t="shared" si="3"/>
        <v>-1.7330207285561E-3</v>
      </c>
    </row>
    <row r="7" spans="1:27" ht="14.25" customHeight="1" x14ac:dyDescent="0.3">
      <c r="B7" s="2">
        <v>5</v>
      </c>
      <c r="C7" s="11">
        <v>5.0000000000000001E-3</v>
      </c>
      <c r="D7" s="2">
        <v>0</v>
      </c>
      <c r="E7" s="2">
        <v>0</v>
      </c>
      <c r="F7" s="2">
        <v>0</v>
      </c>
      <c r="G7" s="2">
        <v>0</v>
      </c>
      <c r="H7" s="11" t="s">
        <v>42</v>
      </c>
      <c r="J7" s="2">
        <v>5</v>
      </c>
      <c r="K7" s="2">
        <v>0.01</v>
      </c>
      <c r="L7" s="2">
        <v>31.416726565991802</v>
      </c>
      <c r="M7" s="15">
        <v>6.74947356687849</v>
      </c>
      <c r="N7" s="2">
        <v>70.170430888669202</v>
      </c>
      <c r="O7" s="5" t="s">
        <v>6</v>
      </c>
      <c r="Q7" s="2">
        <v>5</v>
      </c>
      <c r="R7" s="2">
        <v>1.2500000000000001E-2</v>
      </c>
      <c r="S7" s="2">
        <v>8.9583469005509106E-2</v>
      </c>
      <c r="T7" s="2">
        <v>-1.9887293699909499E-2</v>
      </c>
      <c r="U7" s="15">
        <v>-1.4631573263009E-2</v>
      </c>
      <c r="V7" s="15">
        <v>-6.8069651173212099E-3</v>
      </c>
      <c r="X7" s="2">
        <f t="shared" ref="X7:AA7" si="4">S8-S7</f>
        <v>2.0411456793958893E-2</v>
      </c>
      <c r="Y7" s="2">
        <f t="shared" si="4"/>
        <v>-2.9553361942050022E-3</v>
      </c>
      <c r="Z7" s="18">
        <f t="shared" si="4"/>
        <v>-3.7109589425808002E-3</v>
      </c>
      <c r="AA7" s="18">
        <f t="shared" si="4"/>
        <v>-1.7423511190586705E-3</v>
      </c>
    </row>
    <row r="8" spans="1:27" ht="14.25" customHeight="1" x14ac:dyDescent="0.3">
      <c r="B8" s="2">
        <v>6</v>
      </c>
      <c r="C8" s="5">
        <v>0.01</v>
      </c>
      <c r="D8" s="2">
        <v>30.889403656032002</v>
      </c>
      <c r="E8" s="2">
        <v>1.92083798547665</v>
      </c>
      <c r="F8" s="2">
        <v>4.6109999999999998</v>
      </c>
      <c r="G8" s="2">
        <v>93.071405038001501</v>
      </c>
      <c r="H8" s="5" t="s">
        <v>6</v>
      </c>
      <c r="J8" s="2">
        <v>6</v>
      </c>
      <c r="K8" s="2">
        <v>0.01</v>
      </c>
      <c r="L8" s="2">
        <v>-4.83473281371369</v>
      </c>
      <c r="M8" s="2">
        <v>2.99531949997797</v>
      </c>
      <c r="N8" s="2">
        <v>40.234548116133404</v>
      </c>
      <c r="O8" s="2" t="s">
        <v>16</v>
      </c>
      <c r="Q8" s="2">
        <v>6</v>
      </c>
      <c r="R8" s="2">
        <v>1.4999999999999999E-2</v>
      </c>
      <c r="S8" s="2">
        <v>0.109994925799468</v>
      </c>
      <c r="T8" s="2">
        <v>-2.2842629894114501E-2</v>
      </c>
      <c r="U8" s="15">
        <v>-1.83425322055898E-2</v>
      </c>
      <c r="V8" s="15">
        <v>-8.5493162363798805E-3</v>
      </c>
      <c r="X8" s="2">
        <f t="shared" ref="X8:AA8" si="5">S9-S8</f>
        <v>2.0521624775506994E-2</v>
      </c>
      <c r="Y8" s="2">
        <f t="shared" si="5"/>
        <v>-2.9712872077424998E-3</v>
      </c>
      <c r="Z8" s="18">
        <f t="shared" si="5"/>
        <v>-3.7309883241627984E-3</v>
      </c>
      <c r="AA8" s="18">
        <f t="shared" si="5"/>
        <v>-1.7517552153964201E-3</v>
      </c>
    </row>
    <row r="9" spans="1:27" ht="14.25" customHeight="1" x14ac:dyDescent="0.3">
      <c r="B9" s="2">
        <v>7</v>
      </c>
      <c r="C9" s="2">
        <v>0.01</v>
      </c>
      <c r="D9" s="2">
        <v>-4.8278101126670103</v>
      </c>
      <c r="E9" s="2">
        <v>0.12917933632652701</v>
      </c>
      <c r="F9" s="2">
        <v>4.9400000000000004</v>
      </c>
      <c r="G9" s="2">
        <v>50.946657037653097</v>
      </c>
      <c r="H9" s="2" t="s">
        <v>16</v>
      </c>
      <c r="J9" s="2">
        <v>7</v>
      </c>
      <c r="K9" s="2">
        <v>0.01</v>
      </c>
      <c r="L9" s="2">
        <v>-8.5629351845500992</v>
      </c>
      <c r="M9" s="2">
        <v>2.50004826698438</v>
      </c>
      <c r="N9" s="2">
        <v>30.1468560336126</v>
      </c>
      <c r="O9" s="2" t="s">
        <v>17</v>
      </c>
      <c r="Q9" s="2">
        <v>7</v>
      </c>
      <c r="R9" s="2">
        <v>1.7500000000000002E-2</v>
      </c>
      <c r="S9" s="2">
        <v>0.13051655057497499</v>
      </c>
      <c r="T9" s="2">
        <v>-2.5813917101857001E-2</v>
      </c>
      <c r="U9" s="15">
        <v>-2.2073520529752599E-2</v>
      </c>
      <c r="V9" s="15">
        <v>-1.0301071451776301E-2</v>
      </c>
      <c r="X9" s="2">
        <f t="shared" ref="X9:AA9" si="6">S10-S9</f>
        <v>2.0632665115213E-2</v>
      </c>
      <c r="Y9" s="2">
        <f t="shared" si="6"/>
        <v>-2.9873645283515979E-3</v>
      </c>
      <c r="Z9" s="18">
        <f t="shared" si="6"/>
        <v>-3.7511763070645007E-3</v>
      </c>
      <c r="AA9" s="18">
        <f t="shared" si="6"/>
        <v>-1.7612337774319999E-3</v>
      </c>
    </row>
    <row r="10" spans="1:27" ht="14.25" customHeight="1" x14ac:dyDescent="0.3">
      <c r="B10" s="2">
        <v>8</v>
      </c>
      <c r="C10" s="2">
        <v>0.01</v>
      </c>
      <c r="D10" s="2">
        <v>-7.9960243489346698</v>
      </c>
      <c r="E10" s="2">
        <v>0.119052834437198</v>
      </c>
      <c r="F10" s="2">
        <v>4.9470000000000001</v>
      </c>
      <c r="G10" s="2">
        <v>32.519732703871099</v>
      </c>
      <c r="H10" s="2" t="s">
        <v>17</v>
      </c>
      <c r="J10" s="2">
        <v>8</v>
      </c>
      <c r="K10" s="2">
        <v>0.01</v>
      </c>
      <c r="L10" s="2">
        <v>-2.43600395528409</v>
      </c>
      <c r="M10" s="2">
        <v>2.3249659550729902</v>
      </c>
      <c r="N10" s="2">
        <v>40.2196987344063</v>
      </c>
      <c r="O10" s="2" t="s">
        <v>18</v>
      </c>
      <c r="Q10" s="2">
        <v>8</v>
      </c>
      <c r="R10" s="2">
        <v>0.02</v>
      </c>
      <c r="S10" s="2">
        <v>0.15114921569018799</v>
      </c>
      <c r="T10" s="2">
        <v>-2.8801281630208599E-2</v>
      </c>
      <c r="U10" s="15">
        <v>-2.5824696836817099E-2</v>
      </c>
      <c r="V10" s="15">
        <v>-1.2062305229208301E-2</v>
      </c>
      <c r="X10" s="2">
        <f t="shared" ref="X10:AA10" si="7">S11-S10</f>
        <v>2.0744586827130013E-2</v>
      </c>
      <c r="Y10" s="2">
        <f t="shared" si="7"/>
        <v>-3.003569461171203E-3</v>
      </c>
      <c r="Z10" s="18">
        <f t="shared" si="7"/>
        <v>-3.7715245302447006E-3</v>
      </c>
      <c r="AA10" s="18">
        <f t="shared" si="7"/>
        <v>-1.7707875747418993E-3</v>
      </c>
    </row>
    <row r="11" spans="1:27" ht="14.25" customHeight="1" x14ac:dyDescent="0.3">
      <c r="B11" s="2">
        <v>9</v>
      </c>
      <c r="C11" s="2">
        <v>0.01</v>
      </c>
      <c r="D11" s="2">
        <v>-2.4508556414122298</v>
      </c>
      <c r="E11" s="2">
        <v>0.70504677915478997</v>
      </c>
      <c r="F11" s="2">
        <v>2.6549999999999998</v>
      </c>
      <c r="G11" s="2">
        <v>48.453940379879697</v>
      </c>
      <c r="H11" s="2" t="s">
        <v>18</v>
      </c>
      <c r="J11" s="2">
        <v>9</v>
      </c>
      <c r="K11" s="2">
        <v>1.4999999999999999E-2</v>
      </c>
      <c r="L11" s="2">
        <v>31.930104839497499</v>
      </c>
      <c r="M11" s="15">
        <v>9.3802620004023698</v>
      </c>
      <c r="N11" s="2">
        <v>63.920788678090098</v>
      </c>
      <c r="O11" s="5" t="s">
        <v>6</v>
      </c>
      <c r="Q11" s="2">
        <v>9</v>
      </c>
      <c r="R11" s="2">
        <v>2.2499999999999999E-2</v>
      </c>
      <c r="S11" s="2">
        <v>0.17189380251731801</v>
      </c>
      <c r="T11" s="2">
        <v>-3.1804851091379802E-2</v>
      </c>
      <c r="U11" s="15">
        <v>-2.95962213670618E-2</v>
      </c>
      <c r="V11" s="15">
        <v>-1.38330928039502E-2</v>
      </c>
      <c r="X11" s="2">
        <f t="shared" ref="X11:AA11" si="8">S12-S11</f>
        <v>2.085739903943698E-2</v>
      </c>
      <c r="Y11" s="2">
        <f t="shared" si="8"/>
        <v>-3.0199033278534987E-3</v>
      </c>
      <c r="Z11" s="18">
        <f t="shared" si="8"/>
        <v>-3.7920346531653028E-3</v>
      </c>
      <c r="AA11" s="18">
        <f t="shared" si="8"/>
        <v>-1.7804173863484006E-3</v>
      </c>
    </row>
    <row r="12" spans="1:27" ht="14.25" customHeight="1" x14ac:dyDescent="0.3">
      <c r="B12" s="2">
        <v>10</v>
      </c>
      <c r="C12" s="11">
        <v>0.01</v>
      </c>
      <c r="D12" s="2">
        <v>0</v>
      </c>
      <c r="E12" s="2">
        <v>0</v>
      </c>
      <c r="F12" s="2">
        <v>0</v>
      </c>
      <c r="G12" s="2">
        <v>0</v>
      </c>
      <c r="H12" s="11" t="s">
        <v>42</v>
      </c>
      <c r="J12" s="2">
        <v>10</v>
      </c>
      <c r="K12" s="2">
        <v>1.4999999999999999E-2</v>
      </c>
      <c r="L12" s="2">
        <v>-4.8469511912438401</v>
      </c>
      <c r="M12" s="2">
        <v>4.6252098762503904</v>
      </c>
      <c r="N12" s="2">
        <v>36.774272952902301</v>
      </c>
      <c r="O12" s="2" t="s">
        <v>16</v>
      </c>
      <c r="Q12" s="2">
        <v>10</v>
      </c>
      <c r="R12" s="2">
        <v>2.5000000000000001E-2</v>
      </c>
      <c r="S12" s="2">
        <v>0.19275120155675499</v>
      </c>
      <c r="T12" s="2">
        <v>-3.48247544192333E-2</v>
      </c>
      <c r="U12" s="15">
        <v>-3.3388256020227103E-2</v>
      </c>
      <c r="V12" s="15">
        <v>-1.56135101902986E-2</v>
      </c>
      <c r="X12" s="2">
        <f t="shared" ref="X12:AA12" si="9">S13-S12</f>
        <v>2.0971110995883002E-2</v>
      </c>
      <c r="Y12" s="2">
        <f t="shared" si="9"/>
        <v>-3.0363674668051968E-3</v>
      </c>
      <c r="Z12" s="18">
        <f t="shared" si="9"/>
        <v>-3.8127083564631972E-3</v>
      </c>
      <c r="AA12" s="18">
        <f t="shared" si="9"/>
        <v>-1.7901240014385998E-3</v>
      </c>
    </row>
    <row r="13" spans="1:27" ht="14.25" customHeight="1" x14ac:dyDescent="0.3">
      <c r="B13" s="2">
        <v>11</v>
      </c>
      <c r="C13" s="5">
        <v>1.4999999999999999E-2</v>
      </c>
      <c r="D13" s="2">
        <v>31.085102699516099</v>
      </c>
      <c r="E13" s="2">
        <v>2.1967348939699698</v>
      </c>
      <c r="F13" s="2">
        <v>6.6280000000000001</v>
      </c>
      <c r="G13" s="2">
        <v>92.602062910158395</v>
      </c>
      <c r="H13" s="5" t="s">
        <v>6</v>
      </c>
      <c r="J13" s="2">
        <v>11</v>
      </c>
      <c r="K13" s="2">
        <v>1.4999999999999999E-2</v>
      </c>
      <c r="L13" s="2">
        <v>-8.5860763558610298</v>
      </c>
      <c r="M13" s="2">
        <v>3.9680391205669401</v>
      </c>
      <c r="N13" s="2">
        <v>25.6176501189824</v>
      </c>
      <c r="O13" s="2" t="s">
        <v>17</v>
      </c>
      <c r="Q13" s="2">
        <v>11</v>
      </c>
      <c r="R13" s="2">
        <v>2.75E-2</v>
      </c>
      <c r="S13" s="2">
        <v>0.21372231255263799</v>
      </c>
      <c r="T13" s="2">
        <v>-3.7861121886038497E-2</v>
      </c>
      <c r="U13" s="15">
        <v>-3.72009643766903E-2</v>
      </c>
      <c r="V13" s="15">
        <v>-1.74036341917372E-2</v>
      </c>
      <c r="X13" s="2">
        <f t="shared" ref="X13:AA13" si="10">S14-S13</f>
        <v>2.1085732057378015E-2</v>
      </c>
      <c r="Y13" s="2">
        <f t="shared" si="10"/>
        <v>-3.0529632333156018E-3</v>
      </c>
      <c r="Z13" s="18">
        <f t="shared" si="10"/>
        <v>-3.8335473420302024E-3</v>
      </c>
      <c r="AA13" s="18">
        <f t="shared" si="10"/>
        <v>-1.7999082190639989E-3</v>
      </c>
    </row>
    <row r="14" spans="1:27" ht="14.25" customHeight="1" x14ac:dyDescent="0.3">
      <c r="B14" s="2">
        <v>12</v>
      </c>
      <c r="C14" s="2">
        <v>1.4999999999999999E-2</v>
      </c>
      <c r="D14" s="2">
        <v>-4.8991345529458901</v>
      </c>
      <c r="E14" s="2">
        <v>0.77770695214937602</v>
      </c>
      <c r="F14" s="2">
        <v>5.7370000000000001</v>
      </c>
      <c r="G14" s="2">
        <v>53.684232234418999</v>
      </c>
      <c r="H14" s="2" t="s">
        <v>16</v>
      </c>
      <c r="J14" s="2">
        <v>12</v>
      </c>
      <c r="K14" s="2">
        <v>1.4999999999999999E-2</v>
      </c>
      <c r="L14" s="2">
        <v>-2.4421238968294898</v>
      </c>
      <c r="M14" s="2">
        <v>3.6693230881805401</v>
      </c>
      <c r="N14" s="2">
        <v>35.716056938313798</v>
      </c>
      <c r="O14" s="2" t="s">
        <v>18</v>
      </c>
      <c r="Q14" s="2">
        <v>12</v>
      </c>
      <c r="R14" s="2">
        <v>0.03</v>
      </c>
      <c r="S14" s="2">
        <v>0.234808044610016</v>
      </c>
      <c r="T14" s="2">
        <v>-4.0914085119354099E-2</v>
      </c>
      <c r="U14" s="15">
        <v>-4.1034511718720502E-2</v>
      </c>
      <c r="V14" s="15">
        <v>-1.9203542410801199E-2</v>
      </c>
      <c r="X14" s="2">
        <f t="shared" ref="X14:AA14" si="11">S15-S14</f>
        <v>2.1201271704079011E-2</v>
      </c>
      <c r="Y14" s="2">
        <f t="shared" si="11"/>
        <v>-3.0696920000820999E-3</v>
      </c>
      <c r="Z14" s="18">
        <f t="shared" si="11"/>
        <v>-3.8545533333790988E-3</v>
      </c>
      <c r="AA14" s="18">
        <f t="shared" si="11"/>
        <v>-1.8097708483905024E-3</v>
      </c>
    </row>
    <row r="15" spans="1:27" ht="14.25" customHeight="1" x14ac:dyDescent="0.3">
      <c r="B15" s="2">
        <v>13</v>
      </c>
      <c r="C15" s="2">
        <v>1.4999999999999999E-2</v>
      </c>
      <c r="D15" s="2">
        <v>-8.7761231636887995</v>
      </c>
      <c r="E15" s="2">
        <v>3.2011686468788797E-2</v>
      </c>
      <c r="F15" s="2">
        <v>6.9530000000000003</v>
      </c>
      <c r="G15" s="2">
        <v>40.340503248425101</v>
      </c>
      <c r="H15" s="2" t="s">
        <v>17</v>
      </c>
      <c r="J15" s="2">
        <v>13</v>
      </c>
      <c r="K15" s="2">
        <v>0.02</v>
      </c>
      <c r="L15" s="2">
        <v>32.254846391978099</v>
      </c>
      <c r="M15" s="15">
        <v>10.4588512652014</v>
      </c>
      <c r="N15" s="2">
        <v>62.922882356642099</v>
      </c>
      <c r="O15" s="5" t="s">
        <v>6</v>
      </c>
      <c r="Q15" s="2">
        <v>13</v>
      </c>
      <c r="R15" s="2">
        <v>3.2500000000000001E-2</v>
      </c>
      <c r="S15" s="2">
        <v>0.25600931631409501</v>
      </c>
      <c r="T15" s="2">
        <v>-4.3983777119436199E-2</v>
      </c>
      <c r="U15" s="15">
        <v>-4.4889065052099601E-2</v>
      </c>
      <c r="V15" s="15">
        <v>-2.1013313259191702E-2</v>
      </c>
      <c r="X15" s="2">
        <f t="shared" ref="X15:AA15" si="12">S16-S15</f>
        <v>2.1317739536939995E-2</v>
      </c>
      <c r="Y15" s="2">
        <f t="shared" si="12"/>
        <v>-3.0865551571822025E-3</v>
      </c>
      <c r="Z15" s="18">
        <f t="shared" si="12"/>
        <v>-3.8757280760901014E-3</v>
      </c>
      <c r="AA15" s="18">
        <f t="shared" si="12"/>
        <v>-1.8197127090334997E-3</v>
      </c>
    </row>
    <row r="16" spans="1:27" ht="14.25" customHeight="1" x14ac:dyDescent="0.3">
      <c r="B16" s="2">
        <v>14</v>
      </c>
      <c r="C16" s="2">
        <v>1.4999999999999999E-2</v>
      </c>
      <c r="D16" s="2">
        <v>-2.46245083939001</v>
      </c>
      <c r="E16" s="2">
        <v>1.12823734688169</v>
      </c>
      <c r="F16" s="2">
        <v>3.859</v>
      </c>
      <c r="G16" s="2">
        <v>48.714265819083998</v>
      </c>
      <c r="H16" s="2" t="s">
        <v>18</v>
      </c>
      <c r="J16" s="2">
        <v>14</v>
      </c>
      <c r="K16" s="2">
        <v>0.02</v>
      </c>
      <c r="L16" s="2">
        <v>-4.8773470308456401</v>
      </c>
      <c r="M16" s="2">
        <v>5.26367309472184</v>
      </c>
      <c r="N16" s="2">
        <v>36.773376907504598</v>
      </c>
      <c r="O16" s="2" t="s">
        <v>16</v>
      </c>
      <c r="Q16" s="2">
        <v>14</v>
      </c>
      <c r="R16" s="2">
        <v>3.5000000000000003E-2</v>
      </c>
      <c r="S16" s="2">
        <v>0.27732705585103501</v>
      </c>
      <c r="T16" s="2">
        <v>-4.7070332276618401E-2</v>
      </c>
      <c r="U16" s="15">
        <v>-4.8764793128189703E-2</v>
      </c>
      <c r="V16" s="15">
        <v>-2.2833025968225201E-2</v>
      </c>
      <c r="X16" s="2">
        <f t="shared" ref="X16:AA16" si="13">S17-S16</f>
        <v>2.1435145279437018E-2</v>
      </c>
      <c r="Y16" s="2">
        <f t="shared" si="13"/>
        <v>-3.1035541123855953E-3</v>
      </c>
      <c r="Z16" s="18">
        <f t="shared" si="13"/>
        <v>-3.8970733379730949E-3</v>
      </c>
      <c r="AA16" s="18">
        <f t="shared" si="13"/>
        <v>-1.8297346309736999E-3</v>
      </c>
    </row>
    <row r="17" spans="2:27" ht="14.25" customHeight="1" x14ac:dyDescent="0.3">
      <c r="B17" s="2">
        <v>15</v>
      </c>
      <c r="C17" s="11">
        <v>1.4999999999999999E-2</v>
      </c>
      <c r="D17" s="2">
        <v>0</v>
      </c>
      <c r="E17" s="2">
        <v>0</v>
      </c>
      <c r="F17" s="2">
        <v>0</v>
      </c>
      <c r="G17" s="2">
        <v>0</v>
      </c>
      <c r="H17" s="11" t="s">
        <v>42</v>
      </c>
      <c r="J17" s="2">
        <v>15</v>
      </c>
      <c r="K17" s="2">
        <v>0.02</v>
      </c>
      <c r="L17" s="2">
        <v>-8.6411022130873203</v>
      </c>
      <c r="M17" s="2">
        <v>4.5246149296762699</v>
      </c>
      <c r="N17" s="2">
        <v>25.6354530830287</v>
      </c>
      <c r="O17" s="2" t="s">
        <v>17</v>
      </c>
      <c r="Q17" s="2">
        <v>15</v>
      </c>
      <c r="R17" s="2">
        <v>3.7499999999999999E-2</v>
      </c>
      <c r="S17" s="2">
        <v>0.29876220113047203</v>
      </c>
      <c r="T17" s="2">
        <v>-5.0173886389003997E-2</v>
      </c>
      <c r="U17" s="15">
        <v>-5.2661866466162797E-2</v>
      </c>
      <c r="V17" s="15">
        <v>-2.4662760599198901E-2</v>
      </c>
      <c r="X17" s="2">
        <f t="shared" ref="X17:AA17" si="14">S18-S17</f>
        <v>2.1553498779725955E-2</v>
      </c>
      <c r="Y17" s="2">
        <f t="shared" si="14"/>
        <v>-3.1206902916523019E-3</v>
      </c>
      <c r="Z17" s="18">
        <f t="shared" si="14"/>
        <v>-3.9185909093931021E-3</v>
      </c>
      <c r="AA17" s="18">
        <f t="shared" si="14"/>
        <v>-1.8398374548917983E-3</v>
      </c>
    </row>
    <row r="18" spans="2:27" ht="14.25" customHeight="1" x14ac:dyDescent="0.3">
      <c r="B18" s="2">
        <v>16</v>
      </c>
      <c r="C18" s="5">
        <v>0.02</v>
      </c>
      <c r="D18" s="2">
        <v>31.2498480036537</v>
      </c>
      <c r="E18" s="2">
        <v>2.1984653141385802</v>
      </c>
      <c r="F18" s="2">
        <v>7.548</v>
      </c>
      <c r="G18" s="2">
        <v>92.252291588391998</v>
      </c>
      <c r="H18" s="5" t="s">
        <v>6</v>
      </c>
      <c r="J18" s="2">
        <v>16</v>
      </c>
      <c r="K18" s="2">
        <v>0.02</v>
      </c>
      <c r="L18" s="2">
        <v>-2.4571403839734098</v>
      </c>
      <c r="M18" s="2">
        <v>4.18512871971663</v>
      </c>
      <c r="N18" s="2">
        <v>35.657861484461399</v>
      </c>
      <c r="O18" s="2" t="s">
        <v>18</v>
      </c>
      <c r="Q18" s="2">
        <v>16</v>
      </c>
      <c r="R18" s="2">
        <v>0.04</v>
      </c>
      <c r="S18" s="2">
        <v>0.32031569991019798</v>
      </c>
      <c r="T18" s="2">
        <v>-5.3294576680656298E-2</v>
      </c>
      <c r="U18" s="15">
        <v>-5.65804573755559E-2</v>
      </c>
      <c r="V18" s="15">
        <v>-2.6502598054090699E-2</v>
      </c>
      <c r="X18" s="2">
        <f t="shared" ref="X18:AA18" si="15">S19-S18</f>
        <v>2.1672810012117016E-2</v>
      </c>
      <c r="Y18" s="2">
        <f t="shared" si="15"/>
        <v>-3.1379651391745048E-3</v>
      </c>
      <c r="Z18" s="18">
        <f t="shared" si="15"/>
        <v>-3.9402826038983998E-3</v>
      </c>
      <c r="AA18" s="18">
        <f t="shared" si="15"/>
        <v>-1.8500220321685003E-3</v>
      </c>
    </row>
    <row r="19" spans="2:27" ht="14.25" customHeight="1" x14ac:dyDescent="0.3">
      <c r="B19" s="2">
        <v>17</v>
      </c>
      <c r="C19" s="2">
        <v>0.02</v>
      </c>
      <c r="D19" s="2">
        <v>-4.8937808185533997</v>
      </c>
      <c r="E19" s="2">
        <v>0.132499326124906</v>
      </c>
      <c r="F19" s="2">
        <v>7.9329999999999998</v>
      </c>
      <c r="G19" s="2">
        <v>53.495530293313003</v>
      </c>
      <c r="H19" s="2" t="s">
        <v>16</v>
      </c>
      <c r="J19" s="2">
        <v>17</v>
      </c>
      <c r="K19" s="2">
        <v>2.5000000000000001E-2</v>
      </c>
      <c r="L19" s="2">
        <v>32.4906122134783</v>
      </c>
      <c r="M19" s="15">
        <v>10.9694449092936</v>
      </c>
      <c r="N19" s="2">
        <v>62.565932079536999</v>
      </c>
      <c r="O19" s="5" t="s">
        <v>6</v>
      </c>
      <c r="Q19" s="2">
        <v>17</v>
      </c>
      <c r="R19" s="2">
        <v>4.2500000000000003E-2</v>
      </c>
      <c r="S19" s="2">
        <v>0.341988509922315</v>
      </c>
      <c r="T19" s="2">
        <v>-5.6432541819830803E-2</v>
      </c>
      <c r="U19" s="15">
        <v>-6.0520739979454299E-2</v>
      </c>
      <c r="V19" s="15">
        <v>-2.83526200862592E-2</v>
      </c>
      <c r="X19" s="2">
        <f t="shared" ref="X19:AA19" si="16">S20-S19</f>
        <v>2.179308907932298E-2</v>
      </c>
      <c r="Y19" s="2">
        <f t="shared" si="16"/>
        <v>-3.1553801176471968E-3</v>
      </c>
      <c r="Z19" s="18">
        <f t="shared" si="16"/>
        <v>-3.962150258140798E-3</v>
      </c>
      <c r="AA19" s="18">
        <f t="shared" si="16"/>
        <v>-1.8602892252020005E-3</v>
      </c>
    </row>
    <row r="20" spans="2:27" ht="14.25" customHeight="1" x14ac:dyDescent="0.3">
      <c r="B20" s="2">
        <v>18</v>
      </c>
      <c r="C20" s="2">
        <v>0.02</v>
      </c>
      <c r="D20" s="2">
        <v>-8.6461108224326999</v>
      </c>
      <c r="E20" s="2">
        <v>0.12499147140964401</v>
      </c>
      <c r="F20" s="2">
        <v>7.9320000000000004</v>
      </c>
      <c r="G20" s="2">
        <v>37.917380976881397</v>
      </c>
      <c r="H20" s="2" t="s">
        <v>17</v>
      </c>
      <c r="J20" s="2">
        <v>18</v>
      </c>
      <c r="K20" s="2">
        <v>2.5000000000000001E-2</v>
      </c>
      <c r="L20" s="2">
        <v>-4.9130757466788699</v>
      </c>
      <c r="M20" s="2">
        <v>5.5265710996663104</v>
      </c>
      <c r="N20" s="2">
        <v>37.469652267934997</v>
      </c>
      <c r="O20" s="2" t="s">
        <v>16</v>
      </c>
      <c r="Q20" s="2">
        <v>18</v>
      </c>
      <c r="R20" s="2">
        <v>4.4999999999999998E-2</v>
      </c>
      <c r="S20" s="2">
        <v>0.36378159900163798</v>
      </c>
      <c r="T20" s="2">
        <v>-5.9587921937478E-2</v>
      </c>
      <c r="U20" s="15">
        <v>-6.4482890237595097E-2</v>
      </c>
      <c r="V20" s="15">
        <v>-3.02129093114612E-2</v>
      </c>
      <c r="X20" s="2">
        <f t="shared" ref="X20:AA20" si="17">S21-S20</f>
        <v>2.1914346214088998E-2</v>
      </c>
      <c r="Y20" s="2">
        <f t="shared" si="17"/>
        <v>-3.1729367086796995E-3</v>
      </c>
      <c r="Z20" s="18">
        <f t="shared" si="17"/>
        <v>-3.9841957325848082E-3</v>
      </c>
      <c r="AA20" s="18">
        <f t="shared" si="17"/>
        <v>-1.8706399075587021E-3</v>
      </c>
    </row>
    <row r="21" spans="2:27" ht="14.25" customHeight="1" x14ac:dyDescent="0.3">
      <c r="B21" s="2">
        <v>19</v>
      </c>
      <c r="C21" s="2">
        <v>0.02</v>
      </c>
      <c r="D21" s="2">
        <v>-2.4841467545787701</v>
      </c>
      <c r="E21" s="2">
        <v>0.62169233219379705</v>
      </c>
      <c r="F21" s="2">
        <v>5.5780000000000003</v>
      </c>
      <c r="G21" s="2">
        <v>50.180863977510597</v>
      </c>
      <c r="H21" s="2" t="s">
        <v>18</v>
      </c>
      <c r="J21" s="2">
        <v>19</v>
      </c>
      <c r="K21" s="2">
        <v>2.5000000000000001E-2</v>
      </c>
      <c r="L21" s="2">
        <v>-8.7002109105597203</v>
      </c>
      <c r="M21" s="2">
        <v>4.7459879307501103</v>
      </c>
      <c r="N21" s="2">
        <v>26.2593557438461</v>
      </c>
      <c r="O21" s="2" t="s">
        <v>17</v>
      </c>
      <c r="Q21" s="2">
        <v>19</v>
      </c>
      <c r="R21" s="2">
        <v>4.7500000000000001E-2</v>
      </c>
      <c r="S21" s="2">
        <v>0.38569594521572698</v>
      </c>
      <c r="T21" s="2">
        <v>-6.2760858646157699E-2</v>
      </c>
      <c r="U21" s="15">
        <v>-6.8467085970179906E-2</v>
      </c>
      <c r="V21" s="15">
        <v>-3.2083549219019902E-2</v>
      </c>
      <c r="X21" s="2">
        <f t="shared" ref="X21:AA21" si="18">S22-S21</f>
        <v>2.203659178143702E-2</v>
      </c>
      <c r="Y21" s="2">
        <f t="shared" si="18"/>
        <v>-3.1906364129952042E-3</v>
      </c>
      <c r="Z21" s="18">
        <f t="shared" si="18"/>
        <v>-4.0064209115898974E-3</v>
      </c>
      <c r="AA21" s="18">
        <f t="shared" si="18"/>
        <v>-1.8810749638225946E-3</v>
      </c>
    </row>
    <row r="22" spans="2:27" ht="14.25" customHeight="1" x14ac:dyDescent="0.3">
      <c r="B22" s="2">
        <v>20</v>
      </c>
      <c r="C22" s="11">
        <v>0.02</v>
      </c>
      <c r="D22" s="2">
        <v>0</v>
      </c>
      <c r="E22" s="2">
        <v>0</v>
      </c>
      <c r="F22" s="2">
        <v>0</v>
      </c>
      <c r="G22" s="2">
        <v>0</v>
      </c>
      <c r="H22" s="11" t="s">
        <v>42</v>
      </c>
      <c r="J22" s="2">
        <v>20</v>
      </c>
      <c r="K22" s="2">
        <v>2.5000000000000001E-2</v>
      </c>
      <c r="L22" s="2">
        <v>-2.4755142985116101</v>
      </c>
      <c r="M22" s="2">
        <v>4.3737757257781196</v>
      </c>
      <c r="N22" s="2">
        <v>36.196216096725898</v>
      </c>
      <c r="O22" s="2" t="s">
        <v>18</v>
      </c>
      <c r="Q22" s="2">
        <v>20</v>
      </c>
      <c r="R22" s="2">
        <v>0.05</v>
      </c>
      <c r="S22" s="2">
        <v>0.407732536997164</v>
      </c>
      <c r="T22" s="2">
        <v>-6.5951495059152904E-2</v>
      </c>
      <c r="U22" s="15">
        <v>-7.2473506881769803E-2</v>
      </c>
      <c r="V22" s="15">
        <v>-3.3964624182842497E-2</v>
      </c>
      <c r="X22" s="2">
        <f t="shared" ref="X22:AA22" si="19">S23-S22</f>
        <v>2.2159836280421008E-2</v>
      </c>
      <c r="Y22" s="2">
        <f t="shared" si="19"/>
        <v>-3.2084807507003904E-3</v>
      </c>
      <c r="Z22" s="18">
        <f t="shared" si="19"/>
        <v>-4.0288277040189946E-3</v>
      </c>
      <c r="AA22" s="18">
        <f t="shared" si="19"/>
        <v>-1.8915952903806044E-3</v>
      </c>
    </row>
    <row r="23" spans="2:27" ht="14.25" customHeight="1" x14ac:dyDescent="0.3">
      <c r="B23" s="2">
        <v>21</v>
      </c>
      <c r="C23" s="5">
        <v>2.5000000000000001E-2</v>
      </c>
      <c r="D23" s="2">
        <v>31.3456911379959</v>
      </c>
      <c r="E23" s="2">
        <v>1.3355549550769901</v>
      </c>
      <c r="F23" s="2">
        <v>9.1489999999999991</v>
      </c>
      <c r="G23" s="2">
        <v>84.732586556982795</v>
      </c>
      <c r="H23" s="5" t="s">
        <v>6</v>
      </c>
      <c r="J23" s="2">
        <v>21</v>
      </c>
      <c r="K23" s="2">
        <v>0.03</v>
      </c>
      <c r="L23" s="2">
        <v>32.810494076135399</v>
      </c>
      <c r="M23" s="2">
        <v>11.931856242039499</v>
      </c>
      <c r="N23" s="2">
        <v>61.992183430072998</v>
      </c>
      <c r="O23" s="5" t="s">
        <v>6</v>
      </c>
      <c r="Q23" s="2">
        <v>21</v>
      </c>
      <c r="R23" s="2">
        <v>5.2499999999999998E-2</v>
      </c>
      <c r="S23" s="2">
        <v>0.429892373277585</v>
      </c>
      <c r="T23" s="2">
        <v>-6.9159975809853294E-2</v>
      </c>
      <c r="U23" s="15">
        <v>-7.6502334585788798E-2</v>
      </c>
      <c r="V23" s="15">
        <v>-3.5856219473223101E-2</v>
      </c>
      <c r="X23" s="2">
        <f t="shared" ref="X23:AA23" si="20">S24-S23</f>
        <v>2.2284090346279983E-2</v>
      </c>
      <c r="Y23" s="2">
        <f t="shared" si="20"/>
        <v>-3.2264712617405128E-3</v>
      </c>
      <c r="Z23" s="18">
        <f t="shared" si="20"/>
        <v>-4.0514180434619018E-3</v>
      </c>
      <c r="AA23" s="18">
        <f t="shared" si="20"/>
        <v>-1.9022017949891015E-3</v>
      </c>
    </row>
    <row r="24" spans="2:27" ht="14.25" customHeight="1" x14ac:dyDescent="0.3">
      <c r="B24" s="2">
        <v>22</v>
      </c>
      <c r="C24" s="2">
        <v>2.5000000000000001E-2</v>
      </c>
      <c r="D24" s="2">
        <v>-4.9556591715896703</v>
      </c>
      <c r="E24" s="2">
        <v>1.3258996812464099</v>
      </c>
      <c r="F24" s="2">
        <v>5.8890000000000002</v>
      </c>
      <c r="G24" s="2">
        <v>54.5598614246395</v>
      </c>
      <c r="H24" s="2" t="s">
        <v>16</v>
      </c>
      <c r="J24" s="2">
        <v>22</v>
      </c>
      <c r="K24" s="2">
        <v>0.03</v>
      </c>
      <c r="L24" s="2">
        <v>-4.9473448903108297</v>
      </c>
      <c r="M24" s="2">
        <v>6.0609398030027704</v>
      </c>
      <c r="N24" s="2">
        <v>37.278764689566103</v>
      </c>
      <c r="O24" s="2" t="s">
        <v>16</v>
      </c>
      <c r="Q24" s="2">
        <v>22</v>
      </c>
      <c r="R24" s="2">
        <v>5.5E-2</v>
      </c>
      <c r="S24" s="2">
        <v>0.45217646362386499</v>
      </c>
      <c r="T24" s="2">
        <v>-7.2386447071593807E-2</v>
      </c>
      <c r="U24" s="15">
        <v>-8.0553752629250699E-2</v>
      </c>
      <c r="V24" s="15">
        <v>-3.7758421268212203E-2</v>
      </c>
      <c r="X24" s="2">
        <f t="shared" ref="X24:AA24" si="21">S25-S24</f>
        <v>2.2409364752587035E-2</v>
      </c>
      <c r="Y24" s="2">
        <f t="shared" si="21"/>
        <v>-3.2446095058844965E-3</v>
      </c>
      <c r="Z24" s="18">
        <f t="shared" si="21"/>
        <v>-4.0741938885194978E-3</v>
      </c>
      <c r="AA24" s="18">
        <f t="shared" si="21"/>
        <v>-1.9128953973409982E-3</v>
      </c>
    </row>
    <row r="25" spans="2:27" ht="14.25" customHeight="1" x14ac:dyDescent="0.3">
      <c r="B25" s="2">
        <v>23</v>
      </c>
      <c r="C25" s="2">
        <v>2.5000000000000001E-2</v>
      </c>
      <c r="D25" s="2">
        <v>-8.6717508815791895</v>
      </c>
      <c r="E25" s="2">
        <v>0.129570573138825</v>
      </c>
      <c r="F25" s="2">
        <v>7.9349999999999996</v>
      </c>
      <c r="G25" s="2">
        <v>41.662078412179</v>
      </c>
      <c r="H25" s="2" t="s">
        <v>17</v>
      </c>
      <c r="J25" s="2">
        <v>23</v>
      </c>
      <c r="K25" s="2">
        <v>0.03</v>
      </c>
      <c r="L25" s="2">
        <v>-8.7623089837063404</v>
      </c>
      <c r="M25" s="2">
        <v>5.2071276586503803</v>
      </c>
      <c r="N25" s="2">
        <v>25.739877850815098</v>
      </c>
      <c r="O25" s="2" t="s">
        <v>17</v>
      </c>
      <c r="Q25" s="2">
        <v>23</v>
      </c>
      <c r="R25" s="2">
        <v>5.7500000000000002E-2</v>
      </c>
      <c r="S25" s="2">
        <v>0.47458582837645202</v>
      </c>
      <c r="T25" s="2">
        <v>-7.5631056577478303E-2</v>
      </c>
      <c r="U25" s="15">
        <v>-8.4627946517770197E-2</v>
      </c>
      <c r="V25" s="15">
        <v>-3.9671316665553201E-2</v>
      </c>
      <c r="X25" s="2">
        <f t="shared" ref="X25:AA25" si="22">S26-S25</f>
        <v>2.2535670413082964E-2</v>
      </c>
      <c r="Y25" s="2">
        <f t="shared" si="22"/>
        <v>-3.2628970633935966E-3</v>
      </c>
      <c r="Z25" s="18">
        <f t="shared" si="22"/>
        <v>-4.0971572235345005E-3</v>
      </c>
      <c r="AA25" s="18">
        <f t="shared" si="22"/>
        <v>-1.9236770289828009E-3</v>
      </c>
    </row>
    <row r="26" spans="2:27" ht="14.25" customHeight="1" x14ac:dyDescent="0.3">
      <c r="B26" s="2">
        <v>24</v>
      </c>
      <c r="C26" s="2">
        <v>2.5000000000000001E-2</v>
      </c>
      <c r="D26" s="2">
        <v>-2.4984890710985499</v>
      </c>
      <c r="E26" s="2">
        <v>1.20833136727587</v>
      </c>
      <c r="F26" s="2">
        <v>4.7619999999999996</v>
      </c>
      <c r="G26" s="2">
        <v>50.427497300960603</v>
      </c>
      <c r="H26" s="2" t="s">
        <v>18</v>
      </c>
      <c r="J26" s="2">
        <v>24</v>
      </c>
      <c r="K26" s="2">
        <v>0.03</v>
      </c>
      <c r="L26" s="2">
        <v>-2.4925088973891598</v>
      </c>
      <c r="M26" s="2">
        <v>4.8028930727658699</v>
      </c>
      <c r="N26" s="2">
        <v>35.955824289642599</v>
      </c>
      <c r="O26" s="2" t="s">
        <v>18</v>
      </c>
      <c r="Q26" s="2">
        <v>24</v>
      </c>
      <c r="R26" s="2">
        <v>0.06</v>
      </c>
      <c r="S26" s="2">
        <v>0.49712149878953499</v>
      </c>
      <c r="T26" s="2">
        <v>-7.88939536408719E-2</v>
      </c>
      <c r="U26" s="15">
        <v>-8.8725103741304698E-2</v>
      </c>
      <c r="V26" s="15">
        <v>-4.1594993694536002E-2</v>
      </c>
      <c r="X26" s="2">
        <f t="shared" ref="X26:AA26" si="23">S27-S26</f>
        <v>2.266301838415502E-2</v>
      </c>
      <c r="Y26" s="2">
        <f t="shared" si="23"/>
        <v>-3.2813355351067053E-3</v>
      </c>
      <c r="Z26" s="18">
        <f t="shared" si="23"/>
        <v>-4.1203100586122976E-3</v>
      </c>
      <c r="AA26" s="18">
        <f t="shared" si="23"/>
        <v>-1.934547633783E-3</v>
      </c>
    </row>
    <row r="27" spans="2:27" ht="14.25" customHeight="1" x14ac:dyDescent="0.3">
      <c r="B27" s="2">
        <v>25</v>
      </c>
      <c r="C27" s="11">
        <v>2.5000000000000001E-2</v>
      </c>
      <c r="D27" s="2">
        <v>0</v>
      </c>
      <c r="E27" s="2">
        <v>0</v>
      </c>
      <c r="F27" s="2">
        <v>0</v>
      </c>
      <c r="G27" s="2">
        <v>0</v>
      </c>
      <c r="H27" s="11" t="s">
        <v>42</v>
      </c>
      <c r="J27" s="2">
        <v>25</v>
      </c>
      <c r="K27" s="2">
        <v>3.5000000000000003E-2</v>
      </c>
      <c r="L27" s="2">
        <v>33.193559856460702</v>
      </c>
      <c r="M27" s="15">
        <v>13.4284625810677</v>
      </c>
      <c r="N27" s="2">
        <v>64.193633573541007</v>
      </c>
      <c r="O27" s="5" t="s">
        <v>6</v>
      </c>
      <c r="Q27" s="2">
        <v>25</v>
      </c>
      <c r="R27" s="2">
        <v>6.25E-2</v>
      </c>
      <c r="S27" s="2">
        <v>0.51978451717369001</v>
      </c>
      <c r="T27" s="2">
        <v>-8.2175289175978605E-2</v>
      </c>
      <c r="U27" s="15">
        <v>-9.2845413799916995E-2</v>
      </c>
      <c r="V27" s="15">
        <v>-4.3529541328319002E-2</v>
      </c>
      <c r="X27" s="2">
        <f t="shared" ref="X27:AA27" si="24">S28-S27</f>
        <v>2.2791419866701967E-2</v>
      </c>
      <c r="Y27" s="2">
        <f t="shared" si="24"/>
        <v>-3.2999265426809921E-3</v>
      </c>
      <c r="Z27" s="18">
        <f t="shared" si="24"/>
        <v>-4.1436544300463007E-3</v>
      </c>
      <c r="AA27" s="18">
        <f t="shared" si="24"/>
        <v>-1.9455081678141015E-3</v>
      </c>
    </row>
    <row r="28" spans="2:27" ht="14.25" customHeight="1" x14ac:dyDescent="0.3">
      <c r="B28" s="2">
        <v>26</v>
      </c>
      <c r="C28" s="5">
        <v>0.03</v>
      </c>
      <c r="D28" s="2">
        <v>31.514132756080301</v>
      </c>
      <c r="E28" s="2">
        <v>1.3043252444647</v>
      </c>
      <c r="F28" s="2">
        <v>10.052</v>
      </c>
      <c r="G28" s="2">
        <v>82.969323814622896</v>
      </c>
      <c r="H28" s="5" t="s">
        <v>6</v>
      </c>
      <c r="J28" s="2">
        <v>26</v>
      </c>
      <c r="K28" s="2">
        <v>3.5000000000000003E-2</v>
      </c>
      <c r="L28" s="2">
        <v>-5.0199600290508704</v>
      </c>
      <c r="M28" s="2">
        <v>6.2869068593986501</v>
      </c>
      <c r="N28" s="2">
        <v>35.695359460978203</v>
      </c>
      <c r="O28" s="2" t="s">
        <v>16</v>
      </c>
      <c r="Q28" s="2">
        <v>26</v>
      </c>
      <c r="R28" s="2">
        <v>6.5000000000000002E-2</v>
      </c>
      <c r="S28" s="2">
        <v>0.54257593704039198</v>
      </c>
      <c r="T28" s="2">
        <v>-8.5475215718659597E-2</v>
      </c>
      <c r="U28" s="15">
        <v>-9.6989068229963296E-2</v>
      </c>
      <c r="V28" s="15">
        <v>-4.5475049496133103E-2</v>
      </c>
      <c r="X28" s="2">
        <f t="shared" ref="X28:AA28" si="25">S29-S28</f>
        <v>2.2920886208532054E-2</v>
      </c>
      <c r="Y28" s="2">
        <f t="shared" si="25"/>
        <v>-3.3186717293034046E-3</v>
      </c>
      <c r="Z28" s="18">
        <f t="shared" si="25"/>
        <v>-4.16719240115071E-3</v>
      </c>
      <c r="AA28" s="18">
        <f t="shared" si="25"/>
        <v>-1.9565595997552976E-3</v>
      </c>
    </row>
    <row r="29" spans="2:27" ht="14.25" customHeight="1" x14ac:dyDescent="0.3">
      <c r="B29" s="2">
        <v>27</v>
      </c>
      <c r="C29" s="2">
        <v>0.03</v>
      </c>
      <c r="D29" s="2">
        <v>-4.9781443152804199</v>
      </c>
      <c r="E29" s="2">
        <v>0.13211352661810399</v>
      </c>
      <c r="F29" s="2">
        <v>8.9090000000000007</v>
      </c>
      <c r="G29" s="2">
        <v>55.197750674669003</v>
      </c>
      <c r="H29" s="2" t="s">
        <v>16</v>
      </c>
      <c r="J29" s="2">
        <v>27</v>
      </c>
      <c r="K29" s="2">
        <v>3.5000000000000003E-2</v>
      </c>
      <c r="L29" s="2">
        <v>-9.0001871620155391</v>
      </c>
      <c r="M29" s="2">
        <v>5.0922843149299304</v>
      </c>
      <c r="N29" s="2">
        <v>20.782362811241399</v>
      </c>
      <c r="O29" s="2" t="s">
        <v>17</v>
      </c>
      <c r="Q29" s="2">
        <v>27</v>
      </c>
      <c r="R29" s="2">
        <v>6.7500000000000004E-2</v>
      </c>
      <c r="S29" s="2">
        <v>0.56549682324892403</v>
      </c>
      <c r="T29" s="2">
        <v>-8.8793887447963002E-2</v>
      </c>
      <c r="U29" s="15">
        <v>-0.10115626063111401</v>
      </c>
      <c r="V29" s="15">
        <v>-4.7431609095888401E-2</v>
      </c>
      <c r="X29" s="2">
        <f t="shared" ref="X29:AA29" si="26">S30-S29</f>
        <v>2.3051428906703975E-2</v>
      </c>
      <c r="Y29" s="2">
        <f t="shared" si="26"/>
        <v>-3.3375727594489035E-3</v>
      </c>
      <c r="Z29" s="18">
        <f t="shared" si="26"/>
        <v>-4.190926061937994E-3</v>
      </c>
      <c r="AA29" s="18">
        <f t="shared" si="26"/>
        <v>-1.9677029109910968E-3</v>
      </c>
    </row>
    <row r="30" spans="2:27" ht="14.25" customHeight="1" x14ac:dyDescent="0.3">
      <c r="B30" s="2">
        <v>28</v>
      </c>
      <c r="C30" s="2">
        <v>0.03</v>
      </c>
      <c r="D30" s="2">
        <v>-8.7590694911715197</v>
      </c>
      <c r="E30" s="2">
        <v>0.125449097748873</v>
      </c>
      <c r="F30" s="2">
        <v>8.952</v>
      </c>
      <c r="G30" s="2">
        <v>37.985761046447003</v>
      </c>
      <c r="H30" s="2" t="s">
        <v>17</v>
      </c>
      <c r="J30" s="2">
        <v>28</v>
      </c>
      <c r="K30" s="2">
        <v>3.5000000000000003E-2</v>
      </c>
      <c r="L30" s="2">
        <v>-2.54099345345929</v>
      </c>
      <c r="M30" s="2">
        <v>4.8080719250518396</v>
      </c>
      <c r="N30" s="2">
        <v>34.456750713752101</v>
      </c>
      <c r="O30" s="2" t="s">
        <v>18</v>
      </c>
      <c r="Q30" s="2">
        <v>28</v>
      </c>
      <c r="R30" s="2">
        <v>7.0000000000000007E-2</v>
      </c>
      <c r="S30" s="2">
        <v>0.588548252155628</v>
      </c>
      <c r="T30" s="2">
        <v>-9.2131460207411905E-2</v>
      </c>
      <c r="U30" s="15">
        <v>-0.105347186693052</v>
      </c>
      <c r="V30" s="15">
        <v>-4.9399312006879498E-2</v>
      </c>
      <c r="X30" s="2">
        <f t="shared" ref="X30:AA30" si="27">S31-S30</f>
        <v>2.318305960938094E-2</v>
      </c>
      <c r="Y30" s="2">
        <f t="shared" si="27"/>
        <v>-3.3566313197610914E-3</v>
      </c>
      <c r="Z30" s="18">
        <f t="shared" si="27"/>
        <v>-4.2148575303919966E-3</v>
      </c>
      <c r="AA30" s="18">
        <f t="shared" si="27"/>
        <v>-1.9789390958802056E-3</v>
      </c>
    </row>
    <row r="31" spans="2:27" ht="14.25" customHeight="1" x14ac:dyDescent="0.3">
      <c r="B31" s="2">
        <v>29</v>
      </c>
      <c r="C31" s="2">
        <v>0.03</v>
      </c>
      <c r="D31" s="2">
        <v>-2.5225552198556298</v>
      </c>
      <c r="E31" s="2">
        <v>0.65430585478941605</v>
      </c>
      <c r="F31" s="2">
        <v>6.5330000000000004</v>
      </c>
      <c r="G31" s="2">
        <v>50.5483329202725</v>
      </c>
      <c r="H31" s="2" t="s">
        <v>18</v>
      </c>
      <c r="J31" s="2">
        <v>29</v>
      </c>
      <c r="K31" s="2">
        <v>0.04</v>
      </c>
      <c r="L31" s="2">
        <v>33.489829210803897</v>
      </c>
      <c r="M31" s="15">
        <v>13.9985130519705</v>
      </c>
      <c r="N31" s="2">
        <v>63.900385498903603</v>
      </c>
      <c r="O31" s="5" t="s">
        <v>6</v>
      </c>
      <c r="Q31" s="2">
        <v>29</v>
      </c>
      <c r="R31" s="2">
        <v>7.2499999999999995E-2</v>
      </c>
      <c r="S31" s="2">
        <v>0.61173131176500894</v>
      </c>
      <c r="T31" s="2">
        <v>-9.5488091527172997E-2</v>
      </c>
      <c r="U31" s="15">
        <v>-0.109562044223444</v>
      </c>
      <c r="V31" s="15">
        <v>-5.1378251102759703E-2</v>
      </c>
      <c r="X31" s="2">
        <f t="shared" ref="X31:AA31" si="28">S32-S31</f>
        <v>2.3315790118762059E-2</v>
      </c>
      <c r="Y31" s="2">
        <f t="shared" si="28"/>
        <v>-3.3758491189673084E-3</v>
      </c>
      <c r="Z31" s="18">
        <f t="shared" si="28"/>
        <v>-4.2389889520470098E-3</v>
      </c>
      <c r="AA31" s="18">
        <f t="shared" si="28"/>
        <v>-1.9902691618554E-3</v>
      </c>
    </row>
    <row r="32" spans="2:27" ht="14.25" customHeight="1" x14ac:dyDescent="0.3">
      <c r="B32" s="2">
        <v>30</v>
      </c>
      <c r="C32" s="11">
        <v>0.03</v>
      </c>
      <c r="D32" s="2">
        <v>0</v>
      </c>
      <c r="E32" s="2">
        <v>0</v>
      </c>
      <c r="F32" s="2">
        <v>0</v>
      </c>
      <c r="G32" s="2">
        <v>0</v>
      </c>
      <c r="H32" s="11" t="s">
        <v>42</v>
      </c>
      <c r="J32" s="2">
        <v>30</v>
      </c>
      <c r="K32" s="2">
        <v>0.04</v>
      </c>
      <c r="L32" s="2">
        <v>-5.0404423703594698</v>
      </c>
      <c r="M32" s="2">
        <v>6.6368377404818597</v>
      </c>
      <c r="N32" s="2">
        <v>36.319644585314499</v>
      </c>
      <c r="O32" s="2" t="s">
        <v>16</v>
      </c>
      <c r="Q32" s="2">
        <v>30</v>
      </c>
      <c r="R32" s="2">
        <v>7.4999999999999997E-2</v>
      </c>
      <c r="S32" s="16">
        <v>0.635047101883771</v>
      </c>
      <c r="T32" s="17">
        <v>-9.8863940646140305E-2</v>
      </c>
      <c r="U32" s="15">
        <v>-0.11380103317549101</v>
      </c>
      <c r="V32" s="15">
        <v>-5.3368520264615103E-2</v>
      </c>
    </row>
    <row r="33" spans="2:27" ht="14.25" customHeight="1" x14ac:dyDescent="0.3">
      <c r="B33" s="2">
        <v>31</v>
      </c>
      <c r="C33" s="5">
        <v>3.5000000000000003E-2</v>
      </c>
      <c r="D33" s="2">
        <v>31.807621179142501</v>
      </c>
      <c r="E33" s="2">
        <v>2.9885693338858901</v>
      </c>
      <c r="F33" s="2">
        <v>9.2899999999999991</v>
      </c>
      <c r="G33" s="2">
        <v>90.427331317156401</v>
      </c>
      <c r="H33" s="5" t="s">
        <v>6</v>
      </c>
      <c r="J33" s="2">
        <v>31</v>
      </c>
      <c r="K33" s="2">
        <v>0.04</v>
      </c>
      <c r="L33" s="2">
        <v>-9.0429208485181007</v>
      </c>
      <c r="M33" s="2">
        <v>5.3341409541028897</v>
      </c>
      <c r="N33" s="2">
        <v>21.321668990922799</v>
      </c>
      <c r="O33" s="2" t="s">
        <v>17</v>
      </c>
    </row>
    <row r="34" spans="2:27" ht="14.25" customHeight="1" x14ac:dyDescent="0.3">
      <c r="B34" s="2">
        <v>32</v>
      </c>
      <c r="C34" s="2">
        <v>3.5000000000000003E-2</v>
      </c>
      <c r="D34" s="2">
        <v>-5.0713872051686302</v>
      </c>
      <c r="E34" s="2">
        <v>0.13146731190883401</v>
      </c>
      <c r="F34" s="2">
        <v>9.8480000000000008</v>
      </c>
      <c r="G34" s="2">
        <v>50.128059378557801</v>
      </c>
      <c r="H34" s="2" t="s">
        <v>16</v>
      </c>
      <c r="J34" s="2">
        <v>32</v>
      </c>
      <c r="K34" s="2">
        <v>0.04</v>
      </c>
      <c r="L34" s="2">
        <v>-2.55219604610412</v>
      </c>
      <c r="M34" s="2">
        <v>5.0310718208792498</v>
      </c>
      <c r="N34" s="2">
        <v>34.8304322464693</v>
      </c>
      <c r="O34" s="2" t="s">
        <v>18</v>
      </c>
    </row>
    <row r="35" spans="2:27" ht="14.25" customHeight="1" x14ac:dyDescent="0.3">
      <c r="B35" s="2">
        <v>33</v>
      </c>
      <c r="C35" s="2">
        <v>3.5000000000000003E-2</v>
      </c>
      <c r="D35" s="2">
        <v>-9.0759515920251506</v>
      </c>
      <c r="E35" s="2">
        <v>0.12930337487218499</v>
      </c>
      <c r="F35" s="2">
        <v>8.9079999999999995</v>
      </c>
      <c r="G35" s="2">
        <v>34.927688298023597</v>
      </c>
      <c r="H35" s="2" t="s">
        <v>17</v>
      </c>
      <c r="J35" s="2">
        <v>33</v>
      </c>
      <c r="K35" s="2">
        <v>4.4999999999999998E-2</v>
      </c>
      <c r="L35" s="2">
        <v>33.7815385831315</v>
      </c>
      <c r="M35" s="15">
        <v>14.4863984029489</v>
      </c>
      <c r="N35" s="2">
        <v>62.207359495167999</v>
      </c>
      <c r="O35" s="5" t="s">
        <v>6</v>
      </c>
    </row>
    <row r="36" spans="2:27" ht="14.25" customHeight="1" x14ac:dyDescent="0.3">
      <c r="B36" s="2">
        <v>34</v>
      </c>
      <c r="C36" s="2">
        <v>3.5000000000000003E-2</v>
      </c>
      <c r="D36" s="2">
        <v>-2.5654906946221998</v>
      </c>
      <c r="E36" s="2">
        <v>0.13542020330488699</v>
      </c>
      <c r="F36" s="2">
        <v>8.6310000000000002</v>
      </c>
      <c r="G36" s="2">
        <v>41.447751694915198</v>
      </c>
      <c r="H36" s="2" t="s">
        <v>18</v>
      </c>
      <c r="J36" s="2">
        <v>34</v>
      </c>
      <c r="K36" s="2">
        <v>4.4999999999999998E-2</v>
      </c>
      <c r="L36" s="2">
        <v>-5.0576001680617102</v>
      </c>
      <c r="M36" s="2">
        <v>7.0012689111555302</v>
      </c>
      <c r="N36" s="2">
        <v>34.942675903243199</v>
      </c>
      <c r="O36" s="2" t="s">
        <v>16</v>
      </c>
      <c r="Q36" s="2">
        <v>1</v>
      </c>
      <c r="R36" s="2">
        <v>5.0000000000000001E-3</v>
      </c>
      <c r="S36" s="2">
        <v>2.9001515798949801E-2</v>
      </c>
      <c r="T36" s="2">
        <v>-1.11157473651673E-2</v>
      </c>
      <c r="U36" s="2">
        <v>-3.6173108671278E-3</v>
      </c>
      <c r="V36" s="2">
        <v>-1.63560302254114E-3</v>
      </c>
      <c r="X36" s="2">
        <f t="shared" ref="X36:AA36" si="29">S37-S36</f>
        <v>4.0279800938009605E-2</v>
      </c>
      <c r="Y36" s="2">
        <f t="shared" si="29"/>
        <v>-5.832036135856802E-3</v>
      </c>
      <c r="Z36" s="2">
        <f t="shared" si="29"/>
        <v>-7.3231758519145991E-3</v>
      </c>
      <c r="AA36" s="2">
        <f t="shared" si="29"/>
        <v>-3.4383413662239697E-3</v>
      </c>
    </row>
    <row r="37" spans="2:27" ht="14.25" customHeight="1" x14ac:dyDescent="0.3">
      <c r="B37" s="2">
        <v>35</v>
      </c>
      <c r="C37" s="11">
        <v>3.5000000000000003E-2</v>
      </c>
      <c r="D37" s="2">
        <v>0</v>
      </c>
      <c r="E37" s="2">
        <v>0</v>
      </c>
      <c r="F37" s="2">
        <v>0</v>
      </c>
      <c r="G37" s="2">
        <v>0</v>
      </c>
      <c r="H37" s="11" t="s">
        <v>42</v>
      </c>
      <c r="J37" s="2">
        <v>35</v>
      </c>
      <c r="K37" s="2">
        <v>4.4999999999999998E-2</v>
      </c>
      <c r="L37" s="2">
        <v>-9.0728711553340595</v>
      </c>
      <c r="M37" s="2">
        <v>5.60725001377119</v>
      </c>
      <c r="N37" s="2">
        <v>19.8748214931014</v>
      </c>
      <c r="O37" s="2" t="s">
        <v>17</v>
      </c>
      <c r="Q37" s="2">
        <v>2</v>
      </c>
      <c r="R37" s="2">
        <v>0.01</v>
      </c>
      <c r="S37" s="2">
        <v>6.9281316736959406E-2</v>
      </c>
      <c r="T37" s="2">
        <v>-1.6947783501024102E-2</v>
      </c>
      <c r="U37" s="2">
        <v>-1.09404867190424E-2</v>
      </c>
      <c r="V37" s="2">
        <v>-5.0739443887651099E-3</v>
      </c>
      <c r="X37" s="2">
        <f t="shared" ref="X37:AA37" si="30">S38-S37</f>
        <v>4.0713609062508593E-2</v>
      </c>
      <c r="Y37" s="2">
        <f t="shared" si="30"/>
        <v>-5.8948463930903992E-3</v>
      </c>
      <c r="Z37" s="2">
        <f t="shared" si="30"/>
        <v>-7.4020454865474008E-3</v>
      </c>
      <c r="AA37" s="2">
        <f t="shared" si="30"/>
        <v>-3.4753718476147706E-3</v>
      </c>
    </row>
    <row r="38" spans="2:27" ht="14.25" customHeight="1" x14ac:dyDescent="0.3">
      <c r="B38" s="2">
        <v>36</v>
      </c>
      <c r="C38" s="5">
        <v>0.04</v>
      </c>
      <c r="D38" s="2">
        <v>31.958368817758899</v>
      </c>
      <c r="E38" s="2">
        <v>2.6889897464243302</v>
      </c>
      <c r="F38" s="2">
        <v>10.114000000000001</v>
      </c>
      <c r="G38" s="2">
        <v>88.711967349691093</v>
      </c>
      <c r="H38" s="5" t="s">
        <v>6</v>
      </c>
      <c r="J38" s="2">
        <v>36</v>
      </c>
      <c r="K38" s="2">
        <v>4.4999999999999998E-2</v>
      </c>
      <c r="L38" s="2">
        <v>-2.5605346731443102</v>
      </c>
      <c r="M38" s="2">
        <v>5.25408609030384</v>
      </c>
      <c r="N38" s="2">
        <v>32.733451134393299</v>
      </c>
      <c r="O38" s="2" t="s">
        <v>18</v>
      </c>
      <c r="Q38" s="2">
        <v>3</v>
      </c>
      <c r="R38" s="2">
        <v>1.4999999999999999E-2</v>
      </c>
      <c r="S38" s="2">
        <v>0.109994925799468</v>
      </c>
      <c r="T38" s="2">
        <v>-2.2842629894114501E-2</v>
      </c>
      <c r="U38" s="2">
        <v>-1.83425322055898E-2</v>
      </c>
      <c r="V38" s="2">
        <v>-8.5493162363798805E-3</v>
      </c>
      <c r="X38" s="2">
        <f t="shared" ref="X38:AA38" si="31">S39-S38</f>
        <v>4.1154289890719994E-2</v>
      </c>
      <c r="Y38" s="2">
        <f t="shared" si="31"/>
        <v>-5.9586517360940977E-3</v>
      </c>
      <c r="Z38" s="2">
        <f t="shared" si="31"/>
        <v>-7.4821646312272991E-3</v>
      </c>
      <c r="AA38" s="2">
        <f t="shared" si="31"/>
        <v>-3.51298899282842E-3</v>
      </c>
    </row>
    <row r="39" spans="2:27" ht="14.25" customHeight="1" x14ac:dyDescent="0.3">
      <c r="B39" s="2">
        <v>37</v>
      </c>
      <c r="C39" s="2">
        <v>0.04</v>
      </c>
      <c r="D39" s="2">
        <v>-5.1132643638213802</v>
      </c>
      <c r="E39" s="2">
        <v>0.85642617447739799</v>
      </c>
      <c r="F39" s="2">
        <v>8.6430000000000007</v>
      </c>
      <c r="G39" s="2">
        <v>52.505706184627499</v>
      </c>
      <c r="H39" s="2" t="s">
        <v>16</v>
      </c>
      <c r="J39" s="2">
        <v>37</v>
      </c>
      <c r="K39" s="2">
        <v>0.05</v>
      </c>
      <c r="L39" s="2">
        <v>33.891730646321498</v>
      </c>
      <c r="M39" s="15">
        <v>14.8588934169656</v>
      </c>
      <c r="N39" s="2">
        <v>62.531050488485903</v>
      </c>
      <c r="O39" s="5" t="s">
        <v>6</v>
      </c>
      <c r="Q39" s="2">
        <v>4</v>
      </c>
      <c r="R39" s="2">
        <v>0.02</v>
      </c>
      <c r="S39" s="2">
        <v>0.15114921569018799</v>
      </c>
      <c r="T39" s="2">
        <v>-2.8801281630208599E-2</v>
      </c>
      <c r="U39" s="2">
        <v>-2.5824696836817099E-2</v>
      </c>
      <c r="V39" s="2">
        <v>-1.2062305229208301E-2</v>
      </c>
      <c r="X39" s="2">
        <f t="shared" ref="X39:AA39" si="32">S40-S39</f>
        <v>4.1601985866566993E-2</v>
      </c>
      <c r="Y39" s="2">
        <f t="shared" si="32"/>
        <v>-6.0234727890388987E-3</v>
      </c>
      <c r="Z39" s="2">
        <f t="shared" si="32"/>
        <v>-7.5635591834304038E-3</v>
      </c>
      <c r="AA39" s="2">
        <f t="shared" si="32"/>
        <v>-3.5512049610902999E-3</v>
      </c>
    </row>
    <row r="40" spans="2:27" ht="14.25" customHeight="1" x14ac:dyDescent="0.3">
      <c r="B40" s="2">
        <v>38</v>
      </c>
      <c r="C40" s="2">
        <v>0.04</v>
      </c>
      <c r="D40" s="2">
        <v>-9.0941181556537494</v>
      </c>
      <c r="E40" s="2">
        <v>8.8549776573848799E-2</v>
      </c>
      <c r="F40" s="2">
        <v>8.9390000000000001</v>
      </c>
      <c r="G40" s="2">
        <v>36.074341327591597</v>
      </c>
      <c r="H40" s="2" t="s">
        <v>17</v>
      </c>
      <c r="J40" s="2">
        <v>38</v>
      </c>
      <c r="K40" s="2">
        <v>0.05</v>
      </c>
      <c r="L40" s="2">
        <v>-5.1346349438157901</v>
      </c>
      <c r="M40" s="2">
        <v>6.8005205011376297</v>
      </c>
      <c r="N40" s="2">
        <v>30.573872561379201</v>
      </c>
      <c r="O40" s="2" t="s">
        <v>16</v>
      </c>
      <c r="Q40" s="2">
        <v>5</v>
      </c>
      <c r="R40" s="2">
        <v>2.5000000000000001E-2</v>
      </c>
      <c r="S40" s="2">
        <v>0.19275120155675499</v>
      </c>
      <c r="T40" s="2">
        <v>-3.4824754419247497E-2</v>
      </c>
      <c r="U40" s="2">
        <v>-3.3388256020247503E-2</v>
      </c>
      <c r="V40" s="2">
        <v>-1.56135101902986E-2</v>
      </c>
      <c r="X40" s="2">
        <f t="shared" ref="X40:AA40" si="33">S41-S40</f>
        <v>4.2056843053276005E-2</v>
      </c>
      <c r="Y40" s="2">
        <f t="shared" si="33"/>
        <v>-6.0893307001208055E-3</v>
      </c>
      <c r="Z40" s="2">
        <f t="shared" si="33"/>
        <v>-7.6462556984932956E-3</v>
      </c>
      <c r="AA40" s="2">
        <f t="shared" si="33"/>
        <v>-3.5900322205025988E-3</v>
      </c>
    </row>
    <row r="41" spans="2:27" ht="14.25" customHeight="1" x14ac:dyDescent="0.3">
      <c r="B41" s="2">
        <v>39</v>
      </c>
      <c r="C41" s="2">
        <v>0.04</v>
      </c>
      <c r="D41" s="2">
        <v>-2.5880335735703</v>
      </c>
      <c r="E41" s="2">
        <v>0.97630487978689595</v>
      </c>
      <c r="F41" s="2">
        <v>6.56</v>
      </c>
      <c r="G41" s="2">
        <v>47.236011301187801</v>
      </c>
      <c r="H41" s="2" t="s">
        <v>18</v>
      </c>
      <c r="J41" s="2">
        <v>39</v>
      </c>
      <c r="K41" s="2">
        <v>0.05</v>
      </c>
      <c r="L41" s="2">
        <v>-9.1836627515331593</v>
      </c>
      <c r="M41" s="2">
        <v>5.59153134264991</v>
      </c>
      <c r="N41" s="2">
        <v>18.250612491530401</v>
      </c>
      <c r="O41" s="2" t="s">
        <v>17</v>
      </c>
      <c r="Q41" s="2">
        <v>6</v>
      </c>
      <c r="R41" s="2">
        <v>0.03</v>
      </c>
      <c r="S41" s="2">
        <v>0.23480804461003099</v>
      </c>
      <c r="T41" s="2">
        <v>-4.0914085119368303E-2</v>
      </c>
      <c r="U41" s="2">
        <v>-4.1034511718740799E-2</v>
      </c>
      <c r="V41" s="2">
        <v>-1.9203542410801199E-2</v>
      </c>
      <c r="X41" s="2">
        <f t="shared" ref="X41:AA41" si="34">S42-S41</f>
        <v>4.2519011241004018E-2</v>
      </c>
      <c r="Y41" s="2">
        <f t="shared" si="34"/>
        <v>-6.1562471572358946E-3</v>
      </c>
      <c r="Z41" s="2">
        <f t="shared" si="34"/>
        <v>-7.7302814094489039E-3</v>
      </c>
      <c r="AA41" s="2">
        <f t="shared" si="34"/>
        <v>-3.6294835574240021E-3</v>
      </c>
    </row>
    <row r="42" spans="2:27" ht="14.25" customHeight="1" x14ac:dyDescent="0.3">
      <c r="B42" s="2">
        <v>40</v>
      </c>
      <c r="C42" s="11">
        <v>0.04</v>
      </c>
      <c r="D42" s="2">
        <v>0</v>
      </c>
      <c r="E42" s="2">
        <v>0</v>
      </c>
      <c r="F42" s="2">
        <v>0</v>
      </c>
      <c r="G42" s="2">
        <v>0</v>
      </c>
      <c r="H42" s="11" t="s">
        <v>42</v>
      </c>
      <c r="J42" s="2">
        <v>40</v>
      </c>
      <c r="K42" s="2">
        <v>0.05</v>
      </c>
      <c r="L42" s="2">
        <v>-2.5970686556766198</v>
      </c>
      <c r="M42" s="2">
        <v>5.2776141420420704</v>
      </c>
      <c r="N42" s="2">
        <v>30.285184478837898</v>
      </c>
      <c r="O42" s="2" t="s">
        <v>18</v>
      </c>
      <c r="Q42" s="2">
        <v>7</v>
      </c>
      <c r="R42" s="2">
        <v>3.5000000000000003E-2</v>
      </c>
      <c r="S42" s="2">
        <v>0.27732705585103501</v>
      </c>
      <c r="T42" s="2">
        <v>-4.7070332276604197E-2</v>
      </c>
      <c r="U42" s="2">
        <v>-4.8764793128189703E-2</v>
      </c>
      <c r="V42" s="2">
        <v>-2.2833025968225201E-2</v>
      </c>
      <c r="X42" s="2">
        <f t="shared" ref="X42:AA42" si="35">S43-S42</f>
        <v>4.2988644059178016E-2</v>
      </c>
      <c r="Y42" s="2">
        <f t="shared" si="35"/>
        <v>-6.224244404066305E-3</v>
      </c>
      <c r="Z42" s="2">
        <f t="shared" si="35"/>
        <v>-7.8156642473661969E-3</v>
      </c>
      <c r="AA42" s="2">
        <f t="shared" si="35"/>
        <v>-3.6695720858654982E-3</v>
      </c>
    </row>
    <row r="43" spans="2:27" ht="14.25" customHeight="1" x14ac:dyDescent="0.3">
      <c r="B43" s="2">
        <v>41</v>
      </c>
      <c r="C43" s="5">
        <v>4.4999999999999998E-2</v>
      </c>
      <c r="D43" s="2">
        <v>32.163008817598502</v>
      </c>
      <c r="E43" s="2">
        <v>2.8892594387013499</v>
      </c>
      <c r="F43" s="2">
        <v>10.239000000000001</v>
      </c>
      <c r="G43" s="2">
        <v>88.901976693745695</v>
      </c>
      <c r="H43" s="5" t="s">
        <v>6</v>
      </c>
      <c r="J43" s="2">
        <v>41</v>
      </c>
      <c r="K43" s="2">
        <v>5.5E-2</v>
      </c>
      <c r="L43" s="2">
        <v>34.312738757223499</v>
      </c>
      <c r="M43" s="15">
        <v>15.770485291235699</v>
      </c>
      <c r="N43" s="2">
        <v>61.679302603651699</v>
      </c>
      <c r="O43" s="5" t="s">
        <v>6</v>
      </c>
      <c r="Q43" s="2">
        <v>8</v>
      </c>
      <c r="R43" s="2">
        <v>0.04</v>
      </c>
      <c r="S43" s="2">
        <v>0.32031569991021303</v>
      </c>
      <c r="T43" s="2">
        <v>-5.3294576680670502E-2</v>
      </c>
      <c r="U43" s="2">
        <v>-5.65804573755559E-2</v>
      </c>
      <c r="V43" s="2">
        <v>-2.6502598054090699E-2</v>
      </c>
      <c r="X43" s="2">
        <f t="shared" ref="X43:AA43" si="36">S44-S43</f>
        <v>4.3465899091409965E-2</v>
      </c>
      <c r="Y43" s="2">
        <f t="shared" si="36"/>
        <v>-6.2933452567933007E-3</v>
      </c>
      <c r="Z43" s="2">
        <f t="shared" si="36"/>
        <v>-7.9024328620391979E-3</v>
      </c>
      <c r="AA43" s="2">
        <f t="shared" si="36"/>
        <v>-3.7103112574039011E-3</v>
      </c>
    </row>
    <row r="44" spans="2:27" ht="14.25" customHeight="1" x14ac:dyDescent="0.3">
      <c r="B44" s="2">
        <v>42</v>
      </c>
      <c r="C44" s="2">
        <v>4.4999999999999998E-2</v>
      </c>
      <c r="D44" s="2">
        <v>-5.1202419000225303</v>
      </c>
      <c r="E44" s="2">
        <v>1.0169613419522201</v>
      </c>
      <c r="F44" s="2">
        <v>8.6620000000000008</v>
      </c>
      <c r="G44" s="2">
        <v>52.009050661484402</v>
      </c>
      <c r="H44" s="2" t="s">
        <v>16</v>
      </c>
      <c r="J44" s="2">
        <v>42</v>
      </c>
      <c r="K44" s="2">
        <v>5.5E-2</v>
      </c>
      <c r="L44" s="2">
        <v>-5.1336749148224099</v>
      </c>
      <c r="M44" s="2">
        <v>7.6324186658981201</v>
      </c>
      <c r="N44" s="2">
        <v>34.521522143679803</v>
      </c>
      <c r="O44" s="2" t="s">
        <v>16</v>
      </c>
      <c r="Q44" s="2">
        <v>9</v>
      </c>
      <c r="R44" s="2">
        <v>4.4999999999999998E-2</v>
      </c>
      <c r="S44" s="2">
        <v>0.36378159900162299</v>
      </c>
      <c r="T44" s="2">
        <v>-5.9587921937463803E-2</v>
      </c>
      <c r="U44" s="2">
        <v>-6.4482890237595097E-2</v>
      </c>
      <c r="V44" s="2">
        <v>-3.0212909311494601E-2</v>
      </c>
      <c r="X44" s="2">
        <f t="shared" ref="X44:AA44" si="37">S45-S44</f>
        <v>4.3950937995541006E-2</v>
      </c>
      <c r="Y44" s="2">
        <f t="shared" si="37"/>
        <v>-6.3635731217032976E-3</v>
      </c>
      <c r="Z44" s="2">
        <f t="shared" si="37"/>
        <v>-7.9906166441747056E-3</v>
      </c>
      <c r="AA44" s="2">
        <f t="shared" si="37"/>
        <v>-3.7517148713478964E-3</v>
      </c>
    </row>
    <row r="45" spans="2:27" ht="14.25" customHeight="1" x14ac:dyDescent="0.3">
      <c r="B45" s="2">
        <v>43</v>
      </c>
      <c r="C45" s="2">
        <v>4.4999999999999998E-2</v>
      </c>
      <c r="D45" s="2">
        <v>-8.8223787771856603</v>
      </c>
      <c r="E45" s="2">
        <v>0.13917397599332201</v>
      </c>
      <c r="F45" s="2">
        <v>9.8569999999999993</v>
      </c>
      <c r="G45" s="2">
        <v>33.102925893011196</v>
      </c>
      <c r="H45" s="2" t="s">
        <v>17</v>
      </c>
      <c r="J45" s="2">
        <v>43</v>
      </c>
      <c r="K45" s="2">
        <v>5.5E-2</v>
      </c>
      <c r="L45" s="2">
        <v>-9.1914193271637501</v>
      </c>
      <c r="M45" s="2">
        <v>6.1675632618559204</v>
      </c>
      <c r="N45" s="2">
        <v>19.798996962576499</v>
      </c>
      <c r="O45" s="2" t="s">
        <v>17</v>
      </c>
      <c r="Q45" s="2">
        <v>10</v>
      </c>
      <c r="R45" s="2">
        <v>0.05</v>
      </c>
      <c r="S45" s="2">
        <v>0.407732536997164</v>
      </c>
      <c r="T45" s="2">
        <v>-6.5951495059167101E-2</v>
      </c>
      <c r="U45" s="2">
        <v>-7.2473506881769803E-2</v>
      </c>
      <c r="V45" s="2">
        <v>-3.3964624182842497E-2</v>
      </c>
      <c r="X45" s="2">
        <f t="shared" ref="X45:AA45" si="38">S46-S45</f>
        <v>4.4443926626700991E-2</v>
      </c>
      <c r="Y45" s="2">
        <f t="shared" si="38"/>
        <v>-6.4349520124124954E-3</v>
      </c>
      <c r="Z45" s="2">
        <f t="shared" si="38"/>
        <v>-8.0802457474403039E-3</v>
      </c>
      <c r="AA45" s="2">
        <f t="shared" si="38"/>
        <v>-3.7937970853697059E-3</v>
      </c>
    </row>
    <row r="46" spans="2:27" ht="14.25" customHeight="1" x14ac:dyDescent="0.3">
      <c r="B46" s="2">
        <v>44</v>
      </c>
      <c r="C46" s="2">
        <v>4.4999999999999998E-2</v>
      </c>
      <c r="D46" s="2">
        <v>-2.5983165887834101</v>
      </c>
      <c r="E46" s="2">
        <v>0.61774671891010102</v>
      </c>
      <c r="F46" s="2">
        <v>7.5659999999999998</v>
      </c>
      <c r="G46" s="2">
        <v>45.398356080239203</v>
      </c>
      <c r="H46" s="2" t="s">
        <v>18</v>
      </c>
      <c r="J46" s="2">
        <v>44</v>
      </c>
      <c r="K46" s="2">
        <v>5.5E-2</v>
      </c>
      <c r="L46" s="2">
        <v>-2.5961275807291999</v>
      </c>
      <c r="M46" s="2">
        <v>5.8215571583262502</v>
      </c>
      <c r="N46" s="2">
        <v>32.601801385884102</v>
      </c>
      <c r="O46" s="2" t="s">
        <v>18</v>
      </c>
      <c r="Q46" s="2">
        <v>11</v>
      </c>
      <c r="R46" s="2">
        <v>5.5E-2</v>
      </c>
      <c r="S46" s="2">
        <v>0.45217646362386499</v>
      </c>
      <c r="T46" s="2">
        <v>-7.2386447071579596E-2</v>
      </c>
      <c r="U46" s="2">
        <v>-8.0553752629210107E-2</v>
      </c>
      <c r="V46" s="2">
        <v>-3.7758421268212203E-2</v>
      </c>
      <c r="X46" s="2">
        <f t="shared" ref="X46:AA46" si="39">S47-S46</f>
        <v>4.494503516567E-2</v>
      </c>
      <c r="Y46" s="2">
        <f t="shared" si="39"/>
        <v>-6.507506569292304E-3</v>
      </c>
      <c r="Z46" s="2">
        <f t="shared" si="39"/>
        <v>-8.1713511121148941E-3</v>
      </c>
      <c r="AA46" s="2">
        <f t="shared" si="39"/>
        <v>-3.8365724263237991E-3</v>
      </c>
    </row>
    <row r="47" spans="2:27" ht="14.25" customHeight="1" x14ac:dyDescent="0.3">
      <c r="B47" s="2">
        <v>45</v>
      </c>
      <c r="C47" s="11">
        <v>4.4999999999999998E-2</v>
      </c>
      <c r="D47" s="2">
        <v>0</v>
      </c>
      <c r="E47" s="2">
        <v>0</v>
      </c>
      <c r="F47" s="2">
        <v>0</v>
      </c>
      <c r="G47" s="2">
        <v>0</v>
      </c>
      <c r="H47" s="11" t="s">
        <v>42</v>
      </c>
      <c r="J47" s="2">
        <v>45</v>
      </c>
      <c r="K47" s="2">
        <v>0.06</v>
      </c>
      <c r="L47" s="2">
        <v>34.501387909018902</v>
      </c>
      <c r="M47" s="15">
        <v>16.150359661999499</v>
      </c>
      <c r="N47" s="2">
        <v>61.8607898859103</v>
      </c>
      <c r="O47" s="5" t="s">
        <v>6</v>
      </c>
      <c r="Q47" s="2">
        <v>12</v>
      </c>
      <c r="R47" s="2">
        <v>0.06</v>
      </c>
      <c r="S47" s="2">
        <v>0.49712149878953499</v>
      </c>
      <c r="T47" s="2">
        <v>-7.88939536408719E-2</v>
      </c>
      <c r="U47" s="2">
        <v>-8.8725103741325001E-2</v>
      </c>
      <c r="V47" s="2">
        <v>-4.1594993694536002E-2</v>
      </c>
      <c r="X47" s="2">
        <f t="shared" ref="X47:AA47" si="40">S48-S47</f>
        <v>4.5454438250842E-2</v>
      </c>
      <c r="Y47" s="2">
        <f t="shared" si="40"/>
        <v>-6.5812620778018943E-3</v>
      </c>
      <c r="Z47" s="2">
        <f t="shared" si="40"/>
        <v>-8.2639644886585983E-3</v>
      </c>
      <c r="AA47" s="2">
        <f t="shared" si="40"/>
        <v>-3.8800558015971015E-3</v>
      </c>
    </row>
    <row r="48" spans="2:27" ht="14.25" customHeight="1" x14ac:dyDescent="0.3">
      <c r="B48" s="2">
        <v>46</v>
      </c>
      <c r="C48" s="5">
        <v>0.05</v>
      </c>
      <c r="D48" s="2">
        <v>32.342191867733298</v>
      </c>
      <c r="E48" s="2">
        <v>3.17401191027805</v>
      </c>
      <c r="F48" s="2">
        <v>10.298999999999999</v>
      </c>
      <c r="G48" s="2">
        <v>89.922731655474294</v>
      </c>
      <c r="H48" s="5" t="s">
        <v>6</v>
      </c>
      <c r="J48" s="2">
        <v>46</v>
      </c>
      <c r="K48" s="2">
        <v>0.06</v>
      </c>
      <c r="L48" s="2">
        <v>-5.1972755015604504</v>
      </c>
      <c r="M48" s="2">
        <v>7.4844593951354197</v>
      </c>
      <c r="N48" s="2">
        <v>30.824732830470701</v>
      </c>
      <c r="O48" s="2" t="s">
        <v>16</v>
      </c>
      <c r="Q48" s="2">
        <v>13</v>
      </c>
      <c r="R48" s="2">
        <v>6.5000000000000002E-2</v>
      </c>
      <c r="S48" s="2">
        <v>0.54257593704037699</v>
      </c>
      <c r="T48" s="2">
        <v>-8.5475215718673794E-2</v>
      </c>
      <c r="U48" s="2">
        <v>-9.6989068229983599E-2</v>
      </c>
      <c r="V48" s="2">
        <v>-4.5475049496133103E-2</v>
      </c>
      <c r="X48" s="2">
        <f t="shared" ref="X48:AA48" si="41">S49-S48</f>
        <v>4.5972315115221041E-2</v>
      </c>
      <c r="Y48" s="2">
        <f t="shared" si="41"/>
        <v>-6.6562444887239003E-3</v>
      </c>
      <c r="Z48" s="2">
        <f t="shared" si="41"/>
        <v>-8.3581184630893979E-3</v>
      </c>
      <c r="AA48" s="2">
        <f t="shared" si="41"/>
        <v>-3.9242625107463944E-3</v>
      </c>
    </row>
    <row r="49" spans="2:27" ht="14.25" customHeight="1" x14ac:dyDescent="0.3">
      <c r="B49" s="2">
        <v>47</v>
      </c>
      <c r="C49" s="2">
        <v>0.05</v>
      </c>
      <c r="D49" s="2">
        <v>-5.2397436559026396</v>
      </c>
      <c r="E49" s="2">
        <v>0.31433130827932898</v>
      </c>
      <c r="F49" s="2">
        <v>10.651</v>
      </c>
      <c r="G49" s="2">
        <v>44.570558258494799</v>
      </c>
      <c r="H49" s="2" t="s">
        <v>16</v>
      </c>
      <c r="J49" s="2">
        <v>47</v>
      </c>
      <c r="K49" s="2">
        <v>0.06</v>
      </c>
      <c r="L49" s="2">
        <v>-9.2939790224893599</v>
      </c>
      <c r="M49" s="2">
        <v>6.1805246774398199</v>
      </c>
      <c r="N49" s="2">
        <v>18.545039317265999</v>
      </c>
      <c r="O49" s="2" t="s">
        <v>17</v>
      </c>
      <c r="Q49" s="2">
        <v>14</v>
      </c>
      <c r="R49" s="2">
        <v>7.0000000000000007E-2</v>
      </c>
      <c r="S49" s="2">
        <v>0.58854825215559803</v>
      </c>
      <c r="T49" s="2">
        <v>-9.2131460207397695E-2</v>
      </c>
      <c r="U49" s="2">
        <v>-0.105347186693073</v>
      </c>
      <c r="V49" s="2">
        <v>-4.9399312006879498E-2</v>
      </c>
    </row>
    <row r="50" spans="2:27" ht="14.25" customHeight="1" x14ac:dyDescent="0.3">
      <c r="B50" s="2">
        <v>48</v>
      </c>
      <c r="C50" s="2">
        <v>0.05</v>
      </c>
      <c r="D50" s="2">
        <v>-9.4034793075669398</v>
      </c>
      <c r="E50" s="2">
        <v>0.17862595212031701</v>
      </c>
      <c r="F50" s="2">
        <v>10.599</v>
      </c>
      <c r="G50" s="2">
        <v>29.573819269444801</v>
      </c>
      <c r="H50" s="2" t="s">
        <v>17</v>
      </c>
      <c r="J50" s="2">
        <v>48</v>
      </c>
      <c r="K50" s="2">
        <v>0.06</v>
      </c>
      <c r="L50" s="2">
        <v>-2.6272151884555801</v>
      </c>
      <c r="M50" s="2">
        <v>5.8500421986296898</v>
      </c>
      <c r="N50" s="2">
        <v>30.489554827438401</v>
      </c>
      <c r="O50" s="2" t="s">
        <v>18</v>
      </c>
    </row>
    <row r="51" spans="2:27" ht="14.25" customHeight="1" x14ac:dyDescent="0.3">
      <c r="B51" s="2">
        <v>49</v>
      </c>
      <c r="C51" s="2">
        <v>0.05</v>
      </c>
      <c r="D51" s="2">
        <v>-2.5275700114364201</v>
      </c>
      <c r="E51" s="2">
        <v>0.122143395612374</v>
      </c>
      <c r="F51" s="2">
        <v>9.9120000000000008</v>
      </c>
      <c r="G51" s="2">
        <v>33.406646019459998</v>
      </c>
      <c r="H51" s="2" t="s">
        <v>18</v>
      </c>
      <c r="J51" s="2">
        <v>49</v>
      </c>
      <c r="K51" s="2">
        <v>6.5000000000000002E-2</v>
      </c>
      <c r="L51" s="2">
        <v>34.846479679433699</v>
      </c>
      <c r="M51" s="15">
        <v>16.651930543890799</v>
      </c>
      <c r="N51" s="2">
        <v>61.753567694735899</v>
      </c>
      <c r="O51" s="5" t="s">
        <v>6</v>
      </c>
      <c r="X51" s="2">
        <v>385</v>
      </c>
      <c r="Y51" s="2">
        <v>400</v>
      </c>
      <c r="Z51" s="2">
        <v>560</v>
      </c>
      <c r="AA51" s="2">
        <v>340</v>
      </c>
    </row>
    <row r="52" spans="2:27" ht="14.25" customHeight="1" x14ac:dyDescent="0.3">
      <c r="B52" s="2">
        <v>50</v>
      </c>
      <c r="C52" s="11">
        <v>0.05</v>
      </c>
      <c r="D52" s="2">
        <v>0</v>
      </c>
      <c r="E52" s="2">
        <v>0</v>
      </c>
      <c r="F52" s="2">
        <v>0</v>
      </c>
      <c r="G52" s="2">
        <v>0</v>
      </c>
      <c r="H52" s="11" t="s">
        <v>42</v>
      </c>
      <c r="J52" s="2">
        <v>50</v>
      </c>
      <c r="K52" s="2">
        <v>6.5000000000000002E-2</v>
      </c>
      <c r="L52" s="2">
        <v>-5.2387733944062296</v>
      </c>
      <c r="M52" s="2">
        <v>7.6931220503200297</v>
      </c>
      <c r="N52" s="2">
        <v>30.944191515670202</v>
      </c>
      <c r="O52" s="2" t="s">
        <v>16</v>
      </c>
    </row>
    <row r="53" spans="2:27" ht="14.25" customHeight="1" x14ac:dyDescent="0.3">
      <c r="B53" s="2">
        <v>51</v>
      </c>
      <c r="C53" s="5">
        <v>5.5E-2</v>
      </c>
      <c r="D53" s="2">
        <v>32.514948628896697</v>
      </c>
      <c r="E53" s="2">
        <v>2.9649758980568799</v>
      </c>
      <c r="F53" s="2">
        <v>11.162000000000001</v>
      </c>
      <c r="G53" s="2">
        <v>88.871904058230001</v>
      </c>
      <c r="H53" s="5" t="s">
        <v>6</v>
      </c>
      <c r="J53" s="2">
        <v>51</v>
      </c>
      <c r="K53" s="2">
        <v>6.5000000000000002E-2</v>
      </c>
      <c r="L53" s="2">
        <v>-9.3741468583399108</v>
      </c>
      <c r="M53" s="2">
        <v>6.3457094629667097</v>
      </c>
      <c r="N53" s="2">
        <v>18.574451897949999</v>
      </c>
      <c r="O53" s="2" t="s">
        <v>17</v>
      </c>
      <c r="X53" s="2">
        <f t="shared" ref="X53:AA53" si="42">AVERAGE(X36:X48)*X51%</f>
        <v>0.1657119180748535</v>
      </c>
      <c r="Y53" s="2">
        <f t="shared" si="42"/>
        <v>-2.49279116437632E-2</v>
      </c>
      <c r="Z53" s="2">
        <f t="shared" si="42"/>
        <v>-4.3822100355791774E-2</v>
      </c>
      <c r="AA53" s="2">
        <f t="shared" si="42"/>
        <v>-1.2492046965134647E-2</v>
      </c>
    </row>
    <row r="54" spans="2:27" ht="14.25" customHeight="1" x14ac:dyDescent="0.3">
      <c r="B54" s="2">
        <v>52</v>
      </c>
      <c r="C54" s="2">
        <v>5.5E-2</v>
      </c>
      <c r="D54" s="2">
        <v>-5.2037181048817303</v>
      </c>
      <c r="E54" s="2">
        <v>0.97057793136168402</v>
      </c>
      <c r="F54" s="2">
        <v>9.6479999999999997</v>
      </c>
      <c r="G54" s="2">
        <v>52.512954258906397</v>
      </c>
      <c r="H54" s="2" t="s">
        <v>16</v>
      </c>
      <c r="J54" s="2">
        <v>52</v>
      </c>
      <c r="K54" s="2">
        <v>6.5000000000000002E-2</v>
      </c>
      <c r="L54" s="2">
        <v>-2.6482247270258199</v>
      </c>
      <c r="M54" s="2">
        <v>6.0124859558690602</v>
      </c>
      <c r="N54" s="2">
        <v>30.6629039770867</v>
      </c>
      <c r="O54" s="2" t="s">
        <v>18</v>
      </c>
      <c r="X54" s="2">
        <f t="shared" ref="X54:AA54" si="43">_xlfn.STDEV.P(X40:X48)</f>
        <v>1.2636236114068884E-3</v>
      </c>
      <c r="Y54" s="2">
        <f t="shared" si="43"/>
        <v>1.8295767089776088E-4</v>
      </c>
      <c r="Z54" s="2">
        <f t="shared" si="43"/>
        <v>2.2973643617003775E-4</v>
      </c>
      <c r="AA54" s="2">
        <f t="shared" si="43"/>
        <v>1.0786471713503005E-4</v>
      </c>
    </row>
    <row r="55" spans="2:27" ht="14.25" customHeight="1" x14ac:dyDescent="0.3">
      <c r="B55" s="2">
        <v>53</v>
      </c>
      <c r="C55" s="2">
        <v>5.5E-2</v>
      </c>
      <c r="D55" s="2">
        <v>-8.8289735851592503</v>
      </c>
      <c r="E55" s="2">
        <v>0.12861259324847801</v>
      </c>
      <c r="F55" s="2">
        <v>10.919</v>
      </c>
      <c r="G55" s="2">
        <v>31.9789578054448</v>
      </c>
      <c r="H55" s="2" t="s">
        <v>17</v>
      </c>
      <c r="J55" s="2">
        <v>53</v>
      </c>
      <c r="K55" s="2">
        <v>7.0000000000000007E-2</v>
      </c>
      <c r="L55" s="2">
        <v>35.056609018701501</v>
      </c>
      <c r="M55" s="15">
        <v>16.5209197887608</v>
      </c>
      <c r="N55" s="2">
        <v>62.167772464320997</v>
      </c>
      <c r="O55" s="5" t="s">
        <v>6</v>
      </c>
    </row>
    <row r="56" spans="2:27" ht="14.25" customHeight="1" x14ac:dyDescent="0.3">
      <c r="B56" s="2">
        <v>54</v>
      </c>
      <c r="C56" s="2">
        <v>5.5E-2</v>
      </c>
      <c r="D56" s="2">
        <v>-2.6373856547021202</v>
      </c>
      <c r="E56" s="2">
        <v>0.57206848022699897</v>
      </c>
      <c r="F56" s="2">
        <v>8.5589999999999993</v>
      </c>
      <c r="G56" s="2">
        <v>45.701433711575</v>
      </c>
      <c r="H56" s="2" t="s">
        <v>18</v>
      </c>
      <c r="J56" s="2">
        <v>54</v>
      </c>
      <c r="K56" s="2">
        <v>7.0000000000000007E-2</v>
      </c>
      <c r="L56" s="2">
        <v>-5.2616417782998202</v>
      </c>
      <c r="M56" s="2">
        <v>7.5762339045812599</v>
      </c>
      <c r="N56" s="2">
        <v>31.3449800801449</v>
      </c>
      <c r="O56" s="2" t="s">
        <v>16</v>
      </c>
    </row>
    <row r="57" spans="2:27" ht="14.25" customHeight="1" x14ac:dyDescent="0.3">
      <c r="B57" s="2">
        <v>55</v>
      </c>
      <c r="C57" s="11">
        <v>5.5E-2</v>
      </c>
      <c r="D57" s="2">
        <v>0</v>
      </c>
      <c r="E57" s="2">
        <v>0</v>
      </c>
      <c r="F57" s="2">
        <v>0</v>
      </c>
      <c r="G57" s="2">
        <v>0</v>
      </c>
      <c r="H57" s="11" t="s">
        <v>42</v>
      </c>
      <c r="J57" s="2">
        <v>55</v>
      </c>
      <c r="K57" s="2">
        <v>7.0000000000000007E-2</v>
      </c>
      <c r="L57" s="2">
        <v>-9.4507959594085502</v>
      </c>
      <c r="M57" s="2">
        <v>6.1595451716523897</v>
      </c>
      <c r="N57" s="2">
        <v>18.121911376687699</v>
      </c>
      <c r="O57" s="2" t="s">
        <v>17</v>
      </c>
    </row>
    <row r="58" spans="2:27" ht="14.25" customHeight="1" x14ac:dyDescent="0.3">
      <c r="B58" s="2">
        <v>56</v>
      </c>
      <c r="C58" s="5">
        <v>0.06</v>
      </c>
      <c r="D58" s="2">
        <v>32.704652765275803</v>
      </c>
      <c r="E58" s="2">
        <v>3.2012797222875302</v>
      </c>
      <c r="F58" s="2">
        <v>11.222</v>
      </c>
      <c r="G58" s="2">
        <v>89.818041027880597</v>
      </c>
      <c r="H58" s="5" t="s">
        <v>6</v>
      </c>
      <c r="J58" s="2">
        <v>56</v>
      </c>
      <c r="K58" s="2">
        <v>7.0000000000000007E-2</v>
      </c>
      <c r="L58" s="2">
        <v>-2.6633332447384701</v>
      </c>
      <c r="M58" s="2">
        <v>5.8438210535547501</v>
      </c>
      <c r="N58" s="2">
        <v>30.8506471480793</v>
      </c>
      <c r="O58" s="2" t="s">
        <v>18</v>
      </c>
    </row>
    <row r="59" spans="2:27" ht="14.25" customHeight="1" x14ac:dyDescent="0.3">
      <c r="B59" s="2">
        <v>57</v>
      </c>
      <c r="C59" s="2">
        <v>0.06</v>
      </c>
      <c r="D59" s="2">
        <v>-5.2787971721836602</v>
      </c>
      <c r="E59" s="2">
        <v>1.4958625445969</v>
      </c>
      <c r="F59" s="2">
        <v>8.8610000000000007</v>
      </c>
      <c r="G59" s="2">
        <v>46.641632265909102</v>
      </c>
      <c r="H59" s="2" t="s">
        <v>16</v>
      </c>
    </row>
    <row r="60" spans="2:27" ht="14.25" customHeight="1" x14ac:dyDescent="0.3">
      <c r="B60" s="2">
        <v>58</v>
      </c>
      <c r="C60" s="2">
        <v>0.06</v>
      </c>
      <c r="D60" s="2">
        <v>-9.6327318305124106</v>
      </c>
      <c r="E60" s="2">
        <v>0.42713099347598399</v>
      </c>
      <c r="F60" s="2">
        <v>9.8119999999999994</v>
      </c>
      <c r="G60" s="2">
        <v>33.845053751273497</v>
      </c>
      <c r="H60" s="2" t="s">
        <v>17</v>
      </c>
      <c r="L60" s="2">
        <f t="shared" ref="L60:N60" si="44">AVERAGE(L43,L39,L35,L31,L27,L23,L19,L15,L11,L7,L3,L47,L51,L55)</f>
        <v>33.222769863058346</v>
      </c>
      <c r="M60" s="18">
        <f t="shared" si="44"/>
        <v>12.649986090106163</v>
      </c>
      <c r="N60" s="2">
        <f t="shared" si="44"/>
        <v>63.668947807481196</v>
      </c>
    </row>
    <row r="61" spans="2:27" ht="14.25" customHeight="1" x14ac:dyDescent="0.3">
      <c r="B61" s="2">
        <v>59</v>
      </c>
      <c r="C61" s="2">
        <v>0.06</v>
      </c>
      <c r="D61" s="2">
        <v>-2.6498599050518701</v>
      </c>
      <c r="E61" s="2">
        <v>0.118607388045555</v>
      </c>
      <c r="F61" s="2">
        <v>10.935</v>
      </c>
      <c r="G61" s="2">
        <v>33.883965946259799</v>
      </c>
      <c r="H61" s="2" t="s">
        <v>18</v>
      </c>
      <c r="L61" s="2">
        <f t="shared" ref="L61:N61" si="45">AVERAGE(L44,L40,L36,L32,L28,L24,L20,L16,L12,L8,L4,L48,L52,L56)</f>
        <v>-5.0215445263397882</v>
      </c>
      <c r="M61" s="2">
        <f t="shared" si="45"/>
        <v>6.0059003990448065</v>
      </c>
      <c r="N61" s="2">
        <f t="shared" si="45"/>
        <v>35.180822838708806</v>
      </c>
    </row>
    <row r="62" spans="2:27" ht="14.25" customHeight="1" x14ac:dyDescent="0.3">
      <c r="B62" s="2">
        <v>60</v>
      </c>
      <c r="C62" s="11">
        <v>0.06</v>
      </c>
      <c r="D62" s="2">
        <v>0</v>
      </c>
      <c r="E62" s="2">
        <v>0</v>
      </c>
      <c r="F62" s="2">
        <v>0</v>
      </c>
      <c r="G62" s="2">
        <v>0</v>
      </c>
      <c r="H62" s="11" t="s">
        <v>42</v>
      </c>
      <c r="L62" s="2">
        <f t="shared" ref="L62:N62" si="46">AVERAGE(L45,L41,L37,L33,L29,L25,L21,L17,L13,L9,L5,L49,L53,L57)</f>
        <v>-8.9542301870152041</v>
      </c>
      <c r="M62" s="2">
        <f t="shared" si="46"/>
        <v>4.9589186435385573</v>
      </c>
      <c r="N62" s="2">
        <f t="shared" si="46"/>
        <v>22.780035833893415</v>
      </c>
    </row>
    <row r="63" spans="2:27" ht="14.25" customHeight="1" x14ac:dyDescent="0.3">
      <c r="B63" s="2">
        <v>61</v>
      </c>
      <c r="C63" s="5">
        <v>6.5000000000000002E-2</v>
      </c>
      <c r="D63" s="2">
        <v>32.906455885134598</v>
      </c>
      <c r="E63" s="2">
        <v>3.4008838474806402</v>
      </c>
      <c r="F63" s="2">
        <v>11.3</v>
      </c>
      <c r="G63" s="2">
        <v>90.178634813025496</v>
      </c>
      <c r="H63" s="5" t="s">
        <v>6</v>
      </c>
      <c r="L63" s="2">
        <f t="shared" ref="L63:N63" si="47">AVERAGE(L46,L42,L38,L34,L30,L26,L22,L18,L14,L10,L6,L50,L54,L58)</f>
        <v>-2.5361276472140486</v>
      </c>
      <c r="M63" s="2">
        <f t="shared" si="47"/>
        <v>4.6544945748691031</v>
      </c>
      <c r="N63" s="2">
        <f t="shared" si="47"/>
        <v>34.193442480300341</v>
      </c>
    </row>
    <row r="64" spans="2:27" ht="14.25" customHeight="1" x14ac:dyDescent="0.3">
      <c r="B64" s="2">
        <v>62</v>
      </c>
      <c r="C64" s="2">
        <v>6.5000000000000002E-2</v>
      </c>
      <c r="D64" s="2">
        <v>-5.3488545067542903</v>
      </c>
      <c r="E64" s="2">
        <v>0.394066942365013</v>
      </c>
      <c r="F64" s="2">
        <v>11.599</v>
      </c>
      <c r="G64" s="2">
        <v>46.310997483620604</v>
      </c>
      <c r="H64" s="2" t="s">
        <v>16</v>
      </c>
      <c r="L64" s="2">
        <f t="shared" ref="L64:N64" si="48">AVERAGE(L47,L43,L39,L35,L31,L27,L23,L19,L15,L11,L7,L51,L55,L59)</f>
        <v>33.382819826782786</v>
      </c>
      <c r="M64" s="18">
        <f t="shared" si="48"/>
        <v>13.18121928635807</v>
      </c>
      <c r="N64" s="2">
        <f t="shared" si="48"/>
        <v>63.22046762597914</v>
      </c>
    </row>
    <row r="65" spans="2:8" ht="14.25" customHeight="1" x14ac:dyDescent="0.3">
      <c r="B65" s="2">
        <v>63</v>
      </c>
      <c r="C65" s="2">
        <v>6.5000000000000002E-2</v>
      </c>
      <c r="D65" s="2">
        <v>-9.4715797888899207</v>
      </c>
      <c r="E65" s="2">
        <v>0.15216925582768301</v>
      </c>
      <c r="F65" s="2">
        <v>11.858000000000001</v>
      </c>
      <c r="G65" s="2">
        <v>29.844635017601799</v>
      </c>
      <c r="H65" s="2" t="s">
        <v>17</v>
      </c>
    </row>
    <row r="66" spans="2:8" ht="14.25" customHeight="1" x14ac:dyDescent="0.3">
      <c r="B66" s="2">
        <v>64</v>
      </c>
      <c r="C66" s="2">
        <v>6.5000000000000002E-2</v>
      </c>
      <c r="D66" s="2">
        <v>-2.6940539164267201</v>
      </c>
      <c r="E66" s="2">
        <v>0.79194556497673396</v>
      </c>
      <c r="F66" s="2">
        <v>8.5239999999999991</v>
      </c>
      <c r="G66" s="2">
        <v>43.939224915554803</v>
      </c>
      <c r="H66" s="2" t="s">
        <v>18</v>
      </c>
    </row>
    <row r="67" spans="2:8" ht="14.25" customHeight="1" x14ac:dyDescent="0.3">
      <c r="B67" s="2">
        <v>65</v>
      </c>
      <c r="C67" s="11">
        <v>6.5000000000000002E-2</v>
      </c>
      <c r="D67" s="2">
        <v>0</v>
      </c>
      <c r="E67" s="2">
        <v>0</v>
      </c>
      <c r="F67" s="2">
        <v>0</v>
      </c>
      <c r="G67" s="2">
        <v>0</v>
      </c>
      <c r="H67" s="11" t="s">
        <v>42</v>
      </c>
    </row>
    <row r="68" spans="2:8" ht="14.25" customHeight="1" x14ac:dyDescent="0.3">
      <c r="B68" s="2">
        <v>66</v>
      </c>
      <c r="C68" s="5">
        <v>7.0000000000000007E-2</v>
      </c>
      <c r="D68" s="2">
        <v>33.089479163799403</v>
      </c>
      <c r="E68" s="2">
        <v>3.3700314296896599</v>
      </c>
      <c r="F68" s="2">
        <v>11.246</v>
      </c>
      <c r="G68" s="2">
        <v>89.819670714991304</v>
      </c>
      <c r="H68" s="5" t="s">
        <v>6</v>
      </c>
    </row>
    <row r="69" spans="2:8" ht="14.25" customHeight="1" x14ac:dyDescent="0.3">
      <c r="B69" s="2">
        <v>67</v>
      </c>
      <c r="C69" s="2">
        <v>7.0000000000000007E-2</v>
      </c>
      <c r="D69" s="2">
        <v>-5.3641639863900803</v>
      </c>
      <c r="E69" s="2">
        <v>0.75314563971521398</v>
      </c>
      <c r="F69" s="2">
        <v>10.592000000000001</v>
      </c>
      <c r="G69" s="2">
        <v>47.449255604202101</v>
      </c>
      <c r="H69" s="2" t="s">
        <v>16</v>
      </c>
    </row>
    <row r="70" spans="2:8" ht="14.25" customHeight="1" x14ac:dyDescent="0.3">
      <c r="B70" s="2">
        <v>68</v>
      </c>
      <c r="C70" s="2">
        <v>7.0000000000000007E-2</v>
      </c>
      <c r="D70" s="2">
        <v>-9.2830654707149307</v>
      </c>
      <c r="E70" s="2">
        <v>0.155420869030023</v>
      </c>
      <c r="F70" s="2">
        <v>11.507</v>
      </c>
      <c r="G70" s="2">
        <v>28.8058649521071</v>
      </c>
      <c r="H70" s="2" t="s">
        <v>17</v>
      </c>
    </row>
    <row r="71" spans="2:8" ht="14.25" customHeight="1" x14ac:dyDescent="0.3">
      <c r="B71" s="2">
        <v>69</v>
      </c>
      <c r="C71" s="2">
        <v>7.0000000000000007E-2</v>
      </c>
      <c r="D71" s="2">
        <v>-2.7076083812733001</v>
      </c>
      <c r="E71" s="2">
        <v>0.73651737456518196</v>
      </c>
      <c r="F71" s="2">
        <v>8.3940000000000001</v>
      </c>
      <c r="G71" s="2">
        <v>43.2826468424391</v>
      </c>
      <c r="H71" s="2" t="s">
        <v>18</v>
      </c>
    </row>
    <row r="72" spans="2:8" ht="14.25" customHeight="1" x14ac:dyDescent="0.3">
      <c r="B72" s="2">
        <v>70</v>
      </c>
      <c r="C72" s="11">
        <v>7.0000000000000007E-2</v>
      </c>
      <c r="D72" s="2">
        <v>0</v>
      </c>
      <c r="E72" s="2">
        <v>0</v>
      </c>
      <c r="F72" s="2">
        <v>0</v>
      </c>
      <c r="G72" s="2">
        <v>0</v>
      </c>
      <c r="H72" s="11" t="s">
        <v>42</v>
      </c>
    </row>
    <row r="73" spans="2:8" ht="14.25" customHeight="1" x14ac:dyDescent="0.3"/>
    <row r="74" spans="2:8" ht="14.25" customHeight="1" x14ac:dyDescent="0.3"/>
    <row r="75" spans="2:8" ht="14.25" customHeight="1" x14ac:dyDescent="0.3">
      <c r="D75" s="2">
        <f t="shared" ref="D75:G75" si="49">AVERAGE(D68,D63,D58,D53,D48,D43,D38,D33,D28,D23,D18,D13,D8,D3)</f>
        <v>31.874878166089502</v>
      </c>
      <c r="E75" s="2">
        <f t="shared" si="49"/>
        <v>2.4911809252808217</v>
      </c>
      <c r="F75" s="2">
        <f t="shared" si="49"/>
        <v>9.096285714285715</v>
      </c>
      <c r="G75" s="2">
        <f t="shared" si="49"/>
        <v>89.321536410957805</v>
      </c>
    </row>
    <row r="76" spans="2:8" ht="14.25" customHeight="1" x14ac:dyDescent="0.3">
      <c r="D76" s="2">
        <f t="shared" ref="D76:G76" si="50">AVERAGE(D69,D64,D59,D54,D49,D44,D39,D34,D29,D24,D19,D14,D9,D4)</f>
        <v>-5.0806014637263974</v>
      </c>
      <c r="E76" s="2">
        <f t="shared" si="50"/>
        <v>0.6250340764879766</v>
      </c>
      <c r="F76" s="2">
        <f t="shared" si="50"/>
        <v>8.2576428571428568</v>
      </c>
      <c r="G76" s="2">
        <f t="shared" si="50"/>
        <v>50.586981446238269</v>
      </c>
    </row>
    <row r="77" spans="2:8" ht="14.25" customHeight="1" x14ac:dyDescent="0.3">
      <c r="D77" s="2">
        <f t="shared" ref="D77:G77" si="51">AVERAGE(D70,D65,D60,D55,D50,D45,D40,D35,D30,D25,D20,D15,D10,D5)</f>
        <v>-8.9185022321132301</v>
      </c>
      <c r="E77" s="2">
        <f t="shared" si="51"/>
        <v>0.14693677875150518</v>
      </c>
      <c r="F77" s="2">
        <f t="shared" si="51"/>
        <v>8.7697857142857156</v>
      </c>
      <c r="G77" s="2">
        <f t="shared" si="51"/>
        <v>34.750737623947138</v>
      </c>
    </row>
    <row r="78" spans="2:8" ht="14.25" customHeight="1" x14ac:dyDescent="0.3">
      <c r="D78" s="2">
        <f t="shared" ref="D78:G78" si="52">AVERAGE(D71,D66,D61,D56,D51,D46,D41,D36,D31,D26,D21,D16,D11,D6)</f>
        <v>-2.5580957288546551</v>
      </c>
      <c r="E78" s="2">
        <f t="shared" si="52"/>
        <v>0.6514557486715461</v>
      </c>
      <c r="F78" s="2">
        <f t="shared" si="52"/>
        <v>6.7335000000000003</v>
      </c>
      <c r="G78" s="2">
        <f t="shared" si="52"/>
        <v>44.949659473716352</v>
      </c>
    </row>
    <row r="79" spans="2:8" ht="14.25" customHeight="1" x14ac:dyDescent="0.3">
      <c r="D79" s="2">
        <f t="shared" ref="D79:G79" si="53">AVERAGE(D72,D67,D62,D57,D52,D47,D42,D37,D32,D27,D22,D17,D12,D7)</f>
        <v>0</v>
      </c>
      <c r="E79" s="2">
        <f t="shared" si="53"/>
        <v>0</v>
      </c>
      <c r="F79" s="2">
        <f t="shared" si="53"/>
        <v>0</v>
      </c>
      <c r="G79" s="2">
        <f t="shared" si="53"/>
        <v>0</v>
      </c>
    </row>
    <row r="80" spans="2:8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B1:H1"/>
    <mergeCell ref="J1:O1"/>
    <mergeCell ref="Q1:V1"/>
  </mergeCells>
  <conditionalFormatting sqref="G3:G74 G80:G100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57:G100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59 N65:N1000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BDD6EE"/>
  </sheetPr>
  <dimension ref="A1:AA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6.6640625" customWidth="1"/>
    <col min="3" max="8" width="8.6640625" customWidth="1"/>
    <col min="9" max="9" width="4.88671875" customWidth="1"/>
    <col min="10" max="10" width="6.33203125" customWidth="1"/>
    <col min="11" max="15" width="8.6640625" customWidth="1"/>
    <col min="16" max="16" width="5.109375" customWidth="1"/>
    <col min="17" max="27" width="8.6640625" customWidth="1"/>
  </cols>
  <sheetData>
    <row r="1" spans="1:27" ht="14.25" customHeight="1" x14ac:dyDescent="0.3">
      <c r="A1" s="2" t="s">
        <v>28</v>
      </c>
      <c r="B1" s="52" t="s">
        <v>20</v>
      </c>
      <c r="C1" s="53"/>
      <c r="D1" s="53"/>
      <c r="E1" s="53"/>
      <c r="F1" s="53"/>
      <c r="G1" s="53"/>
      <c r="H1" s="53"/>
      <c r="J1" s="52" t="s">
        <v>21</v>
      </c>
      <c r="K1" s="53"/>
      <c r="L1" s="53"/>
      <c r="M1" s="53"/>
      <c r="N1" s="53"/>
      <c r="O1" s="53"/>
      <c r="Q1" s="52" t="s">
        <v>22</v>
      </c>
      <c r="R1" s="53"/>
      <c r="S1" s="53"/>
      <c r="T1" s="53"/>
      <c r="U1" s="53"/>
      <c r="V1" s="53"/>
    </row>
    <row r="2" spans="1:27" ht="14.25" customHeight="1" x14ac:dyDescent="0.3">
      <c r="B2" s="2" t="s">
        <v>23</v>
      </c>
      <c r="C2" s="2" t="s">
        <v>24</v>
      </c>
      <c r="D2" s="2" t="s">
        <v>11</v>
      </c>
      <c r="E2" s="2" t="s">
        <v>12</v>
      </c>
      <c r="F2" s="2" t="s">
        <v>13</v>
      </c>
      <c r="G2" s="2" t="s">
        <v>25</v>
      </c>
      <c r="H2" s="2" t="s">
        <v>26</v>
      </c>
      <c r="J2" s="2" t="s">
        <v>23</v>
      </c>
      <c r="K2" s="2" t="s">
        <v>24</v>
      </c>
      <c r="L2" s="2" t="s">
        <v>11</v>
      </c>
      <c r="M2" s="2" t="s">
        <v>12</v>
      </c>
      <c r="N2" s="2" t="s">
        <v>25</v>
      </c>
      <c r="O2" s="2" t="s">
        <v>26</v>
      </c>
      <c r="Q2" s="2" t="s">
        <v>23</v>
      </c>
      <c r="R2" s="2" t="s">
        <v>24</v>
      </c>
      <c r="S2" s="2" t="s">
        <v>6</v>
      </c>
      <c r="T2" s="2" t="s">
        <v>16</v>
      </c>
      <c r="U2" s="2" t="s">
        <v>17</v>
      </c>
      <c r="V2" s="2" t="s">
        <v>18</v>
      </c>
    </row>
    <row r="3" spans="1:27" ht="14.25" customHeight="1" x14ac:dyDescent="0.3">
      <c r="B3" s="2">
        <v>1</v>
      </c>
      <c r="C3" s="5">
        <v>5.0000000000000001E-3</v>
      </c>
      <c r="D3" s="2">
        <v>0</v>
      </c>
      <c r="E3" s="2">
        <v>0</v>
      </c>
      <c r="F3" s="2">
        <v>0</v>
      </c>
      <c r="G3" s="2">
        <v>0</v>
      </c>
      <c r="H3" s="5" t="s">
        <v>6</v>
      </c>
      <c r="J3" s="2">
        <v>1</v>
      </c>
      <c r="K3" s="2">
        <v>5.0000000000000001E-3</v>
      </c>
      <c r="L3" s="2">
        <v>0</v>
      </c>
      <c r="M3" s="15">
        <v>0</v>
      </c>
      <c r="N3" s="2">
        <v>0</v>
      </c>
      <c r="O3" s="5" t="s">
        <v>6</v>
      </c>
      <c r="Q3" s="2">
        <v>1</v>
      </c>
      <c r="R3" s="2">
        <v>2.5000000000000001E-3</v>
      </c>
      <c r="S3" s="16"/>
      <c r="T3" s="17"/>
      <c r="U3" s="15"/>
      <c r="V3" s="15"/>
      <c r="X3" s="2">
        <f t="shared" ref="X3:AA3" si="0">S4-S3</f>
        <v>0</v>
      </c>
      <c r="Y3" s="2">
        <f t="shared" si="0"/>
        <v>0</v>
      </c>
      <c r="Z3" s="18">
        <f t="shared" si="0"/>
        <v>0</v>
      </c>
      <c r="AA3" s="18">
        <f t="shared" si="0"/>
        <v>0</v>
      </c>
    </row>
    <row r="4" spans="1:27" ht="14.25" customHeight="1" x14ac:dyDescent="0.3">
      <c r="B4" s="2">
        <v>2</v>
      </c>
      <c r="C4" s="2">
        <v>5.0000000000000001E-3</v>
      </c>
      <c r="D4" s="2">
        <v>18.337028811408299</v>
      </c>
      <c r="E4" s="2">
        <v>1.6373259268323801</v>
      </c>
      <c r="F4" s="2">
        <v>1.5189999999999999</v>
      </c>
      <c r="G4" s="2">
        <v>93.728079285154294</v>
      </c>
      <c r="H4" s="2" t="s">
        <v>16</v>
      </c>
      <c r="J4" s="2">
        <v>2</v>
      </c>
      <c r="K4" s="2">
        <v>5.0000000000000001E-3</v>
      </c>
      <c r="L4" s="2">
        <v>18.465498590627799</v>
      </c>
      <c r="M4" s="2">
        <v>3.3110716103116302</v>
      </c>
      <c r="N4" s="2">
        <v>78.848988131198297</v>
      </c>
      <c r="O4" s="2" t="s">
        <v>16</v>
      </c>
      <c r="Q4" s="2">
        <v>2</v>
      </c>
      <c r="R4" s="2">
        <v>5.0000000000000001E-3</v>
      </c>
      <c r="U4" s="15"/>
      <c r="V4" s="15"/>
      <c r="X4" s="2">
        <f t="shared" ref="X4:AA4" si="1">S5-S4</f>
        <v>0</v>
      </c>
      <c r="Y4" s="2">
        <f t="shared" si="1"/>
        <v>0</v>
      </c>
      <c r="Z4" s="18">
        <f t="shared" si="1"/>
        <v>0</v>
      </c>
      <c r="AA4" s="18">
        <f t="shared" si="1"/>
        <v>0</v>
      </c>
    </row>
    <row r="5" spans="1:27" ht="14.25" customHeight="1" x14ac:dyDescent="0.3">
      <c r="B5" s="2">
        <v>3</v>
      </c>
      <c r="C5" s="2">
        <v>5.0000000000000001E-3</v>
      </c>
      <c r="D5" s="2">
        <v>-30.934810146566999</v>
      </c>
      <c r="E5" s="2">
        <v>3.0717194662057E-3</v>
      </c>
      <c r="F5" s="2">
        <v>0</v>
      </c>
      <c r="G5" s="2">
        <v>-12.347883450005099</v>
      </c>
      <c r="H5" s="2" t="s">
        <v>17</v>
      </c>
      <c r="J5" s="2">
        <v>3</v>
      </c>
      <c r="K5" s="2">
        <v>5.0000000000000001E-3</v>
      </c>
      <c r="L5" s="2">
        <v>-30.934810146563901</v>
      </c>
      <c r="M5" s="15">
        <v>2.1093098001733199E-8</v>
      </c>
      <c r="N5" s="2">
        <v>-12.347883450005099</v>
      </c>
      <c r="O5" s="2" t="s">
        <v>17</v>
      </c>
      <c r="Q5" s="2">
        <v>3</v>
      </c>
      <c r="R5" s="2">
        <v>7.4999999999999997E-3</v>
      </c>
      <c r="U5" s="15"/>
      <c r="V5" s="15"/>
      <c r="X5" s="2">
        <f t="shared" ref="X5:AA5" si="2">S6-S5</f>
        <v>0</v>
      </c>
      <c r="Y5" s="2">
        <f t="shared" si="2"/>
        <v>0</v>
      </c>
      <c r="Z5" s="18">
        <f t="shared" si="2"/>
        <v>0</v>
      </c>
      <c r="AA5" s="18">
        <f t="shared" si="2"/>
        <v>0</v>
      </c>
    </row>
    <row r="6" spans="1:27" ht="14.25" customHeight="1" x14ac:dyDescent="0.3">
      <c r="B6" s="2">
        <v>4</v>
      </c>
      <c r="C6" s="2">
        <v>5.0000000000000001E-3</v>
      </c>
      <c r="D6" s="2">
        <v>9.1888979146350493</v>
      </c>
      <c r="E6" s="2">
        <v>1.34424594535518</v>
      </c>
      <c r="F6" s="2">
        <v>1.506</v>
      </c>
      <c r="G6" s="2">
        <v>95.115975954119307</v>
      </c>
      <c r="H6" s="2" t="s">
        <v>18</v>
      </c>
      <c r="J6" s="2">
        <v>4</v>
      </c>
      <c r="K6" s="2">
        <v>5.0000000000000001E-3</v>
      </c>
      <c r="L6" s="2">
        <v>9.2493726287118303</v>
      </c>
      <c r="M6" s="2">
        <v>2.9852007768770599</v>
      </c>
      <c r="N6" s="2">
        <v>78.112234142450305</v>
      </c>
      <c r="O6" s="2" t="s">
        <v>18</v>
      </c>
      <c r="Q6" s="2">
        <v>4</v>
      </c>
      <c r="R6" s="2">
        <v>0.01</v>
      </c>
      <c r="U6" s="15"/>
      <c r="V6" s="15"/>
      <c r="X6" s="2">
        <f t="shared" ref="X6:AA6" si="3">S7-S6</f>
        <v>0</v>
      </c>
      <c r="Y6" s="2">
        <f t="shared" si="3"/>
        <v>0</v>
      </c>
      <c r="Z6" s="18">
        <f t="shared" si="3"/>
        <v>0</v>
      </c>
      <c r="AA6" s="18">
        <f t="shared" si="3"/>
        <v>0</v>
      </c>
    </row>
    <row r="7" spans="1:27" ht="14.25" customHeight="1" x14ac:dyDescent="0.3">
      <c r="B7" s="2">
        <v>5</v>
      </c>
      <c r="C7" s="11">
        <v>5.0000000000000001E-3</v>
      </c>
      <c r="D7" s="2">
        <v>113.79733383671901</v>
      </c>
      <c r="E7" s="2">
        <v>0.48419945368646</v>
      </c>
      <c r="F7" s="2">
        <v>1.31</v>
      </c>
      <c r="G7" s="2">
        <v>99.324793402416304</v>
      </c>
      <c r="H7" s="11" t="s">
        <v>44</v>
      </c>
      <c r="J7" s="2">
        <v>5</v>
      </c>
      <c r="K7" s="2">
        <v>0.01</v>
      </c>
      <c r="L7" s="2">
        <v>0</v>
      </c>
      <c r="M7" s="15">
        <v>0</v>
      </c>
      <c r="N7" s="2">
        <v>0</v>
      </c>
      <c r="O7" s="5" t="s">
        <v>6</v>
      </c>
      <c r="Q7" s="2">
        <v>5</v>
      </c>
      <c r="R7" s="2">
        <v>1.2500000000000001E-2</v>
      </c>
      <c r="U7" s="15"/>
      <c r="V7" s="15"/>
      <c r="X7" s="2">
        <f t="shared" ref="X7:AA7" si="4">S8-S7</f>
        <v>0</v>
      </c>
      <c r="Y7" s="2">
        <f t="shared" si="4"/>
        <v>0</v>
      </c>
      <c r="Z7" s="18">
        <f t="shared" si="4"/>
        <v>0</v>
      </c>
      <c r="AA7" s="18">
        <f t="shared" si="4"/>
        <v>0</v>
      </c>
    </row>
    <row r="8" spans="1:27" ht="14.25" customHeight="1" x14ac:dyDescent="0.3">
      <c r="B8" s="2">
        <v>6</v>
      </c>
      <c r="C8" s="5">
        <v>0.01</v>
      </c>
      <c r="D8" s="2">
        <v>0</v>
      </c>
      <c r="E8" s="2">
        <v>0</v>
      </c>
      <c r="F8" s="2">
        <v>0</v>
      </c>
      <c r="G8" s="2">
        <v>0</v>
      </c>
      <c r="H8" s="5" t="s">
        <v>6</v>
      </c>
      <c r="J8" s="2">
        <v>6</v>
      </c>
      <c r="K8" s="2">
        <v>0.01</v>
      </c>
      <c r="L8" s="2">
        <v>18.574950956207001</v>
      </c>
      <c r="M8" s="2">
        <v>3.6434951508864999</v>
      </c>
      <c r="N8" s="2">
        <v>78.310124895813104</v>
      </c>
      <c r="O8" s="2" t="s">
        <v>16</v>
      </c>
      <c r="Q8" s="2">
        <v>6</v>
      </c>
      <c r="R8" s="2">
        <v>1.4999999999999999E-2</v>
      </c>
      <c r="U8" s="15"/>
      <c r="V8" s="15"/>
      <c r="X8" s="2">
        <f t="shared" ref="X8:AA8" si="5">S9-S8</f>
        <v>0</v>
      </c>
      <c r="Y8" s="2">
        <f t="shared" si="5"/>
        <v>0</v>
      </c>
      <c r="Z8" s="18">
        <f t="shared" si="5"/>
        <v>0</v>
      </c>
      <c r="AA8" s="18">
        <f t="shared" si="5"/>
        <v>0</v>
      </c>
    </row>
    <row r="9" spans="1:27" ht="14.25" customHeight="1" x14ac:dyDescent="0.3">
      <c r="B9" s="2">
        <v>7</v>
      </c>
      <c r="C9" s="2">
        <v>0.01</v>
      </c>
      <c r="D9" s="2">
        <v>18.440148866566499</v>
      </c>
      <c r="E9" s="2">
        <v>1.8400756511957099</v>
      </c>
      <c r="F9" s="2">
        <v>1.6459999999999999</v>
      </c>
      <c r="G9" s="2">
        <v>94.386891193740098</v>
      </c>
      <c r="H9" s="2" t="s">
        <v>16</v>
      </c>
      <c r="J9" s="2">
        <v>7</v>
      </c>
      <c r="K9" s="2">
        <v>0.01</v>
      </c>
      <c r="L9" s="2">
        <v>-31.295097226626002</v>
      </c>
      <c r="M9" s="15">
        <v>3.1450193070581901E-10</v>
      </c>
      <c r="N9" s="2">
        <v>-12.306552670082</v>
      </c>
      <c r="O9" s="2" t="s">
        <v>17</v>
      </c>
      <c r="Q9" s="2">
        <v>7</v>
      </c>
      <c r="R9" s="2">
        <v>1.7500000000000002E-2</v>
      </c>
      <c r="U9" s="15"/>
      <c r="V9" s="15"/>
      <c r="X9" s="2">
        <f t="shared" ref="X9:AA9" si="6">S10-S9</f>
        <v>0</v>
      </c>
      <c r="Y9" s="2">
        <f t="shared" si="6"/>
        <v>0</v>
      </c>
      <c r="Z9" s="18">
        <f t="shared" si="6"/>
        <v>0</v>
      </c>
      <c r="AA9" s="18">
        <f t="shared" si="6"/>
        <v>0</v>
      </c>
    </row>
    <row r="10" spans="1:27" ht="14.25" customHeight="1" x14ac:dyDescent="0.3">
      <c r="B10" s="2">
        <v>8</v>
      </c>
      <c r="C10" s="2">
        <v>0.01</v>
      </c>
      <c r="D10" s="2">
        <v>-28.867963355057299</v>
      </c>
      <c r="E10" s="2">
        <v>0.17255326821620301</v>
      </c>
      <c r="F10" s="2">
        <v>0.33100000000000002</v>
      </c>
      <c r="G10" s="2">
        <v>-13.169229861785199</v>
      </c>
      <c r="H10" s="2" t="s">
        <v>17</v>
      </c>
      <c r="J10" s="2">
        <v>8</v>
      </c>
      <c r="K10" s="2">
        <v>0.01</v>
      </c>
      <c r="L10" s="2">
        <v>9.3026530261761202</v>
      </c>
      <c r="M10" s="2">
        <v>3.2910851665234202</v>
      </c>
      <c r="N10" s="2">
        <v>78.0597947098953</v>
      </c>
      <c r="O10" s="2" t="s">
        <v>18</v>
      </c>
      <c r="Q10" s="2">
        <v>8</v>
      </c>
      <c r="R10" s="2">
        <v>0.02</v>
      </c>
      <c r="U10" s="15"/>
      <c r="V10" s="15"/>
      <c r="X10" s="2">
        <f t="shared" ref="X10:AA10" si="7">S11-S10</f>
        <v>0</v>
      </c>
      <c r="Y10" s="2">
        <f t="shared" si="7"/>
        <v>0</v>
      </c>
      <c r="Z10" s="18">
        <f t="shared" si="7"/>
        <v>0</v>
      </c>
      <c r="AA10" s="18">
        <f t="shared" si="7"/>
        <v>0</v>
      </c>
    </row>
    <row r="11" spans="1:27" ht="14.25" customHeight="1" x14ac:dyDescent="0.3">
      <c r="B11" s="2">
        <v>9</v>
      </c>
      <c r="C11" s="2">
        <v>0.01</v>
      </c>
      <c r="D11" s="2">
        <v>9.2407045447009502</v>
      </c>
      <c r="E11" s="2">
        <v>1.5696363030051099</v>
      </c>
      <c r="F11" s="2">
        <v>1.591</v>
      </c>
      <c r="G11" s="2">
        <v>95.554928744074999</v>
      </c>
      <c r="H11" s="2" t="s">
        <v>18</v>
      </c>
      <c r="J11" s="2">
        <v>9</v>
      </c>
      <c r="K11" s="2">
        <v>1.4999999999999999E-2</v>
      </c>
      <c r="L11" s="2">
        <v>0</v>
      </c>
      <c r="M11" s="15">
        <v>0</v>
      </c>
      <c r="N11" s="2">
        <v>0</v>
      </c>
      <c r="O11" s="5" t="s">
        <v>6</v>
      </c>
      <c r="Q11" s="2">
        <v>9</v>
      </c>
      <c r="R11" s="2">
        <v>2.2499999999999999E-2</v>
      </c>
      <c r="U11" s="15"/>
      <c r="V11" s="15"/>
      <c r="X11" s="2">
        <f t="shared" ref="X11:AA11" si="8">S12-S11</f>
        <v>0</v>
      </c>
      <c r="Y11" s="2">
        <f t="shared" si="8"/>
        <v>0</v>
      </c>
      <c r="Z11" s="18">
        <f t="shared" si="8"/>
        <v>0</v>
      </c>
      <c r="AA11" s="18">
        <f t="shared" si="8"/>
        <v>0</v>
      </c>
    </row>
    <row r="12" spans="1:27" ht="14.25" customHeight="1" x14ac:dyDescent="0.3">
      <c r="B12" s="2">
        <v>10</v>
      </c>
      <c r="C12" s="11">
        <v>0.01</v>
      </c>
      <c r="D12" s="2">
        <v>113.60998404057599</v>
      </c>
      <c r="E12" s="2">
        <v>0.72323772826424504</v>
      </c>
      <c r="F12" s="2">
        <v>1.1240000000000001</v>
      </c>
      <c r="G12" s="2">
        <v>99.684213535571004</v>
      </c>
      <c r="H12" s="11" t="s">
        <v>44</v>
      </c>
      <c r="J12" s="2">
        <v>10</v>
      </c>
      <c r="K12" s="2">
        <v>1.4999999999999999E-2</v>
      </c>
      <c r="L12" s="2">
        <v>18.823794124850501</v>
      </c>
      <c r="M12" s="2">
        <v>5.6483389647709004</v>
      </c>
      <c r="N12" s="2">
        <v>69.618598996168899</v>
      </c>
      <c r="O12" s="2" t="s">
        <v>16</v>
      </c>
      <c r="Q12" s="2">
        <v>10</v>
      </c>
      <c r="R12" s="2">
        <v>2.5000000000000001E-2</v>
      </c>
      <c r="U12" s="15"/>
      <c r="V12" s="15"/>
      <c r="X12" s="2">
        <f t="shared" ref="X12:AA12" si="9">S13-S12</f>
        <v>0</v>
      </c>
      <c r="Y12" s="2">
        <f t="shared" si="9"/>
        <v>0</v>
      </c>
      <c r="Z12" s="18">
        <f t="shared" si="9"/>
        <v>0</v>
      </c>
      <c r="AA12" s="18">
        <f t="shared" si="9"/>
        <v>0</v>
      </c>
    </row>
    <row r="13" spans="1:27" ht="14.25" customHeight="1" x14ac:dyDescent="0.3">
      <c r="B13" s="2">
        <v>11</v>
      </c>
      <c r="C13" s="5">
        <v>1.4999999999999999E-2</v>
      </c>
      <c r="D13" s="2">
        <v>0</v>
      </c>
      <c r="E13" s="2">
        <v>0</v>
      </c>
      <c r="F13" s="2">
        <v>0</v>
      </c>
      <c r="G13" s="2">
        <v>0</v>
      </c>
      <c r="H13" s="5" t="s">
        <v>6</v>
      </c>
      <c r="J13" s="2">
        <v>11</v>
      </c>
      <c r="K13" s="2">
        <v>1.4999999999999999E-2</v>
      </c>
      <c r="L13" s="2">
        <v>-32.688661374226101</v>
      </c>
      <c r="M13" s="2">
        <v>1.5954698415106799E-2</v>
      </c>
      <c r="N13" s="2">
        <v>-11.1974129333544</v>
      </c>
      <c r="O13" s="2" t="s">
        <v>17</v>
      </c>
      <c r="Q13" s="2">
        <v>11</v>
      </c>
      <c r="R13" s="2">
        <v>2.75E-2</v>
      </c>
      <c r="U13" s="15"/>
      <c r="V13" s="15"/>
      <c r="X13" s="2">
        <f t="shared" ref="X13:AA13" si="10">S14-S13</f>
        <v>0</v>
      </c>
      <c r="Y13" s="2">
        <f t="shared" si="10"/>
        <v>0</v>
      </c>
      <c r="Z13" s="18">
        <f t="shared" si="10"/>
        <v>0</v>
      </c>
      <c r="AA13" s="18">
        <f t="shared" si="10"/>
        <v>0</v>
      </c>
    </row>
    <row r="14" spans="1:27" ht="14.25" customHeight="1" x14ac:dyDescent="0.3">
      <c r="B14" s="2">
        <v>12</v>
      </c>
      <c r="C14" s="2">
        <v>1.4999999999999999E-2</v>
      </c>
      <c r="D14" s="2">
        <v>18.5707740864787</v>
      </c>
      <c r="E14" s="2">
        <v>1.87866240488809</v>
      </c>
      <c r="F14" s="2">
        <v>3.6059999999999999</v>
      </c>
      <c r="G14" s="2">
        <v>90.964807335345895</v>
      </c>
      <c r="H14" s="2" t="s">
        <v>16</v>
      </c>
      <c r="J14" s="2">
        <v>12</v>
      </c>
      <c r="K14" s="2">
        <v>1.4999999999999999E-2</v>
      </c>
      <c r="L14" s="2">
        <v>9.4170407432477496</v>
      </c>
      <c r="M14" s="2">
        <v>5.1915863577401602</v>
      </c>
      <c r="N14" s="2">
        <v>71.299620983268596</v>
      </c>
      <c r="O14" s="2" t="s">
        <v>18</v>
      </c>
      <c r="Q14" s="2">
        <v>12</v>
      </c>
      <c r="R14" s="2">
        <v>0.03</v>
      </c>
      <c r="U14" s="15"/>
      <c r="V14" s="15"/>
      <c r="X14" s="2">
        <f t="shared" ref="X14:AA14" si="11">S15-S14</f>
        <v>0</v>
      </c>
      <c r="Y14" s="2">
        <f t="shared" si="11"/>
        <v>0</v>
      </c>
      <c r="Z14" s="18">
        <f t="shared" si="11"/>
        <v>0</v>
      </c>
      <c r="AA14" s="18">
        <f t="shared" si="11"/>
        <v>0</v>
      </c>
    </row>
    <row r="15" spans="1:27" ht="14.25" customHeight="1" x14ac:dyDescent="0.3">
      <c r="B15" s="2">
        <v>13</v>
      </c>
      <c r="C15" s="2">
        <v>1.4999999999999999E-2</v>
      </c>
      <c r="D15" s="2">
        <v>-28.962251097910698</v>
      </c>
      <c r="E15" s="2">
        <v>0.16507934899974699</v>
      </c>
      <c r="F15" s="2">
        <v>0.71</v>
      </c>
      <c r="G15" s="2">
        <v>-14.218294765656401</v>
      </c>
      <c r="H15" s="2" t="s">
        <v>17</v>
      </c>
      <c r="J15" s="2">
        <v>13</v>
      </c>
      <c r="K15" s="2">
        <v>0.02</v>
      </c>
      <c r="L15" s="2">
        <v>0</v>
      </c>
      <c r="M15" s="15">
        <v>0</v>
      </c>
      <c r="N15" s="2">
        <v>0</v>
      </c>
      <c r="O15" s="5" t="s">
        <v>6</v>
      </c>
      <c r="Q15" s="2">
        <v>13</v>
      </c>
      <c r="R15" s="2">
        <v>3.2500000000000001E-2</v>
      </c>
      <c r="U15" s="15"/>
      <c r="V15" s="15"/>
      <c r="X15" s="2">
        <f t="shared" ref="X15:AA15" si="12">S16-S15</f>
        <v>0</v>
      </c>
      <c r="Y15" s="2">
        <f t="shared" si="12"/>
        <v>0</v>
      </c>
      <c r="Z15" s="18">
        <f t="shared" si="12"/>
        <v>0</v>
      </c>
      <c r="AA15" s="18">
        <f t="shared" si="12"/>
        <v>0</v>
      </c>
    </row>
    <row r="16" spans="1:27" ht="14.25" customHeight="1" x14ac:dyDescent="0.3">
      <c r="B16" s="2">
        <v>14</v>
      </c>
      <c r="C16" s="2">
        <v>1.4999999999999999E-2</v>
      </c>
      <c r="D16" s="2">
        <v>9.3045067137060702</v>
      </c>
      <c r="E16" s="2">
        <v>1.7093084274188599</v>
      </c>
      <c r="F16" s="2">
        <v>3.4319999999999999</v>
      </c>
      <c r="G16" s="2">
        <v>89.626098443942794</v>
      </c>
      <c r="H16" s="2" t="s">
        <v>18</v>
      </c>
      <c r="J16" s="2">
        <v>14</v>
      </c>
      <c r="K16" s="2">
        <v>0.02</v>
      </c>
      <c r="L16" s="2">
        <v>18.917145632026401</v>
      </c>
      <c r="M16" s="2">
        <v>5.8165050977142601</v>
      </c>
      <c r="N16" s="2">
        <v>72.206545918139099</v>
      </c>
      <c r="O16" s="2" t="s">
        <v>16</v>
      </c>
      <c r="Q16" s="2">
        <v>14</v>
      </c>
      <c r="R16" s="2">
        <v>3.5000000000000003E-2</v>
      </c>
      <c r="U16" s="15"/>
      <c r="V16" s="15"/>
      <c r="X16" s="2">
        <f t="shared" ref="X16:AA16" si="13">S17-S16</f>
        <v>0</v>
      </c>
      <c r="Y16" s="2">
        <f t="shared" si="13"/>
        <v>0</v>
      </c>
      <c r="Z16" s="18">
        <f t="shared" si="13"/>
        <v>0</v>
      </c>
      <c r="AA16" s="18">
        <f t="shared" si="13"/>
        <v>0</v>
      </c>
    </row>
    <row r="17" spans="2:27" ht="14.25" customHeight="1" x14ac:dyDescent="0.3">
      <c r="B17" s="2">
        <v>15</v>
      </c>
      <c r="C17" s="11">
        <v>1.4999999999999999E-2</v>
      </c>
      <c r="D17" s="2">
        <v>113.53282942056499</v>
      </c>
      <c r="E17" s="2">
        <v>1.5638277486683201</v>
      </c>
      <c r="F17" s="2">
        <v>1.1080000000000001</v>
      </c>
      <c r="G17" s="2">
        <v>98.251425427473706</v>
      </c>
      <c r="H17" s="11" t="s">
        <v>44</v>
      </c>
      <c r="J17" s="2">
        <v>15</v>
      </c>
      <c r="K17" s="2">
        <v>0.02</v>
      </c>
      <c r="L17" s="2">
        <v>-32.980642782012602</v>
      </c>
      <c r="M17" s="2">
        <v>1.18376485115328E-2</v>
      </c>
      <c r="N17" s="2">
        <v>-8.9815291361733198</v>
      </c>
      <c r="O17" s="2" t="s">
        <v>17</v>
      </c>
      <c r="Q17" s="2">
        <v>15</v>
      </c>
      <c r="R17" s="2">
        <v>3.7499999999999999E-2</v>
      </c>
      <c r="U17" s="15"/>
      <c r="V17" s="15"/>
      <c r="X17" s="2">
        <f t="shared" ref="X17:AA17" si="14">S18-S17</f>
        <v>0</v>
      </c>
      <c r="Y17" s="2">
        <f t="shared" si="14"/>
        <v>0</v>
      </c>
      <c r="Z17" s="18">
        <f t="shared" si="14"/>
        <v>0</v>
      </c>
      <c r="AA17" s="18">
        <f t="shared" si="14"/>
        <v>0</v>
      </c>
    </row>
    <row r="18" spans="2:27" ht="14.25" customHeight="1" x14ac:dyDescent="0.3">
      <c r="B18" s="2">
        <v>16</v>
      </c>
      <c r="C18" s="5">
        <v>0.02</v>
      </c>
      <c r="D18" s="2">
        <v>0</v>
      </c>
      <c r="E18" s="2">
        <v>0</v>
      </c>
      <c r="F18" s="2">
        <v>0</v>
      </c>
      <c r="G18" s="2">
        <v>0</v>
      </c>
      <c r="H18" s="5" t="s">
        <v>6</v>
      </c>
      <c r="J18" s="2">
        <v>16</v>
      </c>
      <c r="K18" s="2">
        <v>0.02</v>
      </c>
      <c r="L18" s="2">
        <v>9.4646491767194707</v>
      </c>
      <c r="M18" s="2">
        <v>5.3504392899008097</v>
      </c>
      <c r="N18" s="2">
        <v>73.219625256627694</v>
      </c>
      <c r="O18" s="2" t="s">
        <v>18</v>
      </c>
      <c r="Q18" s="2">
        <v>16</v>
      </c>
      <c r="R18" s="2">
        <v>0.04</v>
      </c>
      <c r="U18" s="15"/>
      <c r="V18" s="15"/>
      <c r="X18" s="2">
        <f t="shared" ref="X18:AA18" si="15">S19-S18</f>
        <v>0</v>
      </c>
      <c r="Y18" s="2">
        <f t="shared" si="15"/>
        <v>0</v>
      </c>
      <c r="Z18" s="18">
        <f t="shared" si="15"/>
        <v>0</v>
      </c>
      <c r="AA18" s="18">
        <f t="shared" si="15"/>
        <v>0</v>
      </c>
    </row>
    <row r="19" spans="2:27" ht="14.25" customHeight="1" x14ac:dyDescent="0.3">
      <c r="B19" s="2">
        <v>17</v>
      </c>
      <c r="C19" s="2">
        <v>0.02</v>
      </c>
      <c r="D19" s="2">
        <v>18.637376586650799</v>
      </c>
      <c r="E19" s="2">
        <v>1.8771404465300801</v>
      </c>
      <c r="F19" s="2">
        <v>3.65</v>
      </c>
      <c r="G19" s="2">
        <v>95.247064626992298</v>
      </c>
      <c r="H19" s="2" t="s">
        <v>16</v>
      </c>
      <c r="J19" s="2">
        <v>17</v>
      </c>
      <c r="K19" s="2">
        <v>2.5000000000000001E-2</v>
      </c>
      <c r="L19" s="2">
        <v>0</v>
      </c>
      <c r="M19" s="15">
        <v>0</v>
      </c>
      <c r="N19" s="2">
        <v>0</v>
      </c>
      <c r="O19" s="5" t="s">
        <v>6</v>
      </c>
      <c r="Q19" s="2">
        <v>17</v>
      </c>
      <c r="R19" s="2">
        <v>4.2500000000000003E-2</v>
      </c>
      <c r="U19" s="15"/>
      <c r="V19" s="15"/>
      <c r="X19" s="2">
        <f t="shared" ref="X19:AA19" si="16">S20-S19</f>
        <v>0</v>
      </c>
      <c r="Y19" s="2">
        <f t="shared" si="16"/>
        <v>0</v>
      </c>
      <c r="Z19" s="18">
        <f t="shared" si="16"/>
        <v>0</v>
      </c>
      <c r="AA19" s="18">
        <f t="shared" si="16"/>
        <v>0</v>
      </c>
    </row>
    <row r="20" spans="2:27" ht="14.25" customHeight="1" x14ac:dyDescent="0.3">
      <c r="B20" s="2">
        <v>18</v>
      </c>
      <c r="C20" s="2">
        <v>0.02</v>
      </c>
      <c r="D20" s="2">
        <v>-29.088293764914201</v>
      </c>
      <c r="E20" s="2">
        <v>0.19013480046120601</v>
      </c>
      <c r="F20" s="2">
        <v>0.3</v>
      </c>
      <c r="G20" s="2">
        <v>-10.6420310216579</v>
      </c>
      <c r="H20" s="2" t="s">
        <v>17</v>
      </c>
      <c r="J20" s="2">
        <v>18</v>
      </c>
      <c r="K20" s="2">
        <v>2.5000000000000001E-2</v>
      </c>
      <c r="L20" s="2">
        <v>19.061098892278501</v>
      </c>
      <c r="M20" s="2">
        <v>6.5051523510343401</v>
      </c>
      <c r="N20" s="2">
        <v>68.596467256648793</v>
      </c>
      <c r="O20" s="2" t="s">
        <v>16</v>
      </c>
      <c r="Q20" s="2">
        <v>18</v>
      </c>
      <c r="R20" s="2">
        <v>4.4999999999999998E-2</v>
      </c>
      <c r="U20" s="15"/>
      <c r="V20" s="15"/>
      <c r="X20" s="2">
        <f t="shared" ref="X20:AA20" si="17">S21-S20</f>
        <v>0</v>
      </c>
      <c r="Y20" s="2">
        <f t="shared" si="17"/>
        <v>0</v>
      </c>
      <c r="Z20" s="18">
        <f t="shared" si="17"/>
        <v>0</v>
      </c>
      <c r="AA20" s="18">
        <f t="shared" si="17"/>
        <v>0</v>
      </c>
    </row>
    <row r="21" spans="2:27" ht="14.25" customHeight="1" x14ac:dyDescent="0.3">
      <c r="B21" s="2">
        <v>19</v>
      </c>
      <c r="C21" s="2">
        <v>0.02</v>
      </c>
      <c r="D21" s="2">
        <v>9.3377653039677302</v>
      </c>
      <c r="E21" s="2">
        <v>1.63707243323491</v>
      </c>
      <c r="F21" s="2">
        <v>3.5289999999999999</v>
      </c>
      <c r="G21" s="2">
        <v>93.862352729971306</v>
      </c>
      <c r="H21" s="2" t="s">
        <v>18</v>
      </c>
      <c r="J21" s="2">
        <v>19</v>
      </c>
      <c r="K21" s="2">
        <v>2.5000000000000001E-2</v>
      </c>
      <c r="L21" s="2">
        <v>-33.435490131348601</v>
      </c>
      <c r="M21" s="2">
        <v>1.07049789453149E-2</v>
      </c>
      <c r="N21" s="2">
        <v>-10.7095083400151</v>
      </c>
      <c r="O21" s="2" t="s">
        <v>17</v>
      </c>
      <c r="Q21" s="2">
        <v>19</v>
      </c>
      <c r="R21" s="2">
        <v>4.7500000000000001E-2</v>
      </c>
      <c r="U21" s="15"/>
      <c r="V21" s="15"/>
      <c r="X21" s="2">
        <f t="shared" ref="X21:AA21" si="18">S22-S21</f>
        <v>0</v>
      </c>
      <c r="Y21" s="2">
        <f t="shared" si="18"/>
        <v>0</v>
      </c>
      <c r="Z21" s="18">
        <f t="shared" si="18"/>
        <v>0</v>
      </c>
      <c r="AA21" s="18">
        <f t="shared" si="18"/>
        <v>0</v>
      </c>
    </row>
    <row r="22" spans="2:27" ht="14.25" customHeight="1" x14ac:dyDescent="0.3">
      <c r="B22" s="2">
        <v>20</v>
      </c>
      <c r="C22" s="11">
        <v>0.02</v>
      </c>
      <c r="D22" s="2">
        <v>113.407449865194</v>
      </c>
      <c r="E22" s="2">
        <v>1.6210398548199501</v>
      </c>
      <c r="F22" s="2">
        <v>1.2070000000000001</v>
      </c>
      <c r="G22" s="2">
        <v>97.299982268117702</v>
      </c>
      <c r="H22" s="11" t="s">
        <v>44</v>
      </c>
      <c r="J22" s="2">
        <v>20</v>
      </c>
      <c r="K22" s="2">
        <v>2.5000000000000001E-2</v>
      </c>
      <c r="L22" s="2">
        <v>9.5331732377448208</v>
      </c>
      <c r="M22" s="2">
        <v>5.9810190425705896</v>
      </c>
      <c r="N22" s="2">
        <v>70.012568573839602</v>
      </c>
      <c r="O22" s="2" t="s">
        <v>18</v>
      </c>
      <c r="Q22" s="2">
        <v>20</v>
      </c>
      <c r="R22" s="2">
        <v>0.05</v>
      </c>
      <c r="U22" s="15"/>
      <c r="V22" s="15"/>
      <c r="X22" s="2">
        <f t="shared" ref="X22:AA22" si="19">S23-S22</f>
        <v>0</v>
      </c>
      <c r="Y22" s="2">
        <f t="shared" si="19"/>
        <v>0</v>
      </c>
      <c r="Z22" s="18">
        <f t="shared" si="19"/>
        <v>0</v>
      </c>
      <c r="AA22" s="18">
        <f t="shared" si="19"/>
        <v>0</v>
      </c>
    </row>
    <row r="23" spans="2:27" ht="14.25" customHeight="1" x14ac:dyDescent="0.3">
      <c r="B23" s="2">
        <v>21</v>
      </c>
      <c r="C23" s="5">
        <v>2.5000000000000001E-2</v>
      </c>
      <c r="D23" s="2">
        <v>0</v>
      </c>
      <c r="E23" s="2">
        <v>0</v>
      </c>
      <c r="F23" s="2">
        <v>0</v>
      </c>
      <c r="G23" s="2">
        <v>0</v>
      </c>
      <c r="H23" s="5" t="s">
        <v>6</v>
      </c>
      <c r="J23" s="2">
        <v>21</v>
      </c>
      <c r="K23" s="2">
        <v>0.03</v>
      </c>
      <c r="L23" s="2">
        <v>0</v>
      </c>
      <c r="M23" s="2">
        <v>0</v>
      </c>
      <c r="N23" s="2">
        <v>0</v>
      </c>
      <c r="O23" s="5" t="s">
        <v>6</v>
      </c>
      <c r="Q23" s="2">
        <v>21</v>
      </c>
      <c r="R23" s="2">
        <v>5.2499999999999998E-2</v>
      </c>
      <c r="U23" s="15"/>
      <c r="V23" s="15"/>
      <c r="X23" s="2">
        <f t="shared" ref="X23:AA23" si="20">S24-S23</f>
        <v>0</v>
      </c>
      <c r="Y23" s="2">
        <f t="shared" si="20"/>
        <v>0</v>
      </c>
      <c r="Z23" s="18">
        <f t="shared" si="20"/>
        <v>0</v>
      </c>
      <c r="AA23" s="18">
        <f t="shared" si="20"/>
        <v>0</v>
      </c>
    </row>
    <row r="24" spans="2:27" ht="14.25" customHeight="1" x14ac:dyDescent="0.3">
      <c r="B24" s="2">
        <v>22</v>
      </c>
      <c r="C24" s="2">
        <v>2.5000000000000001E-2</v>
      </c>
      <c r="D24" s="2">
        <v>18.7215729126561</v>
      </c>
      <c r="E24" s="2">
        <v>1.68371804765441</v>
      </c>
      <c r="F24" s="2">
        <v>4.5220000000000002</v>
      </c>
      <c r="G24" s="2">
        <v>92.691424093664196</v>
      </c>
      <c r="H24" s="2" t="s">
        <v>16</v>
      </c>
      <c r="J24" s="2">
        <v>22</v>
      </c>
      <c r="K24" s="2">
        <v>0.03</v>
      </c>
      <c r="L24" s="2">
        <v>19.159172997817599</v>
      </c>
      <c r="M24" s="2">
        <v>6.5153285804411496</v>
      </c>
      <c r="N24" s="2">
        <v>71.141269255294603</v>
      </c>
      <c r="O24" s="2" t="s">
        <v>16</v>
      </c>
      <c r="Q24" s="2">
        <v>22</v>
      </c>
      <c r="R24" s="2">
        <v>5.5E-2</v>
      </c>
      <c r="U24" s="15"/>
      <c r="V24" s="15"/>
      <c r="X24" s="2">
        <f t="shared" ref="X24:AA24" si="21">S25-S24</f>
        <v>0</v>
      </c>
      <c r="Y24" s="2">
        <f t="shared" si="21"/>
        <v>0</v>
      </c>
      <c r="Z24" s="18">
        <f t="shared" si="21"/>
        <v>0</v>
      </c>
      <c r="AA24" s="18">
        <f t="shared" si="21"/>
        <v>0</v>
      </c>
    </row>
    <row r="25" spans="2:27" ht="14.25" customHeight="1" x14ac:dyDescent="0.3">
      <c r="B25" s="2">
        <v>23</v>
      </c>
      <c r="C25" s="2">
        <v>2.5000000000000001E-2</v>
      </c>
      <c r="D25" s="2">
        <v>-33.435490130895502</v>
      </c>
      <c r="E25" s="2">
        <v>1.70582701413237E-3</v>
      </c>
      <c r="F25" s="2">
        <v>0</v>
      </c>
      <c r="G25" s="2">
        <v>-10.7095083400151</v>
      </c>
      <c r="H25" s="2" t="s">
        <v>17</v>
      </c>
      <c r="J25" s="2">
        <v>23</v>
      </c>
      <c r="K25" s="2">
        <v>0.03</v>
      </c>
      <c r="L25" s="2">
        <v>-33.685864072886503</v>
      </c>
      <c r="M25" s="2">
        <v>8.3315191724907204E-3</v>
      </c>
      <c r="N25" s="2">
        <v>-8.6357223060480806</v>
      </c>
      <c r="O25" s="2" t="s">
        <v>17</v>
      </c>
      <c r="Q25" s="2">
        <v>23</v>
      </c>
      <c r="R25" s="2">
        <v>5.7500000000000002E-2</v>
      </c>
      <c r="U25" s="15"/>
      <c r="V25" s="15"/>
      <c r="X25" s="2">
        <f t="shared" ref="X25:AA25" si="22">S26-S25</f>
        <v>0</v>
      </c>
      <c r="Y25" s="2">
        <f t="shared" si="22"/>
        <v>0</v>
      </c>
      <c r="Z25" s="18">
        <f t="shared" si="22"/>
        <v>0</v>
      </c>
      <c r="AA25" s="18">
        <f t="shared" si="22"/>
        <v>0</v>
      </c>
    </row>
    <row r="26" spans="2:27" ht="14.25" customHeight="1" x14ac:dyDescent="0.3">
      <c r="B26" s="2">
        <v>24</v>
      </c>
      <c r="C26" s="2">
        <v>2.5000000000000001E-2</v>
      </c>
      <c r="D26" s="2">
        <v>9.38242516870468</v>
      </c>
      <c r="E26" s="2">
        <v>1.47447537739573</v>
      </c>
      <c r="F26" s="2">
        <v>4.3899999999999997</v>
      </c>
      <c r="G26" s="2">
        <v>89.402404566125398</v>
      </c>
      <c r="H26" s="2" t="s">
        <v>18</v>
      </c>
      <c r="J26" s="2">
        <v>24</v>
      </c>
      <c r="K26" s="2">
        <v>0.03</v>
      </c>
      <c r="L26" s="2">
        <v>9.5825523794176704</v>
      </c>
      <c r="M26" s="2">
        <v>6.0046877843175697</v>
      </c>
      <c r="N26" s="2">
        <v>72.416782971156593</v>
      </c>
      <c r="O26" s="2" t="s">
        <v>18</v>
      </c>
      <c r="Q26" s="2">
        <v>24</v>
      </c>
      <c r="R26" s="2">
        <v>0.06</v>
      </c>
      <c r="U26" s="15"/>
      <c r="V26" s="15"/>
      <c r="X26" s="2">
        <f t="shared" ref="X26:AA26" si="23">S27-S26</f>
        <v>0</v>
      </c>
      <c r="Y26" s="2">
        <f t="shared" si="23"/>
        <v>0</v>
      </c>
      <c r="Z26" s="18">
        <f t="shared" si="23"/>
        <v>0</v>
      </c>
      <c r="AA26" s="18">
        <f t="shared" si="23"/>
        <v>0</v>
      </c>
    </row>
    <row r="27" spans="2:27" ht="14.25" customHeight="1" x14ac:dyDescent="0.3">
      <c r="B27" s="2">
        <v>25</v>
      </c>
      <c r="C27" s="11">
        <v>2.5000000000000001E-2</v>
      </c>
      <c r="D27" s="2">
        <v>113.27287453704101</v>
      </c>
      <c r="E27" s="2">
        <v>1.89266006795458</v>
      </c>
      <c r="F27" s="2">
        <v>1.161</v>
      </c>
      <c r="G27" s="2">
        <v>97.206057453562494</v>
      </c>
      <c r="H27" s="11" t="s">
        <v>44</v>
      </c>
      <c r="J27" s="2">
        <v>25</v>
      </c>
      <c r="K27" s="2">
        <v>3.5000000000000003E-2</v>
      </c>
      <c r="L27" s="2">
        <v>0</v>
      </c>
      <c r="M27" s="15">
        <v>0</v>
      </c>
      <c r="N27" s="2">
        <v>0</v>
      </c>
      <c r="O27" s="5" t="s">
        <v>6</v>
      </c>
      <c r="Q27" s="2">
        <v>25</v>
      </c>
      <c r="R27" s="2">
        <v>6.25E-2</v>
      </c>
      <c r="U27" s="15"/>
      <c r="V27" s="15"/>
      <c r="X27" s="2">
        <f t="shared" ref="X27:AA27" si="24">S28-S27</f>
        <v>0</v>
      </c>
      <c r="Y27" s="2">
        <f t="shared" si="24"/>
        <v>0</v>
      </c>
      <c r="Z27" s="18">
        <f t="shared" si="24"/>
        <v>0</v>
      </c>
      <c r="AA27" s="18">
        <f t="shared" si="24"/>
        <v>0</v>
      </c>
    </row>
    <row r="28" spans="2:27" ht="14.25" customHeight="1" x14ac:dyDescent="0.3">
      <c r="B28" s="2">
        <v>26</v>
      </c>
      <c r="C28" s="5">
        <v>0.03</v>
      </c>
      <c r="D28" s="2">
        <v>0</v>
      </c>
      <c r="E28" s="2">
        <v>0</v>
      </c>
      <c r="F28" s="2">
        <v>0</v>
      </c>
      <c r="G28" s="2">
        <v>0</v>
      </c>
      <c r="H28" s="5" t="s">
        <v>6</v>
      </c>
      <c r="J28" s="2">
        <v>26</v>
      </c>
      <c r="K28" s="2">
        <v>3.5000000000000003E-2</v>
      </c>
      <c r="L28" s="2">
        <v>19.3129572843917</v>
      </c>
      <c r="M28" s="2">
        <v>7.1275496762374599</v>
      </c>
      <c r="N28" s="2">
        <v>69.600661169772394</v>
      </c>
      <c r="O28" s="2" t="s">
        <v>16</v>
      </c>
      <c r="Q28" s="2">
        <v>26</v>
      </c>
      <c r="R28" s="2">
        <v>6.5000000000000002E-2</v>
      </c>
      <c r="U28" s="15"/>
      <c r="V28" s="15"/>
      <c r="X28" s="2">
        <f t="shared" ref="X28:AA28" si="25">S29-S28</f>
        <v>0</v>
      </c>
      <c r="Y28" s="2">
        <f t="shared" si="25"/>
        <v>0</v>
      </c>
      <c r="Z28" s="18">
        <f t="shared" si="25"/>
        <v>0</v>
      </c>
      <c r="AA28" s="18">
        <f t="shared" si="25"/>
        <v>0</v>
      </c>
    </row>
    <row r="29" spans="2:27" ht="14.25" customHeight="1" x14ac:dyDescent="0.3">
      <c r="B29" s="2">
        <v>27</v>
      </c>
      <c r="C29" s="2">
        <v>0.03</v>
      </c>
      <c r="D29" s="2">
        <v>18.834832552948001</v>
      </c>
      <c r="E29" s="2">
        <v>1.96153269402525</v>
      </c>
      <c r="F29" s="2">
        <v>4.2519999999999998</v>
      </c>
      <c r="G29" s="2">
        <v>93.804707893133696</v>
      </c>
      <c r="H29" s="2" t="s">
        <v>16</v>
      </c>
      <c r="J29" s="2">
        <v>27</v>
      </c>
      <c r="K29" s="2">
        <v>3.5000000000000003E-2</v>
      </c>
      <c r="L29" s="2">
        <v>-34.170638944059696</v>
      </c>
      <c r="M29" s="2">
        <v>8.1659855232630203E-3</v>
      </c>
      <c r="N29" s="2">
        <v>-8.4749829129168592</v>
      </c>
      <c r="O29" s="2" t="s">
        <v>17</v>
      </c>
      <c r="Q29" s="2">
        <v>27</v>
      </c>
      <c r="R29" s="2">
        <v>6.7500000000000004E-2</v>
      </c>
      <c r="U29" s="15"/>
      <c r="V29" s="15"/>
      <c r="X29" s="2">
        <f t="shared" ref="X29:AA29" si="26">S30-S29</f>
        <v>0</v>
      </c>
      <c r="Y29" s="2">
        <f t="shared" si="26"/>
        <v>0</v>
      </c>
      <c r="Z29" s="18">
        <f t="shared" si="26"/>
        <v>0</v>
      </c>
      <c r="AA29" s="18">
        <f t="shared" si="26"/>
        <v>0</v>
      </c>
    </row>
    <row r="30" spans="2:27" ht="14.25" customHeight="1" x14ac:dyDescent="0.3">
      <c r="B30" s="2">
        <v>28</v>
      </c>
      <c r="C30" s="2">
        <v>0.03</v>
      </c>
      <c r="D30" s="2">
        <v>-29.3613671242945</v>
      </c>
      <c r="E30" s="2">
        <v>0.189523266822922</v>
      </c>
      <c r="F30" s="2">
        <v>0.39200000000000002</v>
      </c>
      <c r="G30" s="2">
        <v>-10.6977082205802</v>
      </c>
      <c r="H30" s="2" t="s">
        <v>17</v>
      </c>
      <c r="J30" s="2">
        <v>28</v>
      </c>
      <c r="K30" s="2">
        <v>3.5000000000000003E-2</v>
      </c>
      <c r="L30" s="2">
        <v>9.6556904978933797</v>
      </c>
      <c r="M30" s="2">
        <v>6.5800718103398301</v>
      </c>
      <c r="N30" s="2">
        <v>71.215474804037399</v>
      </c>
      <c r="O30" s="2" t="s">
        <v>18</v>
      </c>
      <c r="Q30" s="2">
        <v>28</v>
      </c>
      <c r="R30" s="2">
        <v>7.0000000000000007E-2</v>
      </c>
      <c r="U30" s="15"/>
      <c r="V30" s="15"/>
      <c r="X30" s="2">
        <f t="shared" ref="X30:AA30" si="27">S31-S30</f>
        <v>0</v>
      </c>
      <c r="Y30" s="2">
        <f t="shared" si="27"/>
        <v>0</v>
      </c>
      <c r="Z30" s="18">
        <f t="shared" si="27"/>
        <v>0</v>
      </c>
      <c r="AA30" s="18">
        <f t="shared" si="27"/>
        <v>0</v>
      </c>
    </row>
    <row r="31" spans="2:27" ht="14.25" customHeight="1" x14ac:dyDescent="0.3">
      <c r="B31" s="2">
        <v>29</v>
      </c>
      <c r="C31" s="2">
        <v>0.03</v>
      </c>
      <c r="D31" s="2">
        <v>9.4473441205241002</v>
      </c>
      <c r="E31" s="2">
        <v>2.1086746039955901</v>
      </c>
      <c r="F31" s="2">
        <v>3.6549999999999998</v>
      </c>
      <c r="G31" s="2">
        <v>94.597564563874599</v>
      </c>
      <c r="H31" s="2" t="s">
        <v>18</v>
      </c>
      <c r="J31" s="2">
        <v>29</v>
      </c>
      <c r="K31" s="2">
        <v>0.04</v>
      </c>
      <c r="L31" s="2">
        <v>0</v>
      </c>
      <c r="M31" s="15">
        <v>0</v>
      </c>
      <c r="N31" s="2">
        <v>0</v>
      </c>
      <c r="O31" s="5" t="s">
        <v>6</v>
      </c>
      <c r="Q31" s="2">
        <v>29</v>
      </c>
      <c r="R31" s="2">
        <v>7.2499999999999995E-2</v>
      </c>
      <c r="U31" s="15"/>
      <c r="V31" s="15"/>
      <c r="X31" s="2">
        <f t="shared" ref="X31:AA31" si="28">S32-S31</f>
        <v>0</v>
      </c>
      <c r="Y31" s="2">
        <f t="shared" si="28"/>
        <v>0</v>
      </c>
      <c r="Z31" s="18">
        <f t="shared" si="28"/>
        <v>0</v>
      </c>
      <c r="AA31" s="18">
        <f t="shared" si="28"/>
        <v>0</v>
      </c>
    </row>
    <row r="32" spans="2:27" ht="14.25" customHeight="1" x14ac:dyDescent="0.3">
      <c r="B32" s="2">
        <v>30</v>
      </c>
      <c r="C32" s="11">
        <v>0.03</v>
      </c>
      <c r="D32" s="2">
        <v>113.134112988757</v>
      </c>
      <c r="E32" s="2">
        <v>1.8851507912543</v>
      </c>
      <c r="F32" s="2">
        <v>1.254</v>
      </c>
      <c r="G32" s="2">
        <v>96.773372417649298</v>
      </c>
      <c r="H32" s="11" t="s">
        <v>44</v>
      </c>
      <c r="J32" s="2">
        <v>30</v>
      </c>
      <c r="K32" s="2">
        <v>0.04</v>
      </c>
      <c r="L32" s="2">
        <v>19.426866042930399</v>
      </c>
      <c r="M32" s="2">
        <v>7.4311058638447696</v>
      </c>
      <c r="N32" s="2">
        <v>67.550181456372698</v>
      </c>
      <c r="O32" s="2" t="s">
        <v>16</v>
      </c>
      <c r="Q32" s="2">
        <v>30</v>
      </c>
      <c r="R32" s="2">
        <v>7.4999999999999997E-2</v>
      </c>
      <c r="S32" s="16"/>
      <c r="T32" s="17"/>
      <c r="U32" s="15"/>
      <c r="V32" s="15"/>
    </row>
    <row r="33" spans="2:27" ht="14.25" customHeight="1" x14ac:dyDescent="0.3">
      <c r="B33" s="2">
        <v>31</v>
      </c>
      <c r="C33" s="5">
        <v>3.5000000000000003E-2</v>
      </c>
      <c r="D33" s="2">
        <v>0</v>
      </c>
      <c r="E33" s="2">
        <v>0</v>
      </c>
      <c r="F33" s="2">
        <v>0</v>
      </c>
      <c r="G33" s="2">
        <v>0</v>
      </c>
      <c r="H33" s="5" t="s">
        <v>6</v>
      </c>
      <c r="J33" s="2">
        <v>31</v>
      </c>
      <c r="K33" s="2">
        <v>0.04</v>
      </c>
      <c r="L33" s="2">
        <v>-34.448908318811398</v>
      </c>
      <c r="M33" s="2">
        <v>5.3148244652595497E-3</v>
      </c>
      <c r="N33" s="2">
        <v>-10.2516217037236</v>
      </c>
      <c r="O33" s="2" t="s">
        <v>17</v>
      </c>
    </row>
    <row r="34" spans="2:27" ht="14.25" customHeight="1" x14ac:dyDescent="0.3">
      <c r="B34" s="2">
        <v>32</v>
      </c>
      <c r="C34" s="2">
        <v>3.5000000000000003E-2</v>
      </c>
      <c r="D34" s="2">
        <v>18.953241121323799</v>
      </c>
      <c r="E34" s="2">
        <v>2.1165244400967298</v>
      </c>
      <c r="F34" s="2">
        <v>4.6539999999999999</v>
      </c>
      <c r="G34" s="2">
        <v>94.784993039868297</v>
      </c>
      <c r="H34" s="2" t="s">
        <v>16</v>
      </c>
      <c r="J34" s="2">
        <v>32</v>
      </c>
      <c r="K34" s="2">
        <v>0.04</v>
      </c>
      <c r="L34" s="2">
        <v>9.7115757555605509</v>
      </c>
      <c r="M34" s="2">
        <v>6.8538335792888603</v>
      </c>
      <c r="N34" s="2">
        <v>69.090450231601906</v>
      </c>
      <c r="O34" s="2" t="s">
        <v>18</v>
      </c>
    </row>
    <row r="35" spans="2:27" ht="14.25" customHeight="1" x14ac:dyDescent="0.3">
      <c r="B35" s="2">
        <v>33</v>
      </c>
      <c r="C35" s="2">
        <v>3.5000000000000003E-2</v>
      </c>
      <c r="D35" s="2">
        <v>-34.170638943842803</v>
      </c>
      <c r="E35" s="2">
        <v>2.2234089193063299E-3</v>
      </c>
      <c r="F35" s="2">
        <v>0</v>
      </c>
      <c r="G35" s="2">
        <v>-8.4749829129168592</v>
      </c>
      <c r="H35" s="2" t="s">
        <v>17</v>
      </c>
      <c r="J35" s="2">
        <v>33</v>
      </c>
      <c r="K35" s="2">
        <v>4.4999999999999998E-2</v>
      </c>
      <c r="L35" s="2">
        <v>0</v>
      </c>
      <c r="M35" s="15">
        <v>0</v>
      </c>
      <c r="N35" s="2">
        <v>0</v>
      </c>
      <c r="O35" s="5" t="s">
        <v>6</v>
      </c>
    </row>
    <row r="36" spans="2:27" ht="14.25" customHeight="1" x14ac:dyDescent="0.3">
      <c r="B36" s="2">
        <v>34</v>
      </c>
      <c r="C36" s="2">
        <v>3.5000000000000003E-2</v>
      </c>
      <c r="D36" s="2">
        <v>9.4932993046942098</v>
      </c>
      <c r="E36" s="2">
        <v>1.89625247292314</v>
      </c>
      <c r="F36" s="2">
        <v>4.4729999999999999</v>
      </c>
      <c r="G36" s="2">
        <v>92.828311897353501</v>
      </c>
      <c r="H36" s="2" t="s">
        <v>18</v>
      </c>
      <c r="J36" s="2">
        <v>34</v>
      </c>
      <c r="K36" s="2">
        <v>4.4999999999999998E-2</v>
      </c>
      <c r="L36" s="2">
        <v>19.522895430461102</v>
      </c>
      <c r="M36" s="2">
        <v>7.2810952192193001</v>
      </c>
      <c r="N36" s="2">
        <v>67.311590867468993</v>
      </c>
      <c r="O36" s="2" t="s">
        <v>16</v>
      </c>
      <c r="Q36" s="2">
        <v>1</v>
      </c>
      <c r="R36" s="2">
        <v>5.0000000000000001E-3</v>
      </c>
      <c r="S36" s="2">
        <v>-1.0851210789000599E-2</v>
      </c>
      <c r="T36" s="2">
        <v>1.7598874793748099E-2</v>
      </c>
      <c r="U36" s="2">
        <v>-2.2034617179420901E-2</v>
      </c>
      <c r="V36" s="2">
        <v>1.5293419858052999E-2</v>
      </c>
      <c r="X36" s="2">
        <v>0</v>
      </c>
      <c r="Y36" s="2">
        <f t="shared" ref="Y36:AA36" si="29">T37-T36</f>
        <v>2.3178277473761003E-2</v>
      </c>
      <c r="Z36" s="2">
        <f t="shared" si="29"/>
        <v>-2.5924399820342198E-2</v>
      </c>
      <c r="AA36" s="2">
        <f t="shared" si="29"/>
        <v>1.36650096774481E-2</v>
      </c>
    </row>
    <row r="37" spans="2:27" ht="14.25" customHeight="1" x14ac:dyDescent="0.3">
      <c r="B37" s="2">
        <v>35</v>
      </c>
      <c r="C37" s="11">
        <v>3.5000000000000003E-2</v>
      </c>
      <c r="D37" s="2">
        <v>113.007514530808</v>
      </c>
      <c r="E37" s="2">
        <v>2.1498278020946402</v>
      </c>
      <c r="F37" s="2">
        <v>1.204</v>
      </c>
      <c r="G37" s="2">
        <v>96.935878740665899</v>
      </c>
      <c r="H37" s="11" t="s">
        <v>44</v>
      </c>
      <c r="J37" s="2">
        <v>35</v>
      </c>
      <c r="K37" s="2">
        <v>4.4999999999999998E-2</v>
      </c>
      <c r="L37" s="2">
        <v>-34.614989187227799</v>
      </c>
      <c r="M37" s="2">
        <v>4.9417109561743404E-3</v>
      </c>
      <c r="N37" s="2">
        <v>-10.1727111751152</v>
      </c>
      <c r="O37" s="2" t="s">
        <v>17</v>
      </c>
      <c r="Q37" s="2">
        <v>2</v>
      </c>
      <c r="R37" s="2">
        <v>0.01</v>
      </c>
      <c r="S37" s="2">
        <v>-1.08512107889858E-2</v>
      </c>
      <c r="T37" s="2">
        <v>4.0777152267509102E-2</v>
      </c>
      <c r="U37" s="2">
        <v>-4.7959016999763099E-2</v>
      </c>
      <c r="V37" s="2">
        <v>2.8958429535501099E-2</v>
      </c>
      <c r="X37" s="2">
        <v>0</v>
      </c>
      <c r="Y37" s="2">
        <f t="shared" ref="Y37:AA37" si="30">T38-T37</f>
        <v>2.3415591147525595E-2</v>
      </c>
      <c r="Z37" s="2">
        <f t="shared" si="30"/>
        <v>-2.6189830008941595E-2</v>
      </c>
      <c r="AA37" s="2">
        <f t="shared" si="30"/>
        <v>1.3804920576891398E-2</v>
      </c>
    </row>
    <row r="38" spans="2:27" ht="14.25" customHeight="1" x14ac:dyDescent="0.3">
      <c r="B38" s="2">
        <v>36</v>
      </c>
      <c r="C38" s="5">
        <v>0.04</v>
      </c>
      <c r="D38" s="2">
        <v>0</v>
      </c>
      <c r="E38" s="2">
        <v>0</v>
      </c>
      <c r="F38" s="2">
        <v>0</v>
      </c>
      <c r="G38" s="2">
        <v>0</v>
      </c>
      <c r="H38" s="5" t="s">
        <v>6</v>
      </c>
      <c r="J38" s="2">
        <v>36</v>
      </c>
      <c r="K38" s="2">
        <v>4.4999999999999998E-2</v>
      </c>
      <c r="L38" s="2">
        <v>9.7606595649432908</v>
      </c>
      <c r="M38" s="2">
        <v>6.7273230584151902</v>
      </c>
      <c r="N38" s="2">
        <v>68.879103391345396</v>
      </c>
      <c r="O38" s="2" t="s">
        <v>18</v>
      </c>
      <c r="Q38" s="2">
        <v>3</v>
      </c>
      <c r="R38" s="2">
        <v>1.4999999999999999E-2</v>
      </c>
      <c r="S38" s="2">
        <v>-1.0851210789000599E-2</v>
      </c>
      <c r="T38" s="2">
        <v>6.4192743415034698E-2</v>
      </c>
      <c r="U38" s="2">
        <v>-7.4148847008704694E-2</v>
      </c>
      <c r="V38" s="2">
        <v>4.2763350112392497E-2</v>
      </c>
      <c r="X38" s="2">
        <v>0</v>
      </c>
      <c r="Y38" s="2">
        <f t="shared" ref="Y38:AA38" si="31">T39-T38</f>
        <v>2.36564281118916E-2</v>
      </c>
      <c r="Z38" s="2">
        <f t="shared" si="31"/>
        <v>-2.6459200921514311E-2</v>
      </c>
      <c r="AA38" s="2">
        <f t="shared" si="31"/>
        <v>1.3946908671217007E-2</v>
      </c>
    </row>
    <row r="39" spans="2:27" ht="14.25" customHeight="1" x14ac:dyDescent="0.3">
      <c r="B39" s="2">
        <v>37</v>
      </c>
      <c r="C39" s="2">
        <v>0.04</v>
      </c>
      <c r="D39" s="2">
        <v>19.054701660493599</v>
      </c>
      <c r="E39" s="2">
        <v>2.3083150823388601</v>
      </c>
      <c r="F39" s="2">
        <v>4.7149999999999999</v>
      </c>
      <c r="G39" s="2">
        <v>93.995127191630601</v>
      </c>
      <c r="H39" s="2" t="s">
        <v>16</v>
      </c>
      <c r="J39" s="2">
        <v>37</v>
      </c>
      <c r="K39" s="2">
        <v>0.05</v>
      </c>
      <c r="L39" s="2">
        <v>0</v>
      </c>
      <c r="M39" s="15">
        <v>0</v>
      </c>
      <c r="N39" s="2">
        <v>0</v>
      </c>
      <c r="O39" s="5" t="s">
        <v>6</v>
      </c>
      <c r="Q39" s="2">
        <v>4</v>
      </c>
      <c r="R39" s="2">
        <v>0.02</v>
      </c>
      <c r="S39" s="2">
        <v>-1.0851210789000599E-2</v>
      </c>
      <c r="T39" s="2">
        <v>8.7849171526926298E-2</v>
      </c>
      <c r="U39" s="2">
        <v>-0.10060804793021901</v>
      </c>
      <c r="V39" s="2">
        <v>5.6710258783609503E-2</v>
      </c>
      <c r="X39" s="2">
        <v>0</v>
      </c>
      <c r="Y39" s="2">
        <f t="shared" ref="Y39:AA39" si="32">T40-T39</f>
        <v>2.3900855649628697E-2</v>
      </c>
      <c r="Z39" s="2">
        <f t="shared" si="32"/>
        <v>-2.6732587812493006E-2</v>
      </c>
      <c r="AA39" s="2">
        <f t="shared" si="32"/>
        <v>1.40910136278194E-2</v>
      </c>
    </row>
    <row r="40" spans="2:27" ht="14.25" customHeight="1" x14ac:dyDescent="0.3">
      <c r="B40" s="2">
        <v>38</v>
      </c>
      <c r="C40" s="2">
        <v>0.04</v>
      </c>
      <c r="D40" s="2">
        <v>-29.635369140985901</v>
      </c>
      <c r="E40" s="2">
        <v>0.174791865178966</v>
      </c>
      <c r="F40" s="2">
        <v>0.68400000000000005</v>
      </c>
      <c r="G40" s="2">
        <v>-13.7641329204362</v>
      </c>
      <c r="H40" s="2" t="s">
        <v>17</v>
      </c>
      <c r="J40" s="2">
        <v>38</v>
      </c>
      <c r="K40" s="2">
        <v>0.05</v>
      </c>
      <c r="L40" s="2">
        <v>19.6362534050016</v>
      </c>
      <c r="M40" s="2">
        <v>7.5738397273551197</v>
      </c>
      <c r="N40" s="2">
        <v>67.349986118054403</v>
      </c>
      <c r="O40" s="2" t="s">
        <v>16</v>
      </c>
      <c r="Q40" s="2">
        <v>5</v>
      </c>
      <c r="R40" s="2">
        <v>2.5000000000000001E-2</v>
      </c>
      <c r="S40" s="2">
        <v>-1.0851210789000599E-2</v>
      </c>
      <c r="T40" s="2">
        <v>0.11175002717655499</v>
      </c>
      <c r="U40" s="2">
        <v>-0.12734063574271201</v>
      </c>
      <c r="V40" s="2">
        <v>7.0801272411428903E-2</v>
      </c>
      <c r="X40" s="2">
        <v>0</v>
      </c>
      <c r="Y40" s="2">
        <f t="shared" ref="Y40:AA40" si="33">T41-T40</f>
        <v>2.4148942584816008E-2</v>
      </c>
      <c r="Z40" s="2">
        <f t="shared" si="33"/>
        <v>-2.7010067659886977E-2</v>
      </c>
      <c r="AA40" s="2">
        <f t="shared" si="33"/>
        <v>1.4237276022550496E-2</v>
      </c>
    </row>
    <row r="41" spans="2:27" ht="14.25" customHeight="1" x14ac:dyDescent="0.3">
      <c r="B41" s="2">
        <v>39</v>
      </c>
      <c r="C41" s="2">
        <v>0.04</v>
      </c>
      <c r="D41" s="2">
        <v>9.5440650091934796</v>
      </c>
      <c r="E41" s="2">
        <v>2.0712017828469298</v>
      </c>
      <c r="F41" s="2">
        <v>4.5209999999999999</v>
      </c>
      <c r="G41" s="2">
        <v>92.817979403168806</v>
      </c>
      <c r="H41" s="2" t="s">
        <v>18</v>
      </c>
      <c r="J41" s="2">
        <v>39</v>
      </c>
      <c r="K41" s="2">
        <v>0.05</v>
      </c>
      <c r="L41" s="2">
        <v>-34.8678215276367</v>
      </c>
      <c r="M41" s="2">
        <v>4.33113838726397E-3</v>
      </c>
      <c r="N41" s="2">
        <v>-10.0619493009393</v>
      </c>
      <c r="O41" s="2" t="s">
        <v>17</v>
      </c>
      <c r="Q41" s="2">
        <v>6</v>
      </c>
      <c r="R41" s="2">
        <v>0.03</v>
      </c>
      <c r="S41" s="2">
        <v>-1.0851210789000599E-2</v>
      </c>
      <c r="T41" s="2">
        <v>0.135898969761371</v>
      </c>
      <c r="U41" s="2">
        <v>-0.15435070340259899</v>
      </c>
      <c r="V41" s="2">
        <v>8.50385484339794E-2</v>
      </c>
      <c r="X41" s="2">
        <v>0</v>
      </c>
      <c r="Y41" s="2">
        <f t="shared" ref="Y41:AA41" si="34">T42-T41</f>
        <v>2.4400759322772997E-2</v>
      </c>
      <c r="Z41" s="2">
        <f t="shared" si="34"/>
        <v>-2.7291719210792015E-2</v>
      </c>
      <c r="AA41" s="2">
        <f t="shared" si="34"/>
        <v>1.4385737363812406E-2</v>
      </c>
    </row>
    <row r="42" spans="2:27" ht="14.25" customHeight="1" x14ac:dyDescent="0.3">
      <c r="B42" s="2">
        <v>40</v>
      </c>
      <c r="C42" s="11">
        <v>0.04</v>
      </c>
      <c r="D42" s="2">
        <v>112.862860970825</v>
      </c>
      <c r="E42" s="2">
        <v>2.2602199978349899</v>
      </c>
      <c r="F42" s="2">
        <v>1.2250000000000001</v>
      </c>
      <c r="G42" s="2">
        <v>96.289975386025205</v>
      </c>
      <c r="H42" s="11" t="s">
        <v>44</v>
      </c>
      <c r="J42" s="2">
        <v>40</v>
      </c>
      <c r="K42" s="2">
        <v>0.05</v>
      </c>
      <c r="L42" s="2">
        <v>9.8163185854662007</v>
      </c>
      <c r="M42" s="2">
        <v>6.9828023514659199</v>
      </c>
      <c r="N42" s="2">
        <v>68.845841656312203</v>
      </c>
      <c r="O42" s="2" t="s">
        <v>18</v>
      </c>
      <c r="Q42" s="2">
        <v>7</v>
      </c>
      <c r="R42" s="2">
        <v>3.5000000000000003E-2</v>
      </c>
      <c r="S42" s="2">
        <v>-1.0851210789000599E-2</v>
      </c>
      <c r="T42" s="2">
        <v>0.160299729084144</v>
      </c>
      <c r="U42" s="2">
        <v>-0.181642422613391</v>
      </c>
      <c r="V42" s="2">
        <v>9.9424285797791806E-2</v>
      </c>
      <c r="X42" s="2">
        <v>0</v>
      </c>
      <c r="Y42" s="2">
        <f t="shared" ref="Y42:AA42" si="35">T43-T42</f>
        <v>2.4656377891815989E-2</v>
      </c>
      <c r="Z42" s="2">
        <f t="shared" si="35"/>
        <v>-2.7577623027050996E-2</v>
      </c>
      <c r="AA42" s="2">
        <f t="shared" si="35"/>
        <v>1.4536440116581201E-2</v>
      </c>
    </row>
    <row r="43" spans="2:27" ht="14.25" customHeight="1" x14ac:dyDescent="0.3">
      <c r="B43" s="2">
        <v>41</v>
      </c>
      <c r="C43" s="5">
        <v>4.4999999999999998E-2</v>
      </c>
      <c r="D43" s="2">
        <v>0</v>
      </c>
      <c r="E43" s="2">
        <v>0</v>
      </c>
      <c r="F43" s="2">
        <v>0</v>
      </c>
      <c r="G43" s="2">
        <v>0</v>
      </c>
      <c r="H43" s="5" t="s">
        <v>6</v>
      </c>
      <c r="J43" s="2">
        <v>41</v>
      </c>
      <c r="K43" s="2">
        <v>5.5E-2</v>
      </c>
      <c r="L43" s="2">
        <v>0</v>
      </c>
      <c r="M43" s="15">
        <v>0</v>
      </c>
      <c r="N43" s="2">
        <v>0</v>
      </c>
      <c r="O43" s="5" t="s">
        <v>6</v>
      </c>
      <c r="Q43" s="2">
        <v>8</v>
      </c>
      <c r="R43" s="2">
        <v>0.04</v>
      </c>
      <c r="S43" s="2">
        <v>-1.0851210789000599E-2</v>
      </c>
      <c r="T43" s="2">
        <v>0.18495610697595999</v>
      </c>
      <c r="U43" s="2">
        <v>-0.209220045640442</v>
      </c>
      <c r="V43" s="2">
        <v>0.11396072591437301</v>
      </c>
      <c r="X43" s="2">
        <v>0</v>
      </c>
      <c r="Y43" s="2">
        <f t="shared" ref="Y43:AA43" si="36">T44-T43</f>
        <v>2.4915871985428023E-2</v>
      </c>
      <c r="Z43" s="2">
        <f t="shared" si="36"/>
        <v>-2.7867861533447003E-2</v>
      </c>
      <c r="AA43" s="2">
        <f t="shared" si="36"/>
        <v>1.4689427727669985E-2</v>
      </c>
    </row>
    <row r="44" spans="2:27" ht="14.25" customHeight="1" x14ac:dyDescent="0.3">
      <c r="B44" s="2">
        <v>42</v>
      </c>
      <c r="C44" s="2">
        <v>4.4999999999999998E-2</v>
      </c>
      <c r="D44" s="2">
        <v>19.139273477531599</v>
      </c>
      <c r="E44" s="2">
        <v>1.8171434081462401</v>
      </c>
      <c r="F44" s="2">
        <v>5.194</v>
      </c>
      <c r="G44" s="2">
        <v>90.098966911208194</v>
      </c>
      <c r="H44" s="2" t="s">
        <v>16</v>
      </c>
      <c r="J44" s="2">
        <v>42</v>
      </c>
      <c r="K44" s="2">
        <v>5.5E-2</v>
      </c>
      <c r="L44" s="2">
        <v>19.761552509582302</v>
      </c>
      <c r="M44" s="2">
        <v>7.7984078136286996</v>
      </c>
      <c r="N44" s="2">
        <v>66.979211161129001</v>
      </c>
      <c r="O44" s="2" t="s">
        <v>16</v>
      </c>
      <c r="Q44" s="2">
        <v>9</v>
      </c>
      <c r="R44" s="2">
        <v>4.4999999999999998E-2</v>
      </c>
      <c r="S44" s="2">
        <v>-1.0851210789000599E-2</v>
      </c>
      <c r="T44" s="2">
        <v>0.20987197896138801</v>
      </c>
      <c r="U44" s="2">
        <v>-0.237087907173889</v>
      </c>
      <c r="V44" s="2">
        <v>0.12865015364204299</v>
      </c>
      <c r="X44" s="2">
        <v>0</v>
      </c>
      <c r="Y44" s="2">
        <f t="shared" ref="Y44:AA44" si="37">T45-T44</f>
        <v>2.5179317006219976E-2</v>
      </c>
      <c r="Z44" s="2">
        <f t="shared" si="37"/>
        <v>-2.8162519066045999E-2</v>
      </c>
      <c r="AA44" s="2">
        <f t="shared" si="37"/>
        <v>1.484474465160901E-2</v>
      </c>
    </row>
    <row r="45" spans="2:27" ht="14.25" customHeight="1" x14ac:dyDescent="0.3">
      <c r="B45" s="2">
        <v>43</v>
      </c>
      <c r="C45" s="2">
        <v>4.4999999999999998E-2</v>
      </c>
      <c r="D45" s="2">
        <v>-29.876813016272099</v>
      </c>
      <c r="E45" s="2">
        <v>0.19266729761517301</v>
      </c>
      <c r="F45" s="2">
        <v>0.23200000000000001</v>
      </c>
      <c r="G45" s="2">
        <v>-12.334732285301399</v>
      </c>
      <c r="H45" s="2" t="s">
        <v>17</v>
      </c>
      <c r="J45" s="2">
        <v>43</v>
      </c>
      <c r="K45" s="2">
        <v>5.5E-2</v>
      </c>
      <c r="L45" s="2">
        <v>-35.1723203535552</v>
      </c>
      <c r="M45" s="2">
        <v>4.1381223909544799E-3</v>
      </c>
      <c r="N45" s="2">
        <v>-9.9802588368835998</v>
      </c>
      <c r="O45" s="2" t="s">
        <v>17</v>
      </c>
      <c r="Q45" s="2">
        <v>10</v>
      </c>
      <c r="R45" s="2">
        <v>0.05</v>
      </c>
      <c r="S45" s="2">
        <v>-1.0851210789000599E-2</v>
      </c>
      <c r="T45" s="2">
        <v>0.23505129596760799</v>
      </c>
      <c r="U45" s="2">
        <v>-0.265250426239935</v>
      </c>
      <c r="V45" s="2">
        <v>0.143494898293652</v>
      </c>
      <c r="X45" s="2">
        <v>0</v>
      </c>
      <c r="Y45" s="2">
        <f t="shared" ref="Y45:AA45" si="38">T46-T45</f>
        <v>2.5446790110948025E-2</v>
      </c>
      <c r="Z45" s="2">
        <f t="shared" si="38"/>
        <v>-2.8461681922898996E-2</v>
      </c>
      <c r="AA45" s="2">
        <f t="shared" si="38"/>
        <v>1.5002436376889999E-2</v>
      </c>
    </row>
    <row r="46" spans="2:27" ht="14.25" customHeight="1" x14ac:dyDescent="0.3">
      <c r="B46" s="2">
        <v>44</v>
      </c>
      <c r="C46" s="2">
        <v>4.4999999999999998E-2</v>
      </c>
      <c r="D46" s="2">
        <v>9.6019615807830494</v>
      </c>
      <c r="E46" s="2">
        <v>2.1251939654224601</v>
      </c>
      <c r="F46" s="2">
        <v>4.3710000000000004</v>
      </c>
      <c r="G46" s="2">
        <v>92.384268946583205</v>
      </c>
      <c r="H46" s="2" t="s">
        <v>18</v>
      </c>
      <c r="J46" s="2">
        <v>44</v>
      </c>
      <c r="K46" s="2">
        <v>5.5E-2</v>
      </c>
      <c r="L46" s="2">
        <v>9.8775504966736491</v>
      </c>
      <c r="M46" s="2">
        <v>7.1964051523482997</v>
      </c>
      <c r="N46" s="2">
        <v>68.555861516095305</v>
      </c>
      <c r="O46" s="2" t="s">
        <v>18</v>
      </c>
      <c r="Q46" s="2">
        <v>11</v>
      </c>
      <c r="R46" s="2">
        <v>5.5E-2</v>
      </c>
      <c r="S46" s="2">
        <v>-1.0851210789000599E-2</v>
      </c>
      <c r="T46" s="2">
        <v>0.26049808607855601</v>
      </c>
      <c r="U46" s="2">
        <v>-0.293712108162834</v>
      </c>
      <c r="V46" s="2">
        <v>0.158497334670542</v>
      </c>
      <c r="X46" s="2">
        <v>0</v>
      </c>
      <c r="Y46" s="2">
        <f t="shared" ref="Y46:AA46" si="39">T47-T46</f>
        <v>2.5718370256512968E-2</v>
      </c>
      <c r="Z46" s="2">
        <f t="shared" si="39"/>
        <v>-2.8765438415863986E-2</v>
      </c>
      <c r="AA46" s="2">
        <f t="shared" si="39"/>
        <v>1.5162549453544005E-2</v>
      </c>
    </row>
    <row r="47" spans="2:27" ht="14.25" customHeight="1" x14ac:dyDescent="0.3">
      <c r="B47" s="2">
        <v>45</v>
      </c>
      <c r="C47" s="11">
        <v>4.4999999999999998E-2</v>
      </c>
      <c r="D47" s="2">
        <v>112.720816810627</v>
      </c>
      <c r="E47" s="2">
        <v>2.2046121820858602</v>
      </c>
      <c r="F47" s="2">
        <v>1.3080000000000001</v>
      </c>
      <c r="G47" s="2">
        <v>95.817492239817895</v>
      </c>
      <c r="H47" s="11" t="s">
        <v>44</v>
      </c>
      <c r="J47" s="2">
        <v>45</v>
      </c>
      <c r="K47" s="2">
        <v>0.06</v>
      </c>
      <c r="L47" s="2">
        <v>0</v>
      </c>
      <c r="M47" s="15">
        <v>0</v>
      </c>
      <c r="N47" s="2">
        <v>0</v>
      </c>
      <c r="O47" s="5" t="s">
        <v>6</v>
      </c>
      <c r="Q47" s="2">
        <v>12</v>
      </c>
      <c r="R47" s="2">
        <v>0.06</v>
      </c>
      <c r="S47" s="2">
        <v>-1.0851210789000599E-2</v>
      </c>
      <c r="T47" s="2">
        <v>0.28621645633506898</v>
      </c>
      <c r="U47" s="2">
        <v>-0.32247754657869798</v>
      </c>
      <c r="V47" s="2">
        <v>0.17365988412408601</v>
      </c>
      <c r="X47" s="2">
        <v>0</v>
      </c>
      <c r="Y47" s="2">
        <f t="shared" ref="Y47:AA47" si="40">T48-T47</f>
        <v>2.5994138247910026E-2</v>
      </c>
      <c r="Z47" s="2">
        <f t="shared" si="40"/>
        <v>-2.907387892337604E-2</v>
      </c>
      <c r="AA47" s="2">
        <f t="shared" si="40"/>
        <v>1.5325131520953994E-2</v>
      </c>
    </row>
    <row r="48" spans="2:27" ht="14.25" customHeight="1" x14ac:dyDescent="0.3">
      <c r="B48" s="2">
        <v>46</v>
      </c>
      <c r="C48" s="5">
        <v>0.05</v>
      </c>
      <c r="D48" s="2">
        <v>0</v>
      </c>
      <c r="E48" s="2">
        <v>0</v>
      </c>
      <c r="F48" s="2">
        <v>0</v>
      </c>
      <c r="G48" s="2">
        <v>0</v>
      </c>
      <c r="H48" s="5" t="s">
        <v>6</v>
      </c>
      <c r="J48" s="2">
        <v>46</v>
      </c>
      <c r="K48" s="2">
        <v>0.06</v>
      </c>
      <c r="L48" s="2">
        <v>19.886047615856501</v>
      </c>
      <c r="M48" s="2">
        <v>8.0492576725174807</v>
      </c>
      <c r="N48" s="2">
        <v>66.854655777675006</v>
      </c>
      <c r="O48" s="2" t="s">
        <v>16</v>
      </c>
      <c r="Q48" s="2">
        <v>13</v>
      </c>
      <c r="R48" s="2">
        <v>6.5000000000000002E-2</v>
      </c>
      <c r="S48" s="2">
        <v>-1.08512107889858E-2</v>
      </c>
      <c r="T48" s="2">
        <v>0.31221059458297901</v>
      </c>
      <c r="U48" s="2">
        <v>-0.35155142550207402</v>
      </c>
      <c r="V48" s="2">
        <v>0.18898501564504</v>
      </c>
      <c r="X48" s="2">
        <v>0</v>
      </c>
      <c r="Y48" s="2">
        <f t="shared" ref="Y48:AA48" si="41">T49-T48</f>
        <v>2.6274176786927006E-2</v>
      </c>
      <c r="Z48" s="2">
        <f t="shared" si="41"/>
        <v>-2.9387095945513975E-2</v>
      </c>
      <c r="AA48" s="2">
        <f t="shared" si="41"/>
        <v>1.5490231336929006E-2</v>
      </c>
    </row>
    <row r="49" spans="2:27" ht="14.25" customHeight="1" x14ac:dyDescent="0.3">
      <c r="B49" s="2">
        <v>47</v>
      </c>
      <c r="C49" s="2">
        <v>0.05</v>
      </c>
      <c r="D49" s="2">
        <v>19.235008262322399</v>
      </c>
      <c r="E49" s="2">
        <v>1.9656350241685701</v>
      </c>
      <c r="F49" s="2">
        <v>5.2629999999999999</v>
      </c>
      <c r="G49" s="2">
        <v>90.966569360166105</v>
      </c>
      <c r="H49" s="2" t="s">
        <v>16</v>
      </c>
      <c r="J49" s="2">
        <v>47</v>
      </c>
      <c r="K49" s="2">
        <v>0.06</v>
      </c>
      <c r="L49" s="2">
        <v>-35.475899442829999</v>
      </c>
      <c r="M49" s="2">
        <v>3.8558446453706898E-3</v>
      </c>
      <c r="N49" s="2">
        <v>-9.9089827380306499</v>
      </c>
      <c r="O49" s="2" t="s">
        <v>17</v>
      </c>
      <c r="Q49" s="2">
        <v>14</v>
      </c>
      <c r="R49" s="2">
        <v>7.0000000000000007E-2</v>
      </c>
      <c r="S49" s="2">
        <v>-1.08512107889858E-2</v>
      </c>
      <c r="T49" s="2">
        <v>0.33848477136990601</v>
      </c>
      <c r="U49" s="2">
        <v>-0.380938521447588</v>
      </c>
      <c r="V49" s="2">
        <v>0.20447524698196901</v>
      </c>
    </row>
    <row r="50" spans="2:27" ht="14.25" customHeight="1" x14ac:dyDescent="0.3">
      <c r="B50" s="2">
        <v>48</v>
      </c>
      <c r="C50" s="2">
        <v>0.05</v>
      </c>
      <c r="D50" s="2">
        <v>-29.905627187450399</v>
      </c>
      <c r="E50" s="2">
        <v>0.181240465363046</v>
      </c>
      <c r="F50" s="2">
        <v>0.61699999999999999</v>
      </c>
      <c r="G50" s="2">
        <v>-13.2807067634888</v>
      </c>
      <c r="H50" s="2" t="s">
        <v>17</v>
      </c>
      <c r="J50" s="2">
        <v>48</v>
      </c>
      <c r="K50" s="2">
        <v>0.06</v>
      </c>
      <c r="L50" s="2">
        <v>9.9382700409233404</v>
      </c>
      <c r="M50" s="2">
        <v>7.4209835074655901</v>
      </c>
      <c r="N50" s="2">
        <v>68.424993161078007</v>
      </c>
      <c r="O50" s="2" t="s">
        <v>18</v>
      </c>
    </row>
    <row r="51" spans="2:27" ht="14.25" customHeight="1" x14ac:dyDescent="0.3">
      <c r="B51" s="2">
        <v>49</v>
      </c>
      <c r="C51" s="2">
        <v>0.05</v>
      </c>
      <c r="D51" s="2">
        <v>9.6522234118566299</v>
      </c>
      <c r="E51" s="2">
        <v>2.2758526516691102</v>
      </c>
      <c r="F51" s="2">
        <v>4.4340000000000002</v>
      </c>
      <c r="G51" s="2">
        <v>92.419251917139505</v>
      </c>
      <c r="H51" s="2" t="s">
        <v>18</v>
      </c>
      <c r="J51" s="2">
        <v>49</v>
      </c>
      <c r="K51" s="2">
        <v>6.5000000000000002E-2</v>
      </c>
      <c r="L51" s="2">
        <v>0</v>
      </c>
      <c r="M51" s="15">
        <v>0</v>
      </c>
      <c r="N51" s="2">
        <v>0</v>
      </c>
      <c r="O51" s="5" t="s">
        <v>6</v>
      </c>
      <c r="X51" s="2">
        <v>385</v>
      </c>
      <c r="Y51" s="2">
        <v>400</v>
      </c>
      <c r="Z51" s="2">
        <v>560</v>
      </c>
      <c r="AA51" s="2">
        <v>340</v>
      </c>
    </row>
    <row r="52" spans="2:27" ht="14.25" customHeight="1" x14ac:dyDescent="0.3">
      <c r="B52" s="2">
        <v>50</v>
      </c>
      <c r="C52" s="11">
        <v>0.05</v>
      </c>
      <c r="D52" s="2">
        <v>112.56605075675699</v>
      </c>
      <c r="E52" s="2">
        <v>2.3002838703496198</v>
      </c>
      <c r="F52" s="2">
        <v>1.3220000000000001</v>
      </c>
      <c r="G52" s="2">
        <v>95.697842141609499</v>
      </c>
      <c r="H52" s="11" t="s">
        <v>44</v>
      </c>
      <c r="J52" s="2">
        <v>50</v>
      </c>
      <c r="K52" s="2">
        <v>6.5000000000000002E-2</v>
      </c>
      <c r="L52" s="2">
        <v>20.026659752126601</v>
      </c>
      <c r="M52" s="2">
        <v>8.5288747561183307</v>
      </c>
      <c r="N52" s="2">
        <v>66.084853649995594</v>
      </c>
      <c r="O52" s="2" t="s">
        <v>16</v>
      </c>
    </row>
    <row r="53" spans="2:27" ht="14.25" customHeight="1" x14ac:dyDescent="0.3">
      <c r="B53" s="2">
        <v>51</v>
      </c>
      <c r="C53" s="5">
        <v>5.5E-2</v>
      </c>
      <c r="D53" s="2">
        <v>0</v>
      </c>
      <c r="E53" s="2">
        <v>0</v>
      </c>
      <c r="F53" s="2">
        <v>0</v>
      </c>
      <c r="G53" s="2">
        <v>0</v>
      </c>
      <c r="H53" s="5" t="s">
        <v>6</v>
      </c>
      <c r="J53" s="2">
        <v>51</v>
      </c>
      <c r="K53" s="2">
        <v>6.5000000000000002E-2</v>
      </c>
      <c r="L53" s="2">
        <v>-35.8451915608562</v>
      </c>
      <c r="M53" s="2">
        <v>3.3793157964908801E-3</v>
      </c>
      <c r="N53" s="2">
        <v>-9.7653223169374499</v>
      </c>
      <c r="O53" s="2" t="s">
        <v>17</v>
      </c>
      <c r="X53" s="2">
        <f t="shared" ref="X53:AA53" si="42">AVERAGE(X36:X48)*X51%</f>
        <v>0</v>
      </c>
      <c r="Y53" s="2">
        <f t="shared" si="42"/>
        <v>9.8734122023433207E-2</v>
      </c>
      <c r="Z53" s="2">
        <f t="shared" si="42"/>
        <v>-0.15460475876167198</v>
      </c>
      <c r="AA53" s="2">
        <f t="shared" si="42"/>
        <v>4.9478324017024185E-2</v>
      </c>
    </row>
    <row r="54" spans="2:27" ht="14.25" customHeight="1" x14ac:dyDescent="0.3">
      <c r="B54" s="2">
        <v>52</v>
      </c>
      <c r="C54" s="2">
        <v>5.5E-2</v>
      </c>
      <c r="D54" s="2">
        <v>19.385066517534302</v>
      </c>
      <c r="E54" s="2">
        <v>2.6284429263311901</v>
      </c>
      <c r="F54" s="2">
        <v>4.7510000000000003</v>
      </c>
      <c r="G54" s="2">
        <v>92.166940400433404</v>
      </c>
      <c r="H54" s="2" t="s">
        <v>16</v>
      </c>
      <c r="J54" s="2">
        <v>52</v>
      </c>
      <c r="K54" s="2">
        <v>6.5000000000000002E-2</v>
      </c>
      <c r="L54" s="2">
        <v>10.0064643023602</v>
      </c>
      <c r="M54" s="2">
        <v>7.8744585471223099</v>
      </c>
      <c r="N54" s="2">
        <v>67.701289972676705</v>
      </c>
      <c r="O54" s="2" t="s">
        <v>18</v>
      </c>
      <c r="X54" s="2">
        <f t="shared" ref="X54:AA54" si="43">_xlfn.STDEV.P(X40:X48)</f>
        <v>0</v>
      </c>
      <c r="Y54" s="2">
        <f t="shared" si="43"/>
        <v>6.8587657805465067E-4</v>
      </c>
      <c r="Z54" s="2">
        <f t="shared" si="43"/>
        <v>7.6713805230115082E-4</v>
      </c>
      <c r="AA54" s="2">
        <f t="shared" si="43"/>
        <v>4.0436611768308834E-4</v>
      </c>
    </row>
    <row r="55" spans="2:27" ht="14.25" customHeight="1" x14ac:dyDescent="0.3">
      <c r="B55" s="2">
        <v>53</v>
      </c>
      <c r="C55" s="2">
        <v>5.5E-2</v>
      </c>
      <c r="D55" s="2">
        <v>-35.172320353516298</v>
      </c>
      <c r="E55" s="2">
        <v>2.1790585864373399E-3</v>
      </c>
      <c r="F55" s="2">
        <v>0</v>
      </c>
      <c r="G55" s="2">
        <v>-9.9802588368835998</v>
      </c>
      <c r="H55" s="2" t="s">
        <v>17</v>
      </c>
      <c r="J55" s="2">
        <v>53</v>
      </c>
      <c r="K55" s="2">
        <v>7.0000000000000007E-2</v>
      </c>
      <c r="L55" s="2">
        <v>0</v>
      </c>
      <c r="M55" s="15">
        <v>0</v>
      </c>
      <c r="N55" s="2">
        <v>0</v>
      </c>
      <c r="O55" s="5" t="s">
        <v>6</v>
      </c>
    </row>
    <row r="56" spans="2:27" ht="14.25" customHeight="1" x14ac:dyDescent="0.3">
      <c r="B56" s="2">
        <v>54</v>
      </c>
      <c r="C56" s="2">
        <v>5.5E-2</v>
      </c>
      <c r="D56" s="2">
        <v>9.70869185977174</v>
      </c>
      <c r="E56" s="2">
        <v>2.40339882408129</v>
      </c>
      <c r="F56" s="2">
        <v>4.5030000000000001</v>
      </c>
      <c r="G56" s="2">
        <v>92.413342644309395</v>
      </c>
      <c r="H56" s="2" t="s">
        <v>18</v>
      </c>
      <c r="J56" s="2">
        <v>54</v>
      </c>
      <c r="K56" s="2">
        <v>7.0000000000000007E-2</v>
      </c>
      <c r="L56" s="2">
        <v>20.146636685237102</v>
      </c>
      <c r="M56" s="2">
        <v>8.5674274459884394</v>
      </c>
      <c r="N56" s="2">
        <v>66.6635855549697</v>
      </c>
      <c r="O56" s="2" t="s">
        <v>16</v>
      </c>
    </row>
    <row r="57" spans="2:27" ht="14.25" customHeight="1" x14ac:dyDescent="0.3">
      <c r="B57" s="2">
        <v>55</v>
      </c>
      <c r="C57" s="11">
        <v>5.5E-2</v>
      </c>
      <c r="D57" s="2">
        <v>112.42067535853199</v>
      </c>
      <c r="E57" s="2">
        <v>2.39228939166013</v>
      </c>
      <c r="F57" s="2">
        <v>1.335</v>
      </c>
      <c r="G57" s="2">
        <v>95.595074652748593</v>
      </c>
      <c r="H57" s="11" t="s">
        <v>44</v>
      </c>
      <c r="J57" s="2">
        <v>55</v>
      </c>
      <c r="K57" s="2">
        <v>7.0000000000000007E-2</v>
      </c>
      <c r="L57" s="2">
        <v>-36.089407458727301</v>
      </c>
      <c r="M57" s="2">
        <v>3.4138738676575899E-3</v>
      </c>
      <c r="N57" s="2">
        <v>-9.7860652539024002</v>
      </c>
      <c r="O57" s="2" t="s">
        <v>17</v>
      </c>
    </row>
    <row r="58" spans="2:27" ht="14.25" customHeight="1" x14ac:dyDescent="0.3">
      <c r="B58" s="2">
        <v>56</v>
      </c>
      <c r="C58" s="5">
        <v>0.06</v>
      </c>
      <c r="D58" s="2">
        <v>0</v>
      </c>
      <c r="E58" s="2">
        <v>0</v>
      </c>
      <c r="F58" s="2">
        <v>0</v>
      </c>
      <c r="G58" s="2">
        <v>0</v>
      </c>
      <c r="H58" s="5" t="s">
        <v>6</v>
      </c>
      <c r="J58" s="2">
        <v>56</v>
      </c>
      <c r="K58" s="2">
        <v>7.0000000000000007E-2</v>
      </c>
      <c r="L58" s="2">
        <v>10.0644371473094</v>
      </c>
      <c r="M58" s="2">
        <v>7.8952820455213004</v>
      </c>
      <c r="N58" s="2">
        <v>68.325931489151799</v>
      </c>
      <c r="O58" s="2" t="s">
        <v>18</v>
      </c>
    </row>
    <row r="59" spans="2:27" ht="14.25" customHeight="1" x14ac:dyDescent="0.3">
      <c r="B59" s="2">
        <v>57</v>
      </c>
      <c r="C59" s="2">
        <v>0.06</v>
      </c>
      <c r="D59" s="2">
        <v>19.453621261076101</v>
      </c>
      <c r="E59" s="2">
        <v>2.2067552439836602</v>
      </c>
      <c r="F59" s="2">
        <v>5.4160000000000004</v>
      </c>
      <c r="G59" s="2">
        <v>92.204461112559798</v>
      </c>
      <c r="H59" s="2" t="s">
        <v>16</v>
      </c>
    </row>
    <row r="60" spans="2:27" ht="14.25" customHeight="1" x14ac:dyDescent="0.3">
      <c r="B60" s="2">
        <v>58</v>
      </c>
      <c r="C60" s="2">
        <v>0.06</v>
      </c>
      <c r="D60" s="2">
        <v>-30.229610634697199</v>
      </c>
      <c r="E60" s="2">
        <v>0.15690385642576399</v>
      </c>
      <c r="F60" s="2">
        <v>0.80700000000000005</v>
      </c>
      <c r="G60" s="2">
        <v>-14.7635970787257</v>
      </c>
      <c r="H60" s="2" t="s">
        <v>17</v>
      </c>
      <c r="L60" s="2">
        <f t="shared" ref="L60:N60" si="44">AVERAGE(L43,L39,L35,L31,L27,L23,L19,L15,L11,L7,L3,L47,L51,L55)</f>
        <v>0</v>
      </c>
      <c r="M60" s="18">
        <f t="shared" si="44"/>
        <v>0</v>
      </c>
      <c r="N60" s="2">
        <f t="shared" si="44"/>
        <v>0</v>
      </c>
    </row>
    <row r="61" spans="2:27" ht="14.25" customHeight="1" x14ac:dyDescent="0.3">
      <c r="B61" s="2">
        <v>59</v>
      </c>
      <c r="C61" s="2">
        <v>0.06</v>
      </c>
      <c r="D61" s="2">
        <v>9.7625866452177803</v>
      </c>
      <c r="E61" s="2">
        <v>2.5380760476142901</v>
      </c>
      <c r="F61" s="2">
        <v>4.5609999999999999</v>
      </c>
      <c r="G61" s="2">
        <v>92.2676269668533</v>
      </c>
      <c r="H61" s="2" t="s">
        <v>18</v>
      </c>
      <c r="L61" s="2">
        <f t="shared" ref="L61:N61" si="45">AVERAGE(L44,L40,L36,L32,L28,L24,L20,L16,L12,L8,L4,L48,L52,L56)</f>
        <v>19.33725213709965</v>
      </c>
      <c r="M61" s="2">
        <f t="shared" si="45"/>
        <v>6.6998178521477412</v>
      </c>
      <c r="N61" s="2">
        <f t="shared" si="45"/>
        <v>69.794051443478608</v>
      </c>
    </row>
    <row r="62" spans="2:27" ht="14.25" customHeight="1" x14ac:dyDescent="0.3">
      <c r="B62" s="2">
        <v>60</v>
      </c>
      <c r="C62" s="11">
        <v>0.06</v>
      </c>
      <c r="D62" s="2">
        <v>112.26843185377901</v>
      </c>
      <c r="E62" s="2">
        <v>2.4805579782176199</v>
      </c>
      <c r="F62" s="2">
        <v>1.3480000000000001</v>
      </c>
      <c r="G62" s="2">
        <v>95.495504499579994</v>
      </c>
      <c r="H62" s="11" t="s">
        <v>44</v>
      </c>
      <c r="L62" s="2">
        <f t="shared" ref="L62:N62" si="46">AVERAGE(L45,L41,L37,L33,L29,L25,L21,L17,L13,L9,L5,L49,L53,L57)</f>
        <v>-33.978981609097715</v>
      </c>
      <c r="M62" s="2">
        <f t="shared" si="46"/>
        <v>6.0264058917485477E-3</v>
      </c>
      <c r="N62" s="2">
        <f t="shared" si="46"/>
        <v>-10.184321648151933</v>
      </c>
    </row>
    <row r="63" spans="2:27" ht="14.25" customHeight="1" x14ac:dyDescent="0.3">
      <c r="B63" s="2">
        <v>61</v>
      </c>
      <c r="C63" s="5">
        <v>6.5000000000000002E-2</v>
      </c>
      <c r="D63" s="2">
        <v>0</v>
      </c>
      <c r="E63" s="2">
        <v>0</v>
      </c>
      <c r="F63" s="2">
        <v>0</v>
      </c>
      <c r="G63" s="2">
        <v>0</v>
      </c>
      <c r="H63" s="5" t="s">
        <v>6</v>
      </c>
      <c r="L63" s="2">
        <f t="shared" ref="L63:N63" si="47">AVERAGE(L46,L42,L38,L34,L30,L26,L22,L18,L14,L10,L6,L50,L54,L58)</f>
        <v>9.6700291130819771</v>
      </c>
      <c r="M63" s="2">
        <f t="shared" si="47"/>
        <v>6.1667984621354943</v>
      </c>
      <c r="N63" s="2">
        <f t="shared" si="47"/>
        <v>71.011398061395482</v>
      </c>
    </row>
    <row r="64" spans="2:27" ht="14.25" customHeight="1" x14ac:dyDescent="0.3">
      <c r="B64" s="2">
        <v>62</v>
      </c>
      <c r="C64" s="2">
        <v>6.5000000000000002E-2</v>
      </c>
      <c r="D64" s="2">
        <v>19.574377254912299</v>
      </c>
      <c r="E64" s="2">
        <v>2.4666743985657802</v>
      </c>
      <c r="F64" s="2">
        <v>5.55</v>
      </c>
      <c r="G64" s="2">
        <v>92.954831964129497</v>
      </c>
      <c r="H64" s="2" t="s">
        <v>16</v>
      </c>
    </row>
    <row r="65" spans="2:8" ht="14.25" customHeight="1" x14ac:dyDescent="0.3">
      <c r="B65" s="2">
        <v>63</v>
      </c>
      <c r="C65" s="2">
        <v>6.5000000000000002E-2</v>
      </c>
      <c r="D65" s="2">
        <v>-30.4126961145781</v>
      </c>
      <c r="E65" s="2">
        <v>0.18682735431592101</v>
      </c>
      <c r="F65" s="2">
        <v>0.59499999999999997</v>
      </c>
      <c r="G65" s="2">
        <v>-13.2422825638691</v>
      </c>
      <c r="H65" s="2" t="s">
        <v>17</v>
      </c>
    </row>
    <row r="66" spans="2:8" ht="14.25" customHeight="1" x14ac:dyDescent="0.3">
      <c r="B66" s="2">
        <v>64</v>
      </c>
      <c r="C66" s="2">
        <v>6.5000000000000002E-2</v>
      </c>
      <c r="D66" s="2">
        <v>9.8204352514126096</v>
      </c>
      <c r="E66" s="2">
        <v>2.7282602198046</v>
      </c>
      <c r="F66" s="2">
        <v>4.7709999999999999</v>
      </c>
      <c r="G66" s="2">
        <v>92.172436982969103</v>
      </c>
      <c r="H66" s="2" t="s">
        <v>18</v>
      </c>
    </row>
    <row r="67" spans="2:8" ht="14.25" customHeight="1" x14ac:dyDescent="0.3">
      <c r="B67" s="2">
        <v>65</v>
      </c>
      <c r="C67" s="11">
        <v>6.5000000000000002E-2</v>
      </c>
      <c r="D67" s="2">
        <v>112.136547707597</v>
      </c>
      <c r="E67" s="2">
        <v>2.7146239138079999</v>
      </c>
      <c r="F67" s="2">
        <v>1.3129999999999999</v>
      </c>
      <c r="G67" s="2">
        <v>95.173492789361404</v>
      </c>
      <c r="H67" s="11" t="s">
        <v>44</v>
      </c>
    </row>
    <row r="68" spans="2:8" ht="14.25" customHeight="1" x14ac:dyDescent="0.3">
      <c r="B68" s="2">
        <v>66</v>
      </c>
      <c r="C68" s="5">
        <v>7.0000000000000007E-2</v>
      </c>
      <c r="D68" s="2">
        <v>0</v>
      </c>
      <c r="E68" s="2">
        <v>0</v>
      </c>
      <c r="F68" s="2">
        <v>0</v>
      </c>
      <c r="G68" s="2">
        <v>0</v>
      </c>
      <c r="H68" s="5" t="s">
        <v>6</v>
      </c>
    </row>
    <row r="69" spans="2:8" ht="14.25" customHeight="1" x14ac:dyDescent="0.3">
      <c r="B69" s="2">
        <v>67</v>
      </c>
      <c r="C69" s="2">
        <v>7.0000000000000007E-2</v>
      </c>
      <c r="D69" s="2">
        <v>19.6821182661661</v>
      </c>
      <c r="E69" s="2">
        <v>2.5259132297154601</v>
      </c>
      <c r="F69" s="2">
        <v>5.54</v>
      </c>
      <c r="G69" s="2">
        <v>93.036631320938696</v>
      </c>
      <c r="H69" s="2" t="s">
        <v>16</v>
      </c>
    </row>
    <row r="70" spans="2:8" ht="14.25" customHeight="1" x14ac:dyDescent="0.3">
      <c r="B70" s="2">
        <v>68</v>
      </c>
      <c r="C70" s="2">
        <v>7.0000000000000007E-2</v>
      </c>
      <c r="D70" s="2">
        <v>-30.556436375017299</v>
      </c>
      <c r="E70" s="2">
        <v>0.19783519530453</v>
      </c>
      <c r="F70" s="2">
        <v>0.58799999999999997</v>
      </c>
      <c r="G70" s="2">
        <v>-13.4006263319878</v>
      </c>
      <c r="H70" s="2" t="s">
        <v>17</v>
      </c>
    </row>
    <row r="71" spans="2:8" ht="14.25" customHeight="1" x14ac:dyDescent="0.3">
      <c r="B71" s="2">
        <v>69</v>
      </c>
      <c r="C71" s="2">
        <v>7.0000000000000007E-2</v>
      </c>
      <c r="D71" s="2">
        <v>9.8759041444855207</v>
      </c>
      <c r="E71" s="2">
        <v>2.8519276864673602</v>
      </c>
      <c r="F71" s="2">
        <v>4.6689999999999996</v>
      </c>
      <c r="G71" s="2">
        <v>92.159851428900595</v>
      </c>
      <c r="H71" s="2" t="s">
        <v>18</v>
      </c>
    </row>
    <row r="72" spans="2:8" ht="14.25" customHeight="1" x14ac:dyDescent="0.3">
      <c r="B72" s="2">
        <v>70</v>
      </c>
      <c r="C72" s="11">
        <v>7.0000000000000007E-2</v>
      </c>
      <c r="D72" s="2">
        <v>111.958257656301</v>
      </c>
      <c r="E72" s="2">
        <v>2.66634984365548</v>
      </c>
      <c r="F72" s="2">
        <v>1.3640000000000001</v>
      </c>
      <c r="G72" s="2">
        <v>95.441131994952599</v>
      </c>
      <c r="H72" s="11" t="s">
        <v>44</v>
      </c>
    </row>
    <row r="73" spans="2:8" ht="14.25" customHeight="1" x14ac:dyDescent="0.3"/>
    <row r="74" spans="2:8" ht="14.25" customHeight="1" x14ac:dyDescent="0.3"/>
    <row r="75" spans="2:8" ht="14.25" customHeight="1" x14ac:dyDescent="0.3">
      <c r="D75" s="2">
        <f t="shared" ref="D75:G75" si="48">AVERAGE(D68,D63,D58,D53,D48,D43,D38,D33,D28,D23,D18,D13,D8,D3)</f>
        <v>0</v>
      </c>
      <c r="E75" s="2">
        <f t="shared" si="48"/>
        <v>0</v>
      </c>
      <c r="F75" s="2">
        <f t="shared" si="48"/>
        <v>0</v>
      </c>
      <c r="G75" s="2">
        <f t="shared" si="48"/>
        <v>0</v>
      </c>
    </row>
    <row r="76" spans="2:8" ht="14.25" customHeight="1" x14ac:dyDescent="0.3">
      <c r="D76" s="2">
        <f t="shared" ref="D76:G76" si="49">AVERAGE(D69,D64,D59,D54,D49,D44,D39,D34,D29,D24,D19,D14,D9,D4)</f>
        <v>19.00136725986204</v>
      </c>
      <c r="E76" s="2">
        <f t="shared" si="49"/>
        <v>2.0652756374623151</v>
      </c>
      <c r="F76" s="2">
        <f t="shared" si="49"/>
        <v>4.3055714285714286</v>
      </c>
      <c r="G76" s="2">
        <f t="shared" si="49"/>
        <v>92.930821123497509</v>
      </c>
    </row>
    <row r="77" spans="2:8" ht="14.25" customHeight="1" x14ac:dyDescent="0.3">
      <c r="D77" s="2">
        <f t="shared" ref="D77:G77" si="50">AVERAGE(D70,D65,D60,D55,D50,D45,D40,D35,D30,D25,D20,D15,D10,D5)</f>
        <v>-30.757834813285665</v>
      </c>
      <c r="E77" s="2">
        <f t="shared" si="50"/>
        <v>0.12976690947782571</v>
      </c>
      <c r="F77" s="2">
        <f t="shared" si="50"/>
        <v>0.37542857142857144</v>
      </c>
      <c r="G77" s="2">
        <f t="shared" si="50"/>
        <v>-12.216141096664954</v>
      </c>
    </row>
    <row r="78" spans="2:8" ht="14.25" customHeight="1" x14ac:dyDescent="0.3">
      <c r="D78" s="2">
        <f t="shared" ref="D78:G78" si="51">AVERAGE(D71,D66,D61,D56,D51,D46,D41,D36,D31,D26,D21,D16,D11,D6)</f>
        <v>9.5257722124038278</v>
      </c>
      <c r="E78" s="2">
        <f t="shared" si="51"/>
        <v>2.0523983386596116</v>
      </c>
      <c r="F78" s="2">
        <f t="shared" si="51"/>
        <v>3.8861428571428571</v>
      </c>
      <c r="G78" s="2">
        <f t="shared" si="51"/>
        <v>92.687313942098967</v>
      </c>
    </row>
    <row r="79" spans="2:8" ht="14.25" customHeight="1" x14ac:dyDescent="0.3">
      <c r="D79" s="2">
        <f t="shared" ref="D79:G79" si="52">AVERAGE(D72,D67,D62,D57,D52,D47,D42,D37,D32,D27,D22,D17,D12,D7)</f>
        <v>112.90683859529125</v>
      </c>
      <c r="E79" s="2">
        <f t="shared" si="52"/>
        <v>1.9527771874538715</v>
      </c>
      <c r="F79" s="2">
        <f t="shared" si="52"/>
        <v>1.2559285714285713</v>
      </c>
      <c r="G79" s="2">
        <f t="shared" si="52"/>
        <v>96.784731210682267</v>
      </c>
    </row>
    <row r="80" spans="2:8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B1:H1"/>
    <mergeCell ref="J1:O1"/>
    <mergeCell ref="Q1:V1"/>
  </mergeCells>
  <conditionalFormatting sqref="G3:G74 G80:G100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57:G100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59 N65:N1000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BDD6EE"/>
  </sheetPr>
  <dimension ref="A1:AA1000"/>
  <sheetViews>
    <sheetView topLeftCell="D31" workbookViewId="0">
      <selection activeCell="Y53" sqref="Y53"/>
    </sheetView>
  </sheetViews>
  <sheetFormatPr defaultColWidth="14.44140625" defaultRowHeight="15" customHeight="1" x14ac:dyDescent="0.3"/>
  <cols>
    <col min="1" max="1" width="8.6640625" customWidth="1"/>
    <col min="2" max="2" width="6.6640625" customWidth="1"/>
    <col min="3" max="8" width="8.6640625" customWidth="1"/>
    <col min="9" max="9" width="4.88671875" customWidth="1"/>
    <col min="10" max="10" width="6.33203125" customWidth="1"/>
    <col min="11" max="15" width="8.6640625" customWidth="1"/>
    <col min="16" max="16" width="5.109375" customWidth="1"/>
    <col min="17" max="27" width="8.6640625" customWidth="1"/>
  </cols>
  <sheetData>
    <row r="1" spans="1:27" ht="14.25" customHeight="1" x14ac:dyDescent="0.3">
      <c r="A1" s="2" t="s">
        <v>5</v>
      </c>
      <c r="B1" s="52" t="s">
        <v>20</v>
      </c>
      <c r="C1" s="53"/>
      <c r="D1" s="53"/>
      <c r="E1" s="53"/>
      <c r="F1" s="53"/>
      <c r="G1" s="53"/>
      <c r="H1" s="53"/>
      <c r="J1" s="52" t="s">
        <v>21</v>
      </c>
      <c r="K1" s="53"/>
      <c r="L1" s="53"/>
      <c r="M1" s="53"/>
      <c r="N1" s="53"/>
      <c r="O1" s="53"/>
      <c r="Q1" s="52" t="s">
        <v>22</v>
      </c>
      <c r="R1" s="53"/>
      <c r="S1" s="53"/>
      <c r="T1" s="53"/>
      <c r="U1" s="53"/>
      <c r="V1" s="53"/>
    </row>
    <row r="2" spans="1:27" ht="14.25" customHeight="1" x14ac:dyDescent="0.3">
      <c r="B2" s="2" t="s">
        <v>23</v>
      </c>
      <c r="C2" s="2" t="s">
        <v>24</v>
      </c>
      <c r="D2" s="2" t="s">
        <v>11</v>
      </c>
      <c r="E2" s="2" t="s">
        <v>12</v>
      </c>
      <c r="F2" s="2" t="s">
        <v>13</v>
      </c>
      <c r="G2" s="2" t="s">
        <v>25</v>
      </c>
      <c r="H2" s="2" t="s">
        <v>26</v>
      </c>
      <c r="J2" s="2" t="s">
        <v>23</v>
      </c>
      <c r="K2" s="2" t="s">
        <v>24</v>
      </c>
      <c r="L2" s="2" t="s">
        <v>11</v>
      </c>
      <c r="M2" s="2" t="s">
        <v>12</v>
      </c>
      <c r="N2" s="2" t="s">
        <v>25</v>
      </c>
      <c r="O2" s="2" t="s">
        <v>26</v>
      </c>
      <c r="Q2" s="2" t="s">
        <v>23</v>
      </c>
      <c r="R2" s="2" t="s">
        <v>24</v>
      </c>
      <c r="S2" s="2" t="s">
        <v>6</v>
      </c>
      <c r="T2" s="2" t="s">
        <v>16</v>
      </c>
      <c r="U2" s="2" t="s">
        <v>17</v>
      </c>
      <c r="V2" s="2" t="s">
        <v>18</v>
      </c>
    </row>
    <row r="3" spans="1:27" ht="14.25" customHeight="1" x14ac:dyDescent="0.3">
      <c r="B3" s="2">
        <v>1</v>
      </c>
      <c r="C3" s="5">
        <v>5.0000000000000001E-3</v>
      </c>
      <c r="D3" s="2">
        <v>0</v>
      </c>
      <c r="E3" s="2">
        <v>0</v>
      </c>
      <c r="F3" s="2">
        <v>0</v>
      </c>
      <c r="G3" s="2">
        <v>0</v>
      </c>
      <c r="H3" s="5" t="s">
        <v>6</v>
      </c>
      <c r="J3" s="2">
        <v>1</v>
      </c>
      <c r="K3" s="2">
        <v>5.0000000000000001E-3</v>
      </c>
      <c r="L3" s="2">
        <v>0</v>
      </c>
      <c r="M3" s="15">
        <v>0</v>
      </c>
      <c r="N3" s="2">
        <v>0</v>
      </c>
      <c r="O3" s="5" t="s">
        <v>6</v>
      </c>
      <c r="Q3" s="2">
        <v>1</v>
      </c>
      <c r="R3" s="2">
        <v>2.5000000000000001E-3</v>
      </c>
      <c r="S3" s="16"/>
      <c r="T3" s="17"/>
      <c r="U3" s="15"/>
      <c r="V3" s="15"/>
      <c r="X3" s="2">
        <f t="shared" ref="X3:AA3" si="0">S4-S3</f>
        <v>0</v>
      </c>
      <c r="Y3" s="2">
        <f t="shared" si="0"/>
        <v>0</v>
      </c>
      <c r="Z3" s="18">
        <f t="shared" si="0"/>
        <v>0</v>
      </c>
      <c r="AA3" s="18">
        <f t="shared" si="0"/>
        <v>0</v>
      </c>
    </row>
    <row r="4" spans="1:27" ht="14.25" customHeight="1" x14ac:dyDescent="0.3">
      <c r="B4" s="2">
        <v>2</v>
      </c>
      <c r="C4" s="2">
        <v>5.0000000000000001E-3</v>
      </c>
      <c r="D4" s="2">
        <v>11.3114568333738</v>
      </c>
      <c r="E4" s="2">
        <v>0.51653155022848196</v>
      </c>
      <c r="F4" s="2">
        <v>1.5489999999999999</v>
      </c>
      <c r="G4" s="2">
        <v>98.060617946293107</v>
      </c>
      <c r="H4" s="2" t="s">
        <v>16</v>
      </c>
      <c r="J4" s="2">
        <v>2</v>
      </c>
      <c r="K4" s="2">
        <v>5.0000000000000001E-3</v>
      </c>
      <c r="L4" s="2">
        <v>11.3610455669084</v>
      </c>
      <c r="M4" s="2">
        <v>2.0467687550416702</v>
      </c>
      <c r="N4" s="2">
        <v>73.078474456986697</v>
      </c>
      <c r="O4" s="2" t="s">
        <v>16</v>
      </c>
      <c r="Q4" s="2">
        <v>2</v>
      </c>
      <c r="R4" s="2">
        <v>5.0000000000000001E-3</v>
      </c>
      <c r="U4" s="15"/>
      <c r="V4" s="15"/>
      <c r="X4" s="2">
        <f t="shared" ref="X4:AA4" si="1">S5-S4</f>
        <v>0</v>
      </c>
      <c r="Y4" s="2">
        <f t="shared" si="1"/>
        <v>0</v>
      </c>
      <c r="Z4" s="18">
        <f t="shared" si="1"/>
        <v>0</v>
      </c>
      <c r="AA4" s="18">
        <f t="shared" si="1"/>
        <v>0</v>
      </c>
    </row>
    <row r="5" spans="1:27" ht="14.25" customHeight="1" x14ac:dyDescent="0.3">
      <c r="B5" s="2">
        <v>3</v>
      </c>
      <c r="C5" s="2">
        <v>5.0000000000000001E-3</v>
      </c>
      <c r="D5" s="2">
        <v>0</v>
      </c>
      <c r="E5" s="2">
        <v>0</v>
      </c>
      <c r="F5" s="2">
        <v>0</v>
      </c>
      <c r="G5" s="2">
        <v>0</v>
      </c>
      <c r="H5" s="2" t="s">
        <v>17</v>
      </c>
      <c r="J5" s="2">
        <v>3</v>
      </c>
      <c r="K5" s="2">
        <v>5.0000000000000001E-3</v>
      </c>
      <c r="L5" s="2">
        <v>0</v>
      </c>
      <c r="M5" s="15">
        <v>0</v>
      </c>
      <c r="N5" s="2">
        <v>0</v>
      </c>
      <c r="O5" s="2" t="s">
        <v>17</v>
      </c>
      <c r="Q5" s="2">
        <v>3</v>
      </c>
      <c r="R5" s="2">
        <v>7.4999999999999997E-3</v>
      </c>
      <c r="U5" s="15"/>
      <c r="V5" s="15"/>
      <c r="X5" s="2">
        <f t="shared" ref="X5:AA5" si="2">S6-S5</f>
        <v>0</v>
      </c>
      <c r="Y5" s="2">
        <f t="shared" si="2"/>
        <v>0</v>
      </c>
      <c r="Z5" s="18">
        <f t="shared" si="2"/>
        <v>0</v>
      </c>
      <c r="AA5" s="18">
        <f t="shared" si="2"/>
        <v>0</v>
      </c>
    </row>
    <row r="6" spans="1:27" ht="14.25" customHeight="1" x14ac:dyDescent="0.3">
      <c r="B6" s="2">
        <v>4</v>
      </c>
      <c r="C6" s="2">
        <v>5.0000000000000001E-3</v>
      </c>
      <c r="D6" s="2">
        <v>-6.9384165281389496</v>
      </c>
      <c r="E6" s="15">
        <v>1.7391215970442999E-6</v>
      </c>
      <c r="F6" s="2">
        <v>0</v>
      </c>
      <c r="G6" s="2">
        <v>-6.5252955423482204</v>
      </c>
      <c r="H6" s="2" t="s">
        <v>18</v>
      </c>
      <c r="J6" s="2">
        <v>4</v>
      </c>
      <c r="K6" s="2">
        <v>5.0000000000000001E-3</v>
      </c>
      <c r="L6" s="2">
        <v>-6.9384165282968704</v>
      </c>
      <c r="M6" s="15">
        <v>6.4673763256923493E-5</v>
      </c>
      <c r="N6" s="2">
        <v>-6.5252955423482204</v>
      </c>
      <c r="O6" s="2" t="s">
        <v>18</v>
      </c>
      <c r="Q6" s="2">
        <v>4</v>
      </c>
      <c r="R6" s="2">
        <v>0.01</v>
      </c>
      <c r="U6" s="15"/>
      <c r="V6" s="15"/>
      <c r="X6" s="2">
        <f t="shared" ref="X6:AA6" si="3">S7-S6</f>
        <v>0</v>
      </c>
      <c r="Y6" s="2">
        <f t="shared" si="3"/>
        <v>0</v>
      </c>
      <c r="Z6" s="18">
        <f t="shared" si="3"/>
        <v>0</v>
      </c>
      <c r="AA6" s="18">
        <f t="shared" si="3"/>
        <v>0</v>
      </c>
    </row>
    <row r="7" spans="1:27" ht="14.25" customHeight="1" x14ac:dyDescent="0.3">
      <c r="B7" s="2">
        <v>5</v>
      </c>
      <c r="C7" s="11">
        <v>5.0000000000000001E-3</v>
      </c>
      <c r="D7" s="2">
        <v>53.891869237021297</v>
      </c>
      <c r="E7" s="2">
        <v>0.19214738970208201</v>
      </c>
      <c r="F7" s="2">
        <v>1.4239999999999999</v>
      </c>
      <c r="G7" s="2">
        <v>97.781298610463693</v>
      </c>
      <c r="H7" s="11" t="s">
        <v>45</v>
      </c>
      <c r="J7" s="2">
        <v>5</v>
      </c>
      <c r="K7" s="2">
        <v>0.01</v>
      </c>
      <c r="L7" s="2">
        <v>0</v>
      </c>
      <c r="M7" s="15">
        <v>0</v>
      </c>
      <c r="N7" s="2">
        <v>0</v>
      </c>
      <c r="O7" s="5" t="s">
        <v>6</v>
      </c>
      <c r="Q7" s="2">
        <v>5</v>
      </c>
      <c r="R7" s="2">
        <v>1.2500000000000001E-2</v>
      </c>
      <c r="U7" s="15"/>
      <c r="V7" s="15"/>
      <c r="X7" s="2">
        <f t="shared" ref="X7:AA7" si="4">S8-S7</f>
        <v>0</v>
      </c>
      <c r="Y7" s="2">
        <f t="shared" si="4"/>
        <v>0</v>
      </c>
      <c r="Z7" s="18">
        <f t="shared" si="4"/>
        <v>0</v>
      </c>
      <c r="AA7" s="18">
        <f t="shared" si="4"/>
        <v>0</v>
      </c>
    </row>
    <row r="8" spans="1:27" ht="14.25" customHeight="1" x14ac:dyDescent="0.3">
      <c r="B8" s="2">
        <v>6</v>
      </c>
      <c r="C8" s="5">
        <v>0.01</v>
      </c>
      <c r="D8" s="2">
        <v>0</v>
      </c>
      <c r="E8" s="2">
        <v>0</v>
      </c>
      <c r="F8" s="2">
        <v>0</v>
      </c>
      <c r="G8" s="2">
        <v>0</v>
      </c>
      <c r="H8" s="5" t="s">
        <v>6</v>
      </c>
      <c r="J8" s="2">
        <v>6</v>
      </c>
      <c r="K8" s="2">
        <v>0.01</v>
      </c>
      <c r="L8" s="2">
        <v>11.4420992331465</v>
      </c>
      <c r="M8" s="2">
        <v>3.31214580784382</v>
      </c>
      <c r="N8" s="2">
        <v>75.512972938897093</v>
      </c>
      <c r="O8" s="2" t="s">
        <v>16</v>
      </c>
      <c r="Q8" s="2">
        <v>6</v>
      </c>
      <c r="R8" s="2">
        <v>1.4999999999999999E-2</v>
      </c>
      <c r="U8" s="15"/>
      <c r="V8" s="15"/>
      <c r="X8" s="2">
        <f t="shared" ref="X8:AA8" si="5">S9-S8</f>
        <v>0</v>
      </c>
      <c r="Y8" s="2">
        <f t="shared" si="5"/>
        <v>0</v>
      </c>
      <c r="Z8" s="18">
        <f t="shared" si="5"/>
        <v>0</v>
      </c>
      <c r="AA8" s="18">
        <f t="shared" si="5"/>
        <v>0</v>
      </c>
    </row>
    <row r="9" spans="1:27" ht="14.25" customHeight="1" x14ac:dyDescent="0.3">
      <c r="B9" s="2">
        <v>7</v>
      </c>
      <c r="C9" s="2">
        <v>0.01</v>
      </c>
      <c r="D9" s="2">
        <v>11.3788509887963</v>
      </c>
      <c r="E9" s="2">
        <v>1.56610789354039</v>
      </c>
      <c r="F9" s="2">
        <v>1.7010000000000001</v>
      </c>
      <c r="G9" s="2">
        <v>94.159213716617401</v>
      </c>
      <c r="H9" s="2" t="s">
        <v>16</v>
      </c>
      <c r="J9" s="2">
        <v>7</v>
      </c>
      <c r="K9" s="2">
        <v>0.01</v>
      </c>
      <c r="L9" s="2">
        <v>0</v>
      </c>
      <c r="M9" s="15">
        <v>0</v>
      </c>
      <c r="N9" s="2">
        <v>0</v>
      </c>
      <c r="O9" s="2" t="s">
        <v>17</v>
      </c>
      <c r="Q9" s="2">
        <v>7</v>
      </c>
      <c r="R9" s="2">
        <v>1.7500000000000002E-2</v>
      </c>
      <c r="U9" s="15"/>
      <c r="V9" s="15"/>
      <c r="X9" s="2">
        <f t="shared" ref="X9:AA9" si="6">S10-S9</f>
        <v>0</v>
      </c>
      <c r="Y9" s="2">
        <f t="shared" si="6"/>
        <v>0</v>
      </c>
      <c r="Z9" s="18">
        <f t="shared" si="6"/>
        <v>0</v>
      </c>
      <c r="AA9" s="18">
        <f t="shared" si="6"/>
        <v>0</v>
      </c>
    </row>
    <row r="10" spans="1:27" ht="14.25" customHeight="1" x14ac:dyDescent="0.3">
      <c r="B10" s="2">
        <v>8</v>
      </c>
      <c r="C10" s="2">
        <v>0.01</v>
      </c>
      <c r="D10" s="2">
        <v>0</v>
      </c>
      <c r="E10" s="2">
        <v>0</v>
      </c>
      <c r="F10" s="2">
        <v>0</v>
      </c>
      <c r="G10" s="2">
        <v>0</v>
      </c>
      <c r="H10" s="2" t="s">
        <v>17</v>
      </c>
      <c r="J10" s="2">
        <v>8</v>
      </c>
      <c r="K10" s="2">
        <v>0.01</v>
      </c>
      <c r="L10" s="2">
        <v>-7.2055286567905004</v>
      </c>
      <c r="M10" s="15">
        <v>3.3765412288849502E-6</v>
      </c>
      <c r="N10" s="2">
        <v>-6.5302354831988199</v>
      </c>
      <c r="O10" s="2" t="s">
        <v>18</v>
      </c>
      <c r="Q10" s="2">
        <v>8</v>
      </c>
      <c r="R10" s="2">
        <v>0.02</v>
      </c>
      <c r="U10" s="15"/>
      <c r="V10" s="15"/>
      <c r="X10" s="2">
        <f t="shared" ref="X10:AA10" si="7">S11-S10</f>
        <v>0</v>
      </c>
      <c r="Y10" s="2">
        <f t="shared" si="7"/>
        <v>0</v>
      </c>
      <c r="Z10" s="18">
        <f t="shared" si="7"/>
        <v>0</v>
      </c>
      <c r="AA10" s="18">
        <f t="shared" si="7"/>
        <v>0</v>
      </c>
    </row>
    <row r="11" spans="1:27" ht="14.25" customHeight="1" x14ac:dyDescent="0.3">
      <c r="B11" s="2">
        <v>9</v>
      </c>
      <c r="C11" s="2">
        <v>0.01</v>
      </c>
      <c r="D11" s="2">
        <v>-6.1310717222884596</v>
      </c>
      <c r="E11" s="2">
        <v>0.16632941668679499</v>
      </c>
      <c r="F11" s="2">
        <v>0.313</v>
      </c>
      <c r="G11" s="2">
        <v>-7.2415756713671602</v>
      </c>
      <c r="H11" s="2" t="s">
        <v>18</v>
      </c>
      <c r="J11" s="2">
        <v>9</v>
      </c>
      <c r="K11" s="2">
        <v>1.4999999999999999E-2</v>
      </c>
      <c r="L11" s="2">
        <v>0</v>
      </c>
      <c r="M11" s="15">
        <v>0</v>
      </c>
      <c r="N11" s="2">
        <v>0</v>
      </c>
      <c r="O11" s="5" t="s">
        <v>6</v>
      </c>
      <c r="Q11" s="2">
        <v>9</v>
      </c>
      <c r="R11" s="2">
        <v>2.2499999999999999E-2</v>
      </c>
      <c r="U11" s="15"/>
      <c r="V11" s="15"/>
      <c r="X11" s="2">
        <f t="shared" ref="X11:AA11" si="8">S12-S11</f>
        <v>0</v>
      </c>
      <c r="Y11" s="2">
        <f t="shared" si="8"/>
        <v>0</v>
      </c>
      <c r="Z11" s="18">
        <f t="shared" si="8"/>
        <v>0</v>
      </c>
      <c r="AA11" s="18">
        <f t="shared" si="8"/>
        <v>0</v>
      </c>
    </row>
    <row r="12" spans="1:27" ht="14.25" customHeight="1" x14ac:dyDescent="0.3">
      <c r="B12" s="2">
        <v>10</v>
      </c>
      <c r="C12" s="11">
        <v>0.01</v>
      </c>
      <c r="D12" s="2">
        <v>53.852297550307703</v>
      </c>
      <c r="E12" s="2">
        <v>0.54298572867323902</v>
      </c>
      <c r="F12" s="2">
        <v>1.3009999999999999</v>
      </c>
      <c r="G12" s="2">
        <v>99.421278742398698</v>
      </c>
      <c r="H12" s="11" t="s">
        <v>45</v>
      </c>
      <c r="J12" s="2">
        <v>10</v>
      </c>
      <c r="K12" s="2">
        <v>1.4999999999999999E-2</v>
      </c>
      <c r="L12" s="2">
        <v>11.507928809827501</v>
      </c>
      <c r="M12" s="2">
        <v>3.5886917758920598</v>
      </c>
      <c r="N12" s="2">
        <v>73.507448952864607</v>
      </c>
      <c r="O12" s="2" t="s">
        <v>16</v>
      </c>
      <c r="Q12" s="2">
        <v>10</v>
      </c>
      <c r="R12" s="2">
        <v>2.5000000000000001E-2</v>
      </c>
      <c r="U12" s="15"/>
      <c r="V12" s="15"/>
      <c r="X12" s="2">
        <f t="shared" ref="X12:AA12" si="9">S13-S12</f>
        <v>0</v>
      </c>
      <c r="Y12" s="2">
        <f t="shared" si="9"/>
        <v>0</v>
      </c>
      <c r="Z12" s="18">
        <f t="shared" si="9"/>
        <v>0</v>
      </c>
      <c r="AA12" s="18">
        <f t="shared" si="9"/>
        <v>0</v>
      </c>
    </row>
    <row r="13" spans="1:27" ht="14.25" customHeight="1" x14ac:dyDescent="0.3">
      <c r="B13" s="2">
        <v>11</v>
      </c>
      <c r="C13" s="5">
        <v>1.4999999999999999E-2</v>
      </c>
      <c r="D13" s="2">
        <v>0</v>
      </c>
      <c r="E13" s="2">
        <v>0</v>
      </c>
      <c r="F13" s="2">
        <v>0</v>
      </c>
      <c r="G13" s="2">
        <v>0</v>
      </c>
      <c r="H13" s="5" t="s">
        <v>6</v>
      </c>
      <c r="J13" s="2">
        <v>11</v>
      </c>
      <c r="K13" s="2">
        <v>1.4999999999999999E-2</v>
      </c>
      <c r="L13" s="2">
        <v>0</v>
      </c>
      <c r="M13" s="2">
        <v>0</v>
      </c>
      <c r="N13" s="2">
        <v>0</v>
      </c>
      <c r="O13" s="2" t="s">
        <v>17</v>
      </c>
      <c r="Q13" s="2">
        <v>11</v>
      </c>
      <c r="R13" s="2">
        <v>2.75E-2</v>
      </c>
      <c r="U13" s="15"/>
      <c r="V13" s="15"/>
      <c r="X13" s="2">
        <f t="shared" ref="X13:AA13" si="10">S14-S13</f>
        <v>0</v>
      </c>
      <c r="Y13" s="2">
        <f t="shared" si="10"/>
        <v>0</v>
      </c>
      <c r="Z13" s="18">
        <f t="shared" si="10"/>
        <v>0</v>
      </c>
      <c r="AA13" s="18">
        <f t="shared" si="10"/>
        <v>0</v>
      </c>
    </row>
    <row r="14" spans="1:27" ht="14.25" customHeight="1" x14ac:dyDescent="0.3">
      <c r="B14" s="2">
        <v>12</v>
      </c>
      <c r="C14" s="2">
        <v>1.4999999999999999E-2</v>
      </c>
      <c r="D14" s="2">
        <v>11.4427001220575</v>
      </c>
      <c r="E14" s="2">
        <v>1.72578445470093</v>
      </c>
      <c r="F14" s="2">
        <v>1.8180000000000001</v>
      </c>
      <c r="G14" s="2">
        <v>90.827721625596396</v>
      </c>
      <c r="H14" s="2" t="s">
        <v>16</v>
      </c>
      <c r="J14" s="2">
        <v>12</v>
      </c>
      <c r="K14" s="2">
        <v>1.4999999999999999E-2</v>
      </c>
      <c r="L14" s="2">
        <v>-7.2942947640244897</v>
      </c>
      <c r="M14" s="2">
        <v>2.97681686530081E-2</v>
      </c>
      <c r="N14" s="2">
        <v>-6.4826621449405097</v>
      </c>
      <c r="O14" s="2" t="s">
        <v>18</v>
      </c>
      <c r="Q14" s="2">
        <v>12</v>
      </c>
      <c r="R14" s="2">
        <v>0.03</v>
      </c>
      <c r="U14" s="15"/>
      <c r="V14" s="15"/>
      <c r="X14" s="2">
        <f t="shared" ref="X14:AA14" si="11">S15-S14</f>
        <v>0</v>
      </c>
      <c r="Y14" s="2">
        <f t="shared" si="11"/>
        <v>0</v>
      </c>
      <c r="Z14" s="18">
        <f t="shared" si="11"/>
        <v>0</v>
      </c>
      <c r="AA14" s="18">
        <f t="shared" si="11"/>
        <v>0</v>
      </c>
    </row>
    <row r="15" spans="1:27" ht="14.25" customHeight="1" x14ac:dyDescent="0.3">
      <c r="B15" s="2">
        <v>13</v>
      </c>
      <c r="C15" s="2">
        <v>1.4999999999999999E-2</v>
      </c>
      <c r="D15" s="2">
        <v>0</v>
      </c>
      <c r="E15" s="2">
        <v>0</v>
      </c>
      <c r="F15" s="2">
        <v>0</v>
      </c>
      <c r="G15" s="2">
        <v>0</v>
      </c>
      <c r="H15" s="2" t="s">
        <v>17</v>
      </c>
      <c r="J15" s="2">
        <v>13</v>
      </c>
      <c r="K15" s="2">
        <v>0.02</v>
      </c>
      <c r="L15" s="2">
        <v>0</v>
      </c>
      <c r="M15" s="15">
        <v>0</v>
      </c>
      <c r="N15" s="2">
        <v>0</v>
      </c>
      <c r="O15" s="5" t="s">
        <v>6</v>
      </c>
      <c r="Q15" s="2">
        <v>13</v>
      </c>
      <c r="R15" s="2">
        <v>3.2500000000000001E-2</v>
      </c>
      <c r="U15" s="15"/>
      <c r="V15" s="15"/>
      <c r="X15" s="2">
        <f t="shared" ref="X15:AA15" si="12">S16-S15</f>
        <v>0</v>
      </c>
      <c r="Y15" s="2">
        <f t="shared" si="12"/>
        <v>0</v>
      </c>
      <c r="Z15" s="18">
        <f t="shared" si="12"/>
        <v>0</v>
      </c>
      <c r="AA15" s="18">
        <f t="shared" si="12"/>
        <v>0</v>
      </c>
    </row>
    <row r="16" spans="1:27" ht="14.25" customHeight="1" x14ac:dyDescent="0.3">
      <c r="B16" s="2">
        <v>14</v>
      </c>
      <c r="C16" s="2">
        <v>1.4999999999999999E-2</v>
      </c>
      <c r="D16" s="2">
        <v>-7.2942947641747899</v>
      </c>
      <c r="E16" s="2">
        <v>6.4973676171701401E-3</v>
      </c>
      <c r="F16" s="2">
        <v>0</v>
      </c>
      <c r="G16" s="2">
        <v>-6.4826621449405097</v>
      </c>
      <c r="H16" s="2" t="s">
        <v>18</v>
      </c>
      <c r="J16" s="2">
        <v>14</v>
      </c>
      <c r="K16" s="2">
        <v>0.02</v>
      </c>
      <c r="L16" s="2">
        <v>11.5743839226362</v>
      </c>
      <c r="M16" s="2">
        <v>3.90935173732495</v>
      </c>
      <c r="N16" s="2">
        <v>73.112817420800198</v>
      </c>
      <c r="O16" s="2" t="s">
        <v>16</v>
      </c>
      <c r="Q16" s="2">
        <v>14</v>
      </c>
      <c r="R16" s="2">
        <v>3.5000000000000003E-2</v>
      </c>
      <c r="U16" s="15"/>
      <c r="V16" s="15"/>
      <c r="X16" s="2">
        <f t="shared" ref="X16:AA16" si="13">S17-S16</f>
        <v>0</v>
      </c>
      <c r="Y16" s="2">
        <f t="shared" si="13"/>
        <v>0</v>
      </c>
      <c r="Z16" s="18">
        <f t="shared" si="13"/>
        <v>0</v>
      </c>
      <c r="AA16" s="18">
        <f t="shared" si="13"/>
        <v>0</v>
      </c>
    </row>
    <row r="17" spans="2:27" ht="14.25" customHeight="1" x14ac:dyDescent="0.3">
      <c r="B17" s="2">
        <v>15</v>
      </c>
      <c r="C17" s="11">
        <v>1.4999999999999999E-2</v>
      </c>
      <c r="D17" s="2">
        <v>53.824773487781101</v>
      </c>
      <c r="E17" s="2">
        <v>0.63409154393814204</v>
      </c>
      <c r="F17" s="2">
        <v>1.3140000000000001</v>
      </c>
      <c r="G17" s="2">
        <v>99.241977236479798</v>
      </c>
      <c r="H17" s="11" t="s">
        <v>45</v>
      </c>
      <c r="J17" s="2">
        <v>15</v>
      </c>
      <c r="K17" s="2">
        <v>0.02</v>
      </c>
      <c r="L17" s="2">
        <v>0</v>
      </c>
      <c r="M17" s="2">
        <v>0</v>
      </c>
      <c r="N17" s="2">
        <v>0</v>
      </c>
      <c r="O17" s="2" t="s">
        <v>17</v>
      </c>
      <c r="Q17" s="2">
        <v>15</v>
      </c>
      <c r="R17" s="2">
        <v>3.7499999999999999E-2</v>
      </c>
      <c r="U17" s="15"/>
      <c r="V17" s="15"/>
      <c r="X17" s="2">
        <f t="shared" ref="X17:AA17" si="14">S18-S17</f>
        <v>0</v>
      </c>
      <c r="Y17" s="2">
        <f t="shared" si="14"/>
        <v>0</v>
      </c>
      <c r="Z17" s="18">
        <f t="shared" si="14"/>
        <v>0</v>
      </c>
      <c r="AA17" s="18">
        <f t="shared" si="14"/>
        <v>0</v>
      </c>
    </row>
    <row r="18" spans="2:27" ht="14.25" customHeight="1" x14ac:dyDescent="0.3">
      <c r="B18" s="2">
        <v>16</v>
      </c>
      <c r="C18" s="5">
        <v>0.02</v>
      </c>
      <c r="D18" s="2">
        <v>0</v>
      </c>
      <c r="E18" s="2">
        <v>0</v>
      </c>
      <c r="F18" s="2">
        <v>0</v>
      </c>
      <c r="G18" s="2">
        <v>0</v>
      </c>
      <c r="H18" s="5" t="s">
        <v>6</v>
      </c>
      <c r="J18" s="2">
        <v>16</v>
      </c>
      <c r="K18" s="2">
        <v>0.02</v>
      </c>
      <c r="L18" s="2">
        <v>-7.4099249188685601</v>
      </c>
      <c r="M18" s="2">
        <v>2.2791045550240498E-2</v>
      </c>
      <c r="N18" s="2">
        <v>-6.4663072486051503</v>
      </c>
      <c r="O18" s="2" t="s">
        <v>18</v>
      </c>
      <c r="Q18" s="2">
        <v>16</v>
      </c>
      <c r="R18" s="2">
        <v>0.04</v>
      </c>
      <c r="U18" s="15"/>
      <c r="V18" s="15"/>
      <c r="X18" s="2">
        <f t="shared" ref="X18:AA18" si="15">S19-S18</f>
        <v>0</v>
      </c>
      <c r="Y18" s="2">
        <f t="shared" si="15"/>
        <v>0</v>
      </c>
      <c r="Z18" s="18">
        <f t="shared" si="15"/>
        <v>0</v>
      </c>
      <c r="AA18" s="18">
        <f t="shared" si="15"/>
        <v>0</v>
      </c>
    </row>
    <row r="19" spans="2:27" ht="14.25" customHeight="1" x14ac:dyDescent="0.3">
      <c r="B19" s="2">
        <v>17</v>
      </c>
      <c r="C19" s="2">
        <v>0.02</v>
      </c>
      <c r="D19" s="2">
        <v>11.487241817069799</v>
      </c>
      <c r="E19" s="2">
        <v>1.43386531612155</v>
      </c>
      <c r="F19" s="2">
        <v>2.4830000000000001</v>
      </c>
      <c r="G19" s="2">
        <v>91.659757859536995</v>
      </c>
      <c r="H19" s="2" t="s">
        <v>16</v>
      </c>
      <c r="J19" s="2">
        <v>17</v>
      </c>
      <c r="K19" s="2">
        <v>2.5000000000000001E-2</v>
      </c>
      <c r="L19" s="2">
        <v>0</v>
      </c>
      <c r="M19" s="15">
        <v>0</v>
      </c>
      <c r="N19" s="2">
        <v>0</v>
      </c>
      <c r="O19" s="5" t="s">
        <v>6</v>
      </c>
      <c r="Q19" s="2">
        <v>17</v>
      </c>
      <c r="R19" s="2">
        <v>4.2500000000000003E-2</v>
      </c>
      <c r="U19" s="15"/>
      <c r="V19" s="15"/>
      <c r="X19" s="2">
        <f t="shared" ref="X19:AA19" si="16">S20-S19</f>
        <v>0</v>
      </c>
      <c r="Y19" s="2">
        <f t="shared" si="16"/>
        <v>0</v>
      </c>
      <c r="Z19" s="18">
        <f t="shared" si="16"/>
        <v>0</v>
      </c>
      <c r="AA19" s="18">
        <f t="shared" si="16"/>
        <v>0</v>
      </c>
    </row>
    <row r="20" spans="2:27" ht="14.25" customHeight="1" x14ac:dyDescent="0.3">
      <c r="B20" s="2">
        <v>18</v>
      </c>
      <c r="C20" s="2">
        <v>0.02</v>
      </c>
      <c r="D20" s="2">
        <v>0</v>
      </c>
      <c r="E20" s="2">
        <v>0</v>
      </c>
      <c r="F20" s="2">
        <v>0</v>
      </c>
      <c r="G20" s="2">
        <v>0</v>
      </c>
      <c r="H20" s="2" t="s">
        <v>17</v>
      </c>
      <c r="J20" s="2">
        <v>18</v>
      </c>
      <c r="K20" s="2">
        <v>2.5000000000000001E-2</v>
      </c>
      <c r="L20" s="2">
        <v>11.641343199643099</v>
      </c>
      <c r="M20" s="2">
        <v>4.2774558469280697</v>
      </c>
      <c r="N20" s="2">
        <v>73.207756581950505</v>
      </c>
      <c r="O20" s="2" t="s">
        <v>16</v>
      </c>
      <c r="Q20" s="2">
        <v>18</v>
      </c>
      <c r="R20" s="2">
        <v>4.4999999999999998E-2</v>
      </c>
      <c r="U20" s="15"/>
      <c r="V20" s="15"/>
      <c r="X20" s="2">
        <f t="shared" ref="X20:AA20" si="17">S21-S20</f>
        <v>0</v>
      </c>
      <c r="Y20" s="2">
        <f t="shared" si="17"/>
        <v>0</v>
      </c>
      <c r="Z20" s="18">
        <f t="shared" si="17"/>
        <v>0</v>
      </c>
      <c r="AA20" s="18">
        <f t="shared" si="17"/>
        <v>0</v>
      </c>
    </row>
    <row r="21" spans="2:27" ht="14.25" customHeight="1" x14ac:dyDescent="0.3">
      <c r="B21" s="2">
        <v>19</v>
      </c>
      <c r="C21" s="2">
        <v>0.02</v>
      </c>
      <c r="D21" s="2">
        <v>-6.1842756240155099</v>
      </c>
      <c r="E21" s="2">
        <v>0.169523897153883</v>
      </c>
      <c r="F21" s="2">
        <v>0.182</v>
      </c>
      <c r="G21" s="2">
        <v>-7.3085842515694797</v>
      </c>
      <c r="H21" s="2" t="s">
        <v>18</v>
      </c>
      <c r="J21" s="2">
        <v>19</v>
      </c>
      <c r="K21" s="2">
        <v>2.5000000000000001E-2</v>
      </c>
      <c r="L21" s="2">
        <v>0</v>
      </c>
      <c r="M21" s="2">
        <v>0</v>
      </c>
      <c r="N21" s="2">
        <v>0</v>
      </c>
      <c r="O21" s="2" t="s">
        <v>17</v>
      </c>
      <c r="Q21" s="2">
        <v>19</v>
      </c>
      <c r="R21" s="2">
        <v>4.7500000000000001E-2</v>
      </c>
      <c r="U21" s="15"/>
      <c r="V21" s="15"/>
      <c r="X21" s="2">
        <f t="shared" ref="X21:AA21" si="18">S22-S21</f>
        <v>0</v>
      </c>
      <c r="Y21" s="2">
        <f t="shared" si="18"/>
        <v>0</v>
      </c>
      <c r="Z21" s="18">
        <f t="shared" si="18"/>
        <v>0</v>
      </c>
      <c r="AA21" s="18">
        <f t="shared" si="18"/>
        <v>0</v>
      </c>
    </row>
    <row r="22" spans="2:27" ht="14.25" customHeight="1" x14ac:dyDescent="0.3">
      <c r="B22" s="2">
        <v>20</v>
      </c>
      <c r="C22" s="11">
        <v>0.02</v>
      </c>
      <c r="D22" s="2">
        <v>53.794252327598201</v>
      </c>
      <c r="E22" s="2">
        <v>0.79231365752509497</v>
      </c>
      <c r="F22" s="2">
        <v>1.244</v>
      </c>
      <c r="G22" s="2">
        <v>99.279524509320197</v>
      </c>
      <c r="H22" s="11" t="s">
        <v>45</v>
      </c>
      <c r="J22" s="2">
        <v>20</v>
      </c>
      <c r="K22" s="2">
        <v>2.5000000000000001E-2</v>
      </c>
      <c r="L22" s="2">
        <v>-7.4899869161717296</v>
      </c>
      <c r="M22" s="2">
        <v>1.85462750004739E-2</v>
      </c>
      <c r="N22" s="2">
        <v>-6.42780761477559</v>
      </c>
      <c r="O22" s="2" t="s">
        <v>18</v>
      </c>
      <c r="Q22" s="2">
        <v>20</v>
      </c>
      <c r="R22" s="2">
        <v>0.05</v>
      </c>
      <c r="U22" s="15"/>
      <c r="V22" s="15"/>
      <c r="X22" s="2">
        <f t="shared" ref="X22:AA22" si="19">S23-S22</f>
        <v>0</v>
      </c>
      <c r="Y22" s="2">
        <f t="shared" si="19"/>
        <v>0</v>
      </c>
      <c r="Z22" s="18">
        <f t="shared" si="19"/>
        <v>0</v>
      </c>
      <c r="AA22" s="18">
        <f t="shared" si="19"/>
        <v>0</v>
      </c>
    </row>
    <row r="23" spans="2:27" ht="14.25" customHeight="1" x14ac:dyDescent="0.3">
      <c r="B23" s="2">
        <v>21</v>
      </c>
      <c r="C23" s="5">
        <v>2.5000000000000001E-2</v>
      </c>
      <c r="D23" s="2">
        <v>0</v>
      </c>
      <c r="E23" s="2">
        <v>0</v>
      </c>
      <c r="F23" s="2">
        <v>0</v>
      </c>
      <c r="G23" s="2">
        <v>0</v>
      </c>
      <c r="H23" s="5" t="s">
        <v>6</v>
      </c>
      <c r="J23" s="2">
        <v>21</v>
      </c>
      <c r="K23" s="2">
        <v>0.03</v>
      </c>
      <c r="L23" s="2">
        <v>0</v>
      </c>
      <c r="M23" s="2">
        <v>0</v>
      </c>
      <c r="N23" s="2">
        <v>0</v>
      </c>
      <c r="O23" s="5" t="s">
        <v>6</v>
      </c>
      <c r="Q23" s="2">
        <v>21</v>
      </c>
      <c r="R23" s="2">
        <v>5.2499999999999998E-2</v>
      </c>
      <c r="U23" s="15"/>
      <c r="V23" s="15"/>
      <c r="X23" s="2">
        <f t="shared" ref="X23:AA23" si="20">S24-S23</f>
        <v>0</v>
      </c>
      <c r="Y23" s="2">
        <f t="shared" si="20"/>
        <v>0</v>
      </c>
      <c r="Z23" s="18">
        <f t="shared" si="20"/>
        <v>0</v>
      </c>
      <c r="AA23" s="18">
        <f t="shared" si="20"/>
        <v>0</v>
      </c>
    </row>
    <row r="24" spans="2:27" ht="14.25" customHeight="1" x14ac:dyDescent="0.3">
      <c r="B24" s="2">
        <v>22</v>
      </c>
      <c r="C24" s="2">
        <v>2.5000000000000001E-2</v>
      </c>
      <c r="D24" s="2">
        <v>11.5515853403174</v>
      </c>
      <c r="E24" s="2">
        <v>1.75837641405248</v>
      </c>
      <c r="F24" s="2">
        <v>2.5089999999999999</v>
      </c>
      <c r="G24" s="2">
        <v>91.203205578041107</v>
      </c>
      <c r="H24" s="2" t="s">
        <v>16</v>
      </c>
      <c r="J24" s="2">
        <v>22</v>
      </c>
      <c r="K24" s="2">
        <v>0.03</v>
      </c>
      <c r="L24" s="2">
        <v>11.707594869889901</v>
      </c>
      <c r="M24" s="2">
        <v>4.5171829871916396</v>
      </c>
      <c r="N24" s="2">
        <v>72.767056061453502</v>
      </c>
      <c r="O24" s="2" t="s">
        <v>16</v>
      </c>
      <c r="Q24" s="2">
        <v>22</v>
      </c>
      <c r="R24" s="2">
        <v>5.5E-2</v>
      </c>
      <c r="U24" s="15"/>
      <c r="V24" s="15"/>
      <c r="X24" s="2">
        <f t="shared" ref="X24:AA24" si="21">S25-S24</f>
        <v>0</v>
      </c>
      <c r="Y24" s="2">
        <f t="shared" si="21"/>
        <v>0</v>
      </c>
      <c r="Z24" s="18">
        <f t="shared" si="21"/>
        <v>0</v>
      </c>
      <c r="AA24" s="18">
        <f t="shared" si="21"/>
        <v>0</v>
      </c>
    </row>
    <row r="25" spans="2:27" ht="14.25" customHeight="1" x14ac:dyDescent="0.3">
      <c r="B25" s="2">
        <v>23</v>
      </c>
      <c r="C25" s="2">
        <v>2.5000000000000001E-2</v>
      </c>
      <c r="D25" s="2">
        <v>0</v>
      </c>
      <c r="E25" s="2">
        <v>0</v>
      </c>
      <c r="F25" s="2">
        <v>0</v>
      </c>
      <c r="G25" s="2">
        <v>0</v>
      </c>
      <c r="H25" s="2" t="s">
        <v>17</v>
      </c>
      <c r="J25" s="2">
        <v>23</v>
      </c>
      <c r="K25" s="2">
        <v>0.03</v>
      </c>
      <c r="L25" s="2">
        <v>0</v>
      </c>
      <c r="M25" s="2">
        <v>0</v>
      </c>
      <c r="N25" s="2">
        <v>0</v>
      </c>
      <c r="O25" s="2" t="s">
        <v>17</v>
      </c>
      <c r="Q25" s="2">
        <v>23</v>
      </c>
      <c r="R25" s="2">
        <v>5.7500000000000002E-2</v>
      </c>
      <c r="U25" s="15"/>
      <c r="V25" s="15"/>
      <c r="X25" s="2">
        <f t="shared" ref="X25:AA25" si="22">S26-S25</f>
        <v>0</v>
      </c>
      <c r="Y25" s="2">
        <f t="shared" si="22"/>
        <v>0</v>
      </c>
      <c r="Z25" s="18">
        <f t="shared" si="22"/>
        <v>0</v>
      </c>
      <c r="AA25" s="18">
        <f t="shared" si="22"/>
        <v>0</v>
      </c>
    </row>
    <row r="26" spans="2:27" ht="14.25" customHeight="1" x14ac:dyDescent="0.3">
      <c r="B26" s="2">
        <v>24</v>
      </c>
      <c r="C26" s="2">
        <v>2.5000000000000001E-2</v>
      </c>
      <c r="D26" s="2">
        <v>-6.2151550977718504</v>
      </c>
      <c r="E26" s="2">
        <v>0.17469228296035599</v>
      </c>
      <c r="F26" s="2">
        <v>0.20599999999999999</v>
      </c>
      <c r="G26" s="2">
        <v>-7.3485599750014803</v>
      </c>
      <c r="H26" s="2" t="s">
        <v>18</v>
      </c>
      <c r="J26" s="2">
        <v>24</v>
      </c>
      <c r="K26" s="2">
        <v>0.03</v>
      </c>
      <c r="L26" s="2">
        <v>-7.5789510267878804</v>
      </c>
      <c r="M26" s="2">
        <v>1.6288095260939901E-2</v>
      </c>
      <c r="N26" s="2">
        <v>-6.4070933139876596</v>
      </c>
      <c r="O26" s="2" t="s">
        <v>18</v>
      </c>
      <c r="Q26" s="2">
        <v>24</v>
      </c>
      <c r="R26" s="2">
        <v>0.06</v>
      </c>
      <c r="U26" s="15"/>
      <c r="V26" s="15"/>
      <c r="X26" s="2">
        <f t="shared" ref="X26:AA26" si="23">S27-S26</f>
        <v>0</v>
      </c>
      <c r="Y26" s="2">
        <f t="shared" si="23"/>
        <v>0</v>
      </c>
      <c r="Z26" s="18">
        <f t="shared" si="23"/>
        <v>0</v>
      </c>
      <c r="AA26" s="18">
        <f t="shared" si="23"/>
        <v>0</v>
      </c>
    </row>
    <row r="27" spans="2:27" ht="14.25" customHeight="1" x14ac:dyDescent="0.3">
      <c r="B27" s="2">
        <v>25</v>
      </c>
      <c r="C27" s="11">
        <v>2.5000000000000001E-2</v>
      </c>
      <c r="D27" s="2">
        <v>53.762586886104998</v>
      </c>
      <c r="E27" s="2">
        <v>0.88687156658426203</v>
      </c>
      <c r="F27" s="2">
        <v>1.2330000000000001</v>
      </c>
      <c r="G27" s="2">
        <v>99.306441202935503</v>
      </c>
      <c r="H27" s="11" t="s">
        <v>45</v>
      </c>
      <c r="J27" s="2">
        <v>25</v>
      </c>
      <c r="K27" s="2">
        <v>3.5000000000000003E-2</v>
      </c>
      <c r="L27" s="2">
        <v>0</v>
      </c>
      <c r="M27" s="15">
        <v>0</v>
      </c>
      <c r="N27" s="2">
        <v>0</v>
      </c>
      <c r="O27" s="5" t="s">
        <v>6</v>
      </c>
      <c r="Q27" s="2">
        <v>25</v>
      </c>
      <c r="R27" s="2">
        <v>6.25E-2</v>
      </c>
      <c r="U27" s="15"/>
      <c r="V27" s="15"/>
      <c r="X27" s="2">
        <f t="shared" ref="X27:AA27" si="24">S28-S27</f>
        <v>0</v>
      </c>
      <c r="Y27" s="2">
        <f t="shared" si="24"/>
        <v>0</v>
      </c>
      <c r="Z27" s="18">
        <f t="shared" si="24"/>
        <v>0</v>
      </c>
      <c r="AA27" s="18">
        <f t="shared" si="24"/>
        <v>0</v>
      </c>
    </row>
    <row r="28" spans="2:27" ht="14.25" customHeight="1" x14ac:dyDescent="0.3">
      <c r="B28" s="2">
        <v>26</v>
      </c>
      <c r="C28" s="5">
        <v>0.03</v>
      </c>
      <c r="D28" s="2">
        <v>0</v>
      </c>
      <c r="E28" s="2">
        <v>0</v>
      </c>
      <c r="F28" s="2">
        <v>0</v>
      </c>
      <c r="G28" s="2">
        <v>0</v>
      </c>
      <c r="H28" s="5" t="s">
        <v>6</v>
      </c>
      <c r="J28" s="2">
        <v>26</v>
      </c>
      <c r="K28" s="2">
        <v>3.5000000000000003E-2</v>
      </c>
      <c r="L28" s="2">
        <v>11.7739958675655</v>
      </c>
      <c r="M28" s="2">
        <v>4.7372435209707699</v>
      </c>
      <c r="N28" s="2">
        <v>72.4528806407871</v>
      </c>
      <c r="O28" s="2" t="s">
        <v>16</v>
      </c>
      <c r="Q28" s="2">
        <v>26</v>
      </c>
      <c r="R28" s="2">
        <v>6.5000000000000002E-2</v>
      </c>
      <c r="U28" s="15"/>
      <c r="V28" s="15"/>
      <c r="X28" s="2">
        <f t="shared" ref="X28:AA28" si="25">S29-S28</f>
        <v>0</v>
      </c>
      <c r="Y28" s="2">
        <f t="shared" si="25"/>
        <v>0</v>
      </c>
      <c r="Z28" s="18">
        <f t="shared" si="25"/>
        <v>0</v>
      </c>
      <c r="AA28" s="18">
        <f t="shared" si="25"/>
        <v>0</v>
      </c>
    </row>
    <row r="29" spans="2:27" ht="14.25" customHeight="1" x14ac:dyDescent="0.3">
      <c r="B29" s="2">
        <v>27</v>
      </c>
      <c r="C29" s="2">
        <v>0.03</v>
      </c>
      <c r="D29" s="2">
        <v>11.6129656217012</v>
      </c>
      <c r="E29" s="2">
        <v>1.9109306241233901</v>
      </c>
      <c r="F29" s="2">
        <v>2.5760000000000001</v>
      </c>
      <c r="G29" s="2">
        <v>91.051060490508803</v>
      </c>
      <c r="H29" s="2" t="s">
        <v>16</v>
      </c>
      <c r="J29" s="2">
        <v>27</v>
      </c>
      <c r="K29" s="2">
        <v>3.5000000000000003E-2</v>
      </c>
      <c r="L29" s="2">
        <v>0</v>
      </c>
      <c r="M29" s="2">
        <v>0</v>
      </c>
      <c r="N29" s="2">
        <v>0</v>
      </c>
      <c r="O29" s="2" t="s">
        <v>17</v>
      </c>
      <c r="Q29" s="2">
        <v>27</v>
      </c>
      <c r="R29" s="2">
        <v>6.7500000000000004E-2</v>
      </c>
      <c r="U29" s="15"/>
      <c r="V29" s="15"/>
      <c r="X29" s="2">
        <f t="shared" ref="X29:AA29" si="26">S30-S29</f>
        <v>0</v>
      </c>
      <c r="Y29" s="2">
        <f t="shared" si="26"/>
        <v>0</v>
      </c>
      <c r="Z29" s="18">
        <f t="shared" si="26"/>
        <v>0</v>
      </c>
      <c r="AA29" s="18">
        <f t="shared" si="26"/>
        <v>0</v>
      </c>
    </row>
    <row r="30" spans="2:27" ht="14.25" customHeight="1" x14ac:dyDescent="0.3">
      <c r="B30" s="2">
        <v>28</v>
      </c>
      <c r="C30" s="2">
        <v>0.03</v>
      </c>
      <c r="D30" s="2">
        <v>0</v>
      </c>
      <c r="E30" s="2">
        <v>0</v>
      </c>
      <c r="F30" s="2">
        <v>0</v>
      </c>
      <c r="G30" s="2">
        <v>0</v>
      </c>
      <c r="H30" s="2" t="s">
        <v>17</v>
      </c>
      <c r="J30" s="2">
        <v>28</v>
      </c>
      <c r="K30" s="2">
        <v>3.5000000000000003E-2</v>
      </c>
      <c r="L30" s="2">
        <v>-7.6635985030370701</v>
      </c>
      <c r="M30" s="2">
        <v>1.4584836214248701E-2</v>
      </c>
      <c r="N30" s="2">
        <v>-6.3882895021096999</v>
      </c>
      <c r="O30" s="2" t="s">
        <v>18</v>
      </c>
      <c r="Q30" s="2">
        <v>28</v>
      </c>
      <c r="R30" s="2">
        <v>7.0000000000000007E-2</v>
      </c>
      <c r="U30" s="15"/>
      <c r="V30" s="15"/>
      <c r="X30" s="2">
        <f t="shared" ref="X30:AA30" si="27">S31-S30</f>
        <v>0</v>
      </c>
      <c r="Y30" s="2">
        <f t="shared" si="27"/>
        <v>0</v>
      </c>
      <c r="Z30" s="18">
        <f t="shared" si="27"/>
        <v>0</v>
      </c>
      <c r="AA30" s="18">
        <f t="shared" si="27"/>
        <v>0</v>
      </c>
    </row>
    <row r="31" spans="2:27" ht="14.25" customHeight="1" x14ac:dyDescent="0.3">
      <c r="B31" s="2">
        <v>29</v>
      </c>
      <c r="C31" s="2">
        <v>0.03</v>
      </c>
      <c r="D31" s="2">
        <v>-6.2440206722299001</v>
      </c>
      <c r="E31" s="2">
        <v>0.17348168422933199</v>
      </c>
      <c r="F31" s="2">
        <v>0.17</v>
      </c>
      <c r="G31" s="2">
        <v>-7.3873814085329199</v>
      </c>
      <c r="H31" s="2" t="s">
        <v>18</v>
      </c>
      <c r="J31" s="2">
        <v>29</v>
      </c>
      <c r="K31" s="2">
        <v>0.04</v>
      </c>
      <c r="L31" s="2">
        <v>0</v>
      </c>
      <c r="M31" s="15">
        <v>0</v>
      </c>
      <c r="N31" s="2">
        <v>0</v>
      </c>
      <c r="O31" s="5" t="s">
        <v>6</v>
      </c>
      <c r="Q31" s="2">
        <v>29</v>
      </c>
      <c r="R31" s="2">
        <v>7.2499999999999995E-2</v>
      </c>
      <c r="U31" s="15"/>
      <c r="V31" s="15"/>
      <c r="X31" s="2">
        <f t="shared" ref="X31:AA31" si="28">S32-S31</f>
        <v>0</v>
      </c>
      <c r="Y31" s="2">
        <f t="shared" si="28"/>
        <v>0</v>
      </c>
      <c r="Z31" s="18">
        <f t="shared" si="28"/>
        <v>0</v>
      </c>
      <c r="AA31" s="18">
        <f t="shared" si="28"/>
        <v>0</v>
      </c>
    </row>
    <row r="32" spans="2:27" ht="14.25" customHeight="1" x14ac:dyDescent="0.3">
      <c r="B32" s="2">
        <v>30</v>
      </c>
      <c r="C32" s="11">
        <v>0.03</v>
      </c>
      <c r="D32" s="2">
        <v>53.732737472204001</v>
      </c>
      <c r="E32" s="2">
        <v>0.96810749482346203</v>
      </c>
      <c r="F32" s="2">
        <v>1.23</v>
      </c>
      <c r="G32" s="2">
        <v>99.235145432433896</v>
      </c>
      <c r="H32" s="11" t="s">
        <v>45</v>
      </c>
      <c r="J32" s="2">
        <v>30</v>
      </c>
      <c r="K32" s="2">
        <v>0.04</v>
      </c>
      <c r="L32" s="2">
        <v>11.838646813056499</v>
      </c>
      <c r="M32" s="2">
        <v>4.8596440927732996</v>
      </c>
      <c r="N32" s="2">
        <v>72.340366388506098</v>
      </c>
      <c r="O32" s="2" t="s">
        <v>16</v>
      </c>
      <c r="Q32" s="2">
        <v>30</v>
      </c>
      <c r="R32" s="2">
        <v>7.4999999999999997E-2</v>
      </c>
      <c r="S32" s="16"/>
      <c r="T32" s="17"/>
      <c r="U32" s="15"/>
      <c r="V32" s="15"/>
    </row>
    <row r="33" spans="2:27" ht="14.25" customHeight="1" x14ac:dyDescent="0.3">
      <c r="B33" s="2">
        <v>31</v>
      </c>
      <c r="C33" s="5">
        <v>3.5000000000000003E-2</v>
      </c>
      <c r="D33" s="2">
        <v>0</v>
      </c>
      <c r="E33" s="2">
        <v>0</v>
      </c>
      <c r="F33" s="2">
        <v>0</v>
      </c>
      <c r="G33" s="2">
        <v>0</v>
      </c>
      <c r="H33" s="5" t="s">
        <v>6</v>
      </c>
      <c r="J33" s="2">
        <v>31</v>
      </c>
      <c r="K33" s="2">
        <v>0.04</v>
      </c>
      <c r="L33" s="2">
        <v>0</v>
      </c>
      <c r="M33" s="2">
        <v>0</v>
      </c>
      <c r="N33" s="2">
        <v>0</v>
      </c>
      <c r="O33" s="2" t="s">
        <v>17</v>
      </c>
    </row>
    <row r="34" spans="2:27" ht="14.25" customHeight="1" x14ac:dyDescent="0.3">
      <c r="B34" s="2">
        <v>32</v>
      </c>
      <c r="C34" s="2">
        <v>3.5000000000000003E-2</v>
      </c>
      <c r="D34" s="2">
        <v>11.674762760054501</v>
      </c>
      <c r="E34" s="2">
        <v>2.0552327130958901</v>
      </c>
      <c r="F34" s="2">
        <v>2.6349999999999998</v>
      </c>
      <c r="G34" s="2">
        <v>90.886003423038701</v>
      </c>
      <c r="H34" s="2" t="s">
        <v>16</v>
      </c>
      <c r="J34" s="2">
        <v>32</v>
      </c>
      <c r="K34" s="2">
        <v>0.04</v>
      </c>
      <c r="L34" s="2">
        <v>-7.7456115566780301</v>
      </c>
      <c r="M34" s="2">
        <v>1.3863125625968999E-2</v>
      </c>
      <c r="N34" s="2">
        <v>-6.3705694442961498</v>
      </c>
      <c r="O34" s="2" t="s">
        <v>18</v>
      </c>
    </row>
    <row r="35" spans="2:27" ht="14.25" customHeight="1" x14ac:dyDescent="0.3">
      <c r="B35" s="2">
        <v>33</v>
      </c>
      <c r="C35" s="2">
        <v>3.5000000000000003E-2</v>
      </c>
      <c r="D35" s="2">
        <v>0</v>
      </c>
      <c r="E35" s="2">
        <v>0</v>
      </c>
      <c r="F35" s="2">
        <v>0</v>
      </c>
      <c r="G35" s="2">
        <v>0</v>
      </c>
      <c r="H35" s="2" t="s">
        <v>17</v>
      </c>
      <c r="J35" s="2">
        <v>33</v>
      </c>
      <c r="K35" s="2">
        <v>4.4999999999999998E-2</v>
      </c>
      <c r="L35" s="2">
        <v>0</v>
      </c>
      <c r="M35" s="15">
        <v>0</v>
      </c>
      <c r="N35" s="2">
        <v>0</v>
      </c>
      <c r="O35" s="5" t="s">
        <v>6</v>
      </c>
    </row>
    <row r="36" spans="2:27" ht="14.25" customHeight="1" x14ac:dyDescent="0.3">
      <c r="B36" s="2">
        <v>34</v>
      </c>
      <c r="C36" s="2">
        <v>3.5000000000000003E-2</v>
      </c>
      <c r="D36" s="2">
        <v>-6.2738433763819303</v>
      </c>
      <c r="E36" s="2">
        <v>0.169965020254497</v>
      </c>
      <c r="F36" s="2">
        <v>0.13400000000000001</v>
      </c>
      <c r="G36" s="2">
        <v>-7.42350846164857</v>
      </c>
      <c r="H36" s="2" t="s">
        <v>18</v>
      </c>
      <c r="J36" s="2">
        <v>34</v>
      </c>
      <c r="K36" s="2">
        <v>4.4999999999999998E-2</v>
      </c>
      <c r="L36" s="2">
        <v>11.9723586636385</v>
      </c>
      <c r="M36" s="2">
        <v>6.7096966319427498</v>
      </c>
      <c r="N36" s="2">
        <v>66.800375702789793</v>
      </c>
      <c r="O36" s="2" t="s">
        <v>16</v>
      </c>
      <c r="Q36" s="2">
        <v>1</v>
      </c>
      <c r="R36" s="2">
        <v>5.0000000000000001E-3</v>
      </c>
      <c r="S36" s="2">
        <v>-1.0851210789000599E-2</v>
      </c>
      <c r="T36" s="2">
        <v>8.7777063923368797E-3</v>
      </c>
      <c r="U36" s="2">
        <v>3.6282196019296201E-3</v>
      </c>
      <c r="V36" s="2">
        <v>-7.2524305589387701E-3</v>
      </c>
      <c r="X36" s="2">
        <v>0</v>
      </c>
      <c r="Y36" s="2">
        <f t="shared" ref="Y36:Y48" si="29">T37-T36</f>
        <v>1.4262100448689819E-2</v>
      </c>
      <c r="Z36" s="2">
        <v>0</v>
      </c>
      <c r="AA36" s="2">
        <f t="shared" ref="AA36:AA48" si="30">V37-V36</f>
        <v>-9.1073773711347304E-3</v>
      </c>
    </row>
    <row r="37" spans="2:27" ht="14.25" customHeight="1" x14ac:dyDescent="0.3">
      <c r="B37" s="2">
        <v>35</v>
      </c>
      <c r="C37" s="11">
        <v>3.5000000000000003E-2</v>
      </c>
      <c r="D37" s="2">
        <v>53.702733837057202</v>
      </c>
      <c r="E37" s="2">
        <v>1.04172076112873</v>
      </c>
      <c r="F37" s="2">
        <v>1.2290000000000001</v>
      </c>
      <c r="G37" s="2">
        <v>99.157139146826395</v>
      </c>
      <c r="H37" s="11" t="s">
        <v>45</v>
      </c>
      <c r="J37" s="2">
        <v>35</v>
      </c>
      <c r="K37" s="2">
        <v>4.4999999999999998E-2</v>
      </c>
      <c r="L37" s="2">
        <v>0</v>
      </c>
      <c r="M37" s="2">
        <v>0</v>
      </c>
      <c r="N37" s="2">
        <v>0</v>
      </c>
      <c r="O37" s="2" t="s">
        <v>17</v>
      </c>
      <c r="Q37" s="2">
        <v>2</v>
      </c>
      <c r="R37" s="2">
        <v>0.01</v>
      </c>
      <c r="S37" s="2">
        <v>-1.08512107889858E-2</v>
      </c>
      <c r="T37" s="2">
        <v>2.3039806841026699E-2</v>
      </c>
      <c r="U37" s="2">
        <v>3.6282196019296201E-3</v>
      </c>
      <c r="V37" s="2">
        <v>-1.6359807930073501E-2</v>
      </c>
      <c r="X37" s="2">
        <v>0</v>
      </c>
      <c r="Y37" s="2">
        <f t="shared" si="29"/>
        <v>1.4402994935778703E-2</v>
      </c>
      <c r="Z37" s="2">
        <v>0</v>
      </c>
      <c r="AA37" s="2">
        <f t="shared" si="30"/>
        <v>-9.1973486392174994E-3</v>
      </c>
    </row>
    <row r="38" spans="2:27" ht="14.25" customHeight="1" x14ac:dyDescent="0.3">
      <c r="B38" s="2">
        <v>36</v>
      </c>
      <c r="C38" s="5">
        <v>0.04</v>
      </c>
      <c r="D38" s="2">
        <v>0</v>
      </c>
      <c r="E38" s="2">
        <v>0</v>
      </c>
      <c r="F38" s="2">
        <v>0</v>
      </c>
      <c r="G38" s="2">
        <v>0</v>
      </c>
      <c r="H38" s="5" t="s">
        <v>6</v>
      </c>
      <c r="J38" s="2">
        <v>36</v>
      </c>
      <c r="K38" s="2">
        <v>4.4999999999999998E-2</v>
      </c>
      <c r="L38" s="2">
        <v>-8.3804132037975201</v>
      </c>
      <c r="M38" s="2">
        <v>2.2739796139397998E-3</v>
      </c>
      <c r="N38" s="2">
        <v>-5.6055032447840798</v>
      </c>
      <c r="O38" s="2" t="s">
        <v>18</v>
      </c>
      <c r="Q38" s="2">
        <v>3</v>
      </c>
      <c r="R38" s="2">
        <v>1.4999999999999999E-2</v>
      </c>
      <c r="S38" s="2">
        <v>-1.0851210789000599E-2</v>
      </c>
      <c r="T38" s="2">
        <v>3.7442801776805403E-2</v>
      </c>
      <c r="U38" s="2">
        <v>3.6282196019296201E-3</v>
      </c>
      <c r="V38" s="2">
        <v>-2.5557156569291001E-2</v>
      </c>
      <c r="X38" s="2">
        <v>0</v>
      </c>
      <c r="Y38" s="2">
        <f t="shared" si="29"/>
        <v>1.4545976587839897E-2</v>
      </c>
      <c r="Z38" s="2">
        <v>0</v>
      </c>
      <c r="AA38" s="2">
        <f t="shared" si="30"/>
        <v>-9.2886527124010979E-3</v>
      </c>
    </row>
    <row r="39" spans="2:27" ht="14.25" customHeight="1" x14ac:dyDescent="0.3">
      <c r="B39" s="2">
        <v>37</v>
      </c>
      <c r="C39" s="2">
        <v>0.04</v>
      </c>
      <c r="D39" s="2">
        <v>11.735243909666901</v>
      </c>
      <c r="E39" s="2">
        <v>2.1087269839625402</v>
      </c>
      <c r="F39" s="2">
        <v>2.6850000000000001</v>
      </c>
      <c r="G39" s="2">
        <v>91.839380274895603</v>
      </c>
      <c r="H39" s="2" t="s">
        <v>16</v>
      </c>
      <c r="J39" s="2">
        <v>37</v>
      </c>
      <c r="K39" s="2">
        <v>0.05</v>
      </c>
      <c r="L39" s="2">
        <v>0</v>
      </c>
      <c r="M39" s="15">
        <v>0</v>
      </c>
      <c r="N39" s="2">
        <v>0</v>
      </c>
      <c r="O39" s="5" t="s">
        <v>6</v>
      </c>
      <c r="Q39" s="2">
        <v>4</v>
      </c>
      <c r="R39" s="2">
        <v>0.02</v>
      </c>
      <c r="S39" s="2">
        <v>-1.0851210789000599E-2</v>
      </c>
      <c r="T39" s="2">
        <v>5.1988778364645299E-2</v>
      </c>
      <c r="U39" s="2">
        <v>3.6282196019296201E-3</v>
      </c>
      <c r="V39" s="2">
        <v>-3.4845809281692099E-2</v>
      </c>
      <c r="X39" s="2">
        <v>0</v>
      </c>
      <c r="Y39" s="2">
        <f t="shared" si="29"/>
        <v>1.4691086610270104E-2</v>
      </c>
      <c r="Z39" s="2">
        <v>0</v>
      </c>
      <c r="AA39" s="2">
        <f t="shared" si="30"/>
        <v>-9.381315903136199E-3</v>
      </c>
    </row>
    <row r="40" spans="2:27" ht="14.25" customHeight="1" x14ac:dyDescent="0.3">
      <c r="B40" s="2">
        <v>38</v>
      </c>
      <c r="C40" s="2">
        <v>0.04</v>
      </c>
      <c r="D40" s="2">
        <v>0</v>
      </c>
      <c r="E40" s="2">
        <v>0</v>
      </c>
      <c r="F40" s="2">
        <v>0</v>
      </c>
      <c r="G40" s="2">
        <v>0</v>
      </c>
      <c r="H40" s="2" t="s">
        <v>17</v>
      </c>
      <c r="J40" s="2">
        <v>38</v>
      </c>
      <c r="K40" s="2">
        <v>0.05</v>
      </c>
      <c r="L40" s="2">
        <v>12.057824433422001</v>
      </c>
      <c r="M40" s="2">
        <v>7.3394068131204504</v>
      </c>
      <c r="N40" s="2">
        <v>65.879656452245499</v>
      </c>
      <c r="O40" s="2" t="s">
        <v>16</v>
      </c>
      <c r="Q40" s="2">
        <v>5</v>
      </c>
      <c r="R40" s="2">
        <v>2.5000000000000001E-2</v>
      </c>
      <c r="S40" s="2">
        <v>-1.08512107889858E-2</v>
      </c>
      <c r="T40" s="2">
        <v>6.6679864974915404E-2</v>
      </c>
      <c r="U40" s="2">
        <v>3.6282196019296201E-3</v>
      </c>
      <c r="V40" s="2">
        <v>-4.4227125184828298E-2</v>
      </c>
      <c r="X40" s="2">
        <v>0</v>
      </c>
      <c r="Y40" s="2">
        <f t="shared" si="29"/>
        <v>1.4838367224555796E-2</v>
      </c>
      <c r="Z40" s="2">
        <v>0</v>
      </c>
      <c r="AA40" s="2">
        <f t="shared" si="30"/>
        <v>-9.4753651729922034E-3</v>
      </c>
    </row>
    <row r="41" spans="2:27" ht="14.25" customHeight="1" x14ac:dyDescent="0.3">
      <c r="B41" s="2">
        <v>39</v>
      </c>
      <c r="C41" s="2">
        <v>0.04</v>
      </c>
      <c r="D41" s="2">
        <v>-6.3034558608514004</v>
      </c>
      <c r="E41" s="2">
        <v>0.16875508222164101</v>
      </c>
      <c r="F41" s="2">
        <v>0.11600000000000001</v>
      </c>
      <c r="G41" s="2">
        <v>-7.4662851232355703</v>
      </c>
      <c r="H41" s="2" t="s">
        <v>18</v>
      </c>
      <c r="J41" s="2">
        <v>39</v>
      </c>
      <c r="K41" s="2">
        <v>0.05</v>
      </c>
      <c r="L41" s="2">
        <v>0</v>
      </c>
      <c r="M41" s="2">
        <v>0</v>
      </c>
      <c r="N41" s="2">
        <v>0</v>
      </c>
      <c r="O41" s="2" t="s">
        <v>17</v>
      </c>
      <c r="Q41" s="2">
        <v>6</v>
      </c>
      <c r="R41" s="2">
        <v>0.03</v>
      </c>
      <c r="S41" s="2">
        <v>-1.0851210789000599E-2</v>
      </c>
      <c r="T41" s="2">
        <v>8.1518232199471199E-2</v>
      </c>
      <c r="U41" s="2">
        <v>3.6282196019296201E-3</v>
      </c>
      <c r="V41" s="2">
        <v>-5.3702490357820501E-2</v>
      </c>
      <c r="X41" s="2">
        <v>0</v>
      </c>
      <c r="Y41" s="2">
        <f t="shared" si="29"/>
        <v>1.4987861698401203E-2</v>
      </c>
      <c r="Z41" s="2">
        <v>0</v>
      </c>
      <c r="AA41" s="2">
        <f t="shared" si="30"/>
        <v>-9.5708281514817056E-3</v>
      </c>
    </row>
    <row r="42" spans="2:27" ht="14.25" customHeight="1" x14ac:dyDescent="0.3">
      <c r="B42" s="2">
        <v>40</v>
      </c>
      <c r="C42" s="11">
        <v>0.04</v>
      </c>
      <c r="D42" s="2">
        <v>53.673918795854803</v>
      </c>
      <c r="E42" s="2">
        <v>1.11552112302995</v>
      </c>
      <c r="F42" s="2">
        <v>1.2250000000000001</v>
      </c>
      <c r="G42" s="2">
        <v>99.035670477319997</v>
      </c>
      <c r="H42" s="11" t="s">
        <v>45</v>
      </c>
      <c r="J42" s="2">
        <v>40</v>
      </c>
      <c r="K42" s="2">
        <v>0.05</v>
      </c>
      <c r="L42" s="2">
        <v>-8.5280074755758193</v>
      </c>
      <c r="M42" s="2">
        <v>2.8453864378294E-3</v>
      </c>
      <c r="N42" s="2">
        <v>-5.5500307647882403</v>
      </c>
      <c r="O42" s="2" t="s">
        <v>18</v>
      </c>
      <c r="Q42" s="2">
        <v>7</v>
      </c>
      <c r="R42" s="2">
        <v>3.5000000000000003E-2</v>
      </c>
      <c r="S42" s="2">
        <v>-1.0851210789000599E-2</v>
      </c>
      <c r="T42" s="2">
        <v>9.6506093897872403E-2</v>
      </c>
      <c r="U42" s="2">
        <v>3.6282196019296201E-3</v>
      </c>
      <c r="V42" s="2">
        <v>-6.3273318509302207E-2</v>
      </c>
      <c r="X42" s="2">
        <v>0</v>
      </c>
      <c r="Y42" s="2">
        <f t="shared" si="29"/>
        <v>1.5139614376820598E-2</v>
      </c>
      <c r="Z42" s="2">
        <v>0</v>
      </c>
      <c r="AA42" s="2">
        <f t="shared" si="30"/>
        <v>-9.6677331560733881E-3</v>
      </c>
    </row>
    <row r="43" spans="2:27" ht="14.25" customHeight="1" x14ac:dyDescent="0.3">
      <c r="B43" s="2">
        <v>41</v>
      </c>
      <c r="C43" s="5">
        <v>4.4999999999999998E-2</v>
      </c>
      <c r="D43" s="2">
        <v>0</v>
      </c>
      <c r="E43" s="2">
        <v>0</v>
      </c>
      <c r="F43" s="2">
        <v>0</v>
      </c>
      <c r="G43" s="2">
        <v>0</v>
      </c>
      <c r="H43" s="5" t="s">
        <v>6</v>
      </c>
      <c r="J43" s="2">
        <v>41</v>
      </c>
      <c r="K43" s="2">
        <v>5.5E-2</v>
      </c>
      <c r="L43" s="2">
        <v>0</v>
      </c>
      <c r="M43" s="15">
        <v>0</v>
      </c>
      <c r="N43" s="2">
        <v>0</v>
      </c>
      <c r="O43" s="5" t="s">
        <v>6</v>
      </c>
      <c r="Q43" s="2">
        <v>8</v>
      </c>
      <c r="R43" s="2">
        <v>0.04</v>
      </c>
      <c r="S43" s="2">
        <v>-1.0851210789000599E-2</v>
      </c>
      <c r="T43" s="2">
        <v>0.111645708274693</v>
      </c>
      <c r="U43" s="2">
        <v>3.6282196019093199E-3</v>
      </c>
      <c r="V43" s="2">
        <v>-7.2941051665375595E-2</v>
      </c>
      <c r="X43" s="2">
        <v>0</v>
      </c>
      <c r="Y43" s="2">
        <f t="shared" si="29"/>
        <v>1.5293670714243007E-2</v>
      </c>
      <c r="Z43" s="2">
        <v>0</v>
      </c>
      <c r="AA43" s="2">
        <f t="shared" si="30"/>
        <v>-9.7661092126888061E-3</v>
      </c>
    </row>
    <row r="44" spans="2:27" ht="14.25" customHeight="1" x14ac:dyDescent="0.3">
      <c r="B44" s="2">
        <v>42</v>
      </c>
      <c r="C44" s="2">
        <v>4.4999999999999998E-2</v>
      </c>
      <c r="D44" s="2">
        <v>11.7902553329626</v>
      </c>
      <c r="E44" s="2">
        <v>1.99596819509092</v>
      </c>
      <c r="F44" s="2">
        <v>4.5170000000000003</v>
      </c>
      <c r="G44" s="2">
        <v>91.899673326200599</v>
      </c>
      <c r="H44" s="2" t="s">
        <v>16</v>
      </c>
      <c r="J44" s="2">
        <v>42</v>
      </c>
      <c r="K44" s="2">
        <v>5.5E-2</v>
      </c>
      <c r="L44" s="2">
        <v>12.129158516125701</v>
      </c>
      <c r="M44" s="2">
        <v>7.5453911973108001</v>
      </c>
      <c r="N44" s="2">
        <v>65.735032920876193</v>
      </c>
      <c r="O44" s="2" t="s">
        <v>16</v>
      </c>
      <c r="Q44" s="2">
        <v>9</v>
      </c>
      <c r="R44" s="2">
        <v>4.4999999999999998E-2</v>
      </c>
      <c r="S44" s="2">
        <v>-1.0851210789000599E-2</v>
      </c>
      <c r="T44" s="2">
        <v>0.12693937898893601</v>
      </c>
      <c r="U44" s="2">
        <v>3.6282196019296201E-3</v>
      </c>
      <c r="V44" s="2">
        <v>-8.2707160878064401E-2</v>
      </c>
      <c r="X44" s="2">
        <v>0</v>
      </c>
      <c r="Y44" s="2">
        <f t="shared" si="29"/>
        <v>1.5450077307832988E-2</v>
      </c>
      <c r="Z44" s="2">
        <v>0</v>
      </c>
      <c r="AA44" s="2">
        <f t="shared" si="30"/>
        <v>-9.8659860769683971E-3</v>
      </c>
    </row>
    <row r="45" spans="2:27" ht="14.25" customHeight="1" x14ac:dyDescent="0.3">
      <c r="B45" s="2">
        <v>43</v>
      </c>
      <c r="C45" s="2">
        <v>4.4999999999999998E-2</v>
      </c>
      <c r="D45" s="2">
        <v>0</v>
      </c>
      <c r="E45" s="2">
        <v>0</v>
      </c>
      <c r="F45" s="2">
        <v>0</v>
      </c>
      <c r="G45" s="2">
        <v>0</v>
      </c>
      <c r="H45" s="2" t="s">
        <v>17</v>
      </c>
      <c r="J45" s="2">
        <v>43</v>
      </c>
      <c r="K45" s="2">
        <v>5.5E-2</v>
      </c>
      <c r="L45" s="2">
        <v>0</v>
      </c>
      <c r="M45" s="2">
        <v>0</v>
      </c>
      <c r="N45" s="2">
        <v>0</v>
      </c>
      <c r="O45" s="2" t="s">
        <v>17</v>
      </c>
      <c r="Q45" s="2">
        <v>10</v>
      </c>
      <c r="R45" s="2">
        <v>0.05</v>
      </c>
      <c r="S45" s="2">
        <v>-1.0851210789000599E-2</v>
      </c>
      <c r="T45" s="2">
        <v>0.142389456296769</v>
      </c>
      <c r="U45" s="2">
        <v>3.6282196019296201E-3</v>
      </c>
      <c r="V45" s="2">
        <v>-9.2573146955032798E-2</v>
      </c>
      <c r="X45" s="2">
        <v>0</v>
      </c>
      <c r="Y45" s="2">
        <f t="shared" si="29"/>
        <v>1.5608881931867991E-2</v>
      </c>
      <c r="Z45" s="2">
        <v>0</v>
      </c>
      <c r="AA45" s="2">
        <f t="shared" si="30"/>
        <v>-9.9673942563072021E-3</v>
      </c>
    </row>
    <row r="46" spans="2:27" ht="14.25" customHeight="1" x14ac:dyDescent="0.3">
      <c r="B46" s="2">
        <v>44</v>
      </c>
      <c r="C46" s="2">
        <v>4.4999999999999998E-2</v>
      </c>
      <c r="D46" s="2">
        <v>-6.2192934407313301</v>
      </c>
      <c r="E46" s="2">
        <v>0.17511163654008199</v>
      </c>
      <c r="F46" s="2">
        <v>0.63900000000000001</v>
      </c>
      <c r="G46" s="2">
        <v>-8.1617473801649094</v>
      </c>
      <c r="H46" s="2" t="s">
        <v>18</v>
      </c>
      <c r="J46" s="2">
        <v>44</v>
      </c>
      <c r="K46" s="2">
        <v>5.5E-2</v>
      </c>
      <c r="L46" s="2">
        <v>-8.6249296550786205</v>
      </c>
      <c r="M46" s="2">
        <v>2.6546951585686598E-3</v>
      </c>
      <c r="N46" s="2">
        <v>-5.5093213293660099</v>
      </c>
      <c r="O46" s="2" t="s">
        <v>18</v>
      </c>
      <c r="Q46" s="2">
        <v>11</v>
      </c>
      <c r="R46" s="2">
        <v>5.5E-2</v>
      </c>
      <c r="S46" s="2">
        <v>-1.0851210789000599E-2</v>
      </c>
      <c r="T46" s="2">
        <v>0.15799833822863699</v>
      </c>
      <c r="U46" s="2">
        <v>3.6282196019093199E-3</v>
      </c>
      <c r="V46" s="2">
        <v>-0.10254054121134</v>
      </c>
      <c r="X46" s="2">
        <v>0</v>
      </c>
      <c r="Y46" s="2">
        <f t="shared" si="29"/>
        <v>1.5770133573455025E-2</v>
      </c>
      <c r="Z46" s="2">
        <v>0</v>
      </c>
      <c r="AA46" s="2">
        <f t="shared" si="30"/>
        <v>-1.0070365032357004E-2</v>
      </c>
    </row>
    <row r="47" spans="2:27" ht="14.25" customHeight="1" x14ac:dyDescent="0.3">
      <c r="B47" s="2">
        <v>45</v>
      </c>
      <c r="C47" s="11">
        <v>4.4999999999999998E-2</v>
      </c>
      <c r="D47" s="2">
        <v>53.715709355484499</v>
      </c>
      <c r="E47" s="2">
        <v>1.8948265881906501</v>
      </c>
      <c r="F47" s="2">
        <v>1.4259999999999999</v>
      </c>
      <c r="G47" s="2">
        <v>94.520730418981998</v>
      </c>
      <c r="H47" s="11" t="s">
        <v>45</v>
      </c>
      <c r="J47" s="2">
        <v>45</v>
      </c>
      <c r="K47" s="2">
        <v>0.06</v>
      </c>
      <c r="L47" s="2">
        <v>0</v>
      </c>
      <c r="M47" s="15">
        <v>0</v>
      </c>
      <c r="N47" s="2">
        <v>0</v>
      </c>
      <c r="O47" s="5" t="s">
        <v>6</v>
      </c>
      <c r="Q47" s="2">
        <v>12</v>
      </c>
      <c r="R47" s="2">
        <v>0.06</v>
      </c>
      <c r="S47" s="2">
        <v>-1.0851210789000599E-2</v>
      </c>
      <c r="T47" s="2">
        <v>0.17376847180209201</v>
      </c>
      <c r="U47" s="2">
        <v>3.6282196019296201E-3</v>
      </c>
      <c r="V47" s="2">
        <v>-0.112610906243697</v>
      </c>
      <c r="X47" s="2">
        <v>0</v>
      </c>
      <c r="Y47" s="2">
        <f t="shared" si="29"/>
        <v>1.5933882469368998E-2</v>
      </c>
      <c r="Z47" s="2">
        <v>0</v>
      </c>
      <c r="AA47" s="2">
        <f t="shared" si="30"/>
        <v>-1.0174930485003994E-2</v>
      </c>
    </row>
    <row r="48" spans="2:27" ht="14.25" customHeight="1" x14ac:dyDescent="0.3">
      <c r="B48" s="2">
        <v>46</v>
      </c>
      <c r="C48" s="5">
        <v>0.05</v>
      </c>
      <c r="D48" s="2">
        <v>0</v>
      </c>
      <c r="E48" s="2">
        <v>0</v>
      </c>
      <c r="F48" s="2">
        <v>0</v>
      </c>
      <c r="G48" s="2">
        <v>0</v>
      </c>
      <c r="H48" s="5" t="s">
        <v>6</v>
      </c>
      <c r="J48" s="2">
        <v>46</v>
      </c>
      <c r="K48" s="2">
        <v>0.06</v>
      </c>
      <c r="L48" s="2">
        <v>12.1825872153827</v>
      </c>
      <c r="M48" s="2">
        <v>7.3705161197631002</v>
      </c>
      <c r="N48" s="2">
        <v>66.491225046301196</v>
      </c>
      <c r="O48" s="2" t="s">
        <v>16</v>
      </c>
      <c r="Q48" s="2">
        <v>13</v>
      </c>
      <c r="R48" s="2">
        <v>6.5000000000000002E-2</v>
      </c>
      <c r="S48" s="2">
        <v>-1.08512107889858E-2</v>
      </c>
      <c r="T48" s="2">
        <v>0.18970235427146101</v>
      </c>
      <c r="U48" s="2">
        <v>3.6282196019093199E-3</v>
      </c>
      <c r="V48" s="2">
        <v>-0.122785836728701</v>
      </c>
      <c r="X48" s="2">
        <v>0</v>
      </c>
      <c r="Y48" s="2">
        <f t="shared" si="29"/>
        <v>1.6100180144262982E-2</v>
      </c>
      <c r="Z48" s="2">
        <v>0</v>
      </c>
      <c r="AA48" s="2">
        <f t="shared" si="30"/>
        <v>-1.0281123516436008E-2</v>
      </c>
    </row>
    <row r="49" spans="2:27" ht="14.25" customHeight="1" x14ac:dyDescent="0.3">
      <c r="B49" s="2">
        <v>47</v>
      </c>
      <c r="C49" s="2">
        <v>0.05</v>
      </c>
      <c r="D49" s="2">
        <v>11.859919162960599</v>
      </c>
      <c r="E49" s="2">
        <v>2.28910045385744</v>
      </c>
      <c r="F49" s="2">
        <v>4.7869999999999999</v>
      </c>
      <c r="G49" s="2">
        <v>91.274062553403894</v>
      </c>
      <c r="H49" s="2" t="s">
        <v>16</v>
      </c>
      <c r="J49" s="2">
        <v>47</v>
      </c>
      <c r="K49" s="2">
        <v>0.06</v>
      </c>
      <c r="L49" s="2">
        <v>0</v>
      </c>
      <c r="M49" s="2">
        <v>0</v>
      </c>
      <c r="N49" s="2">
        <v>0</v>
      </c>
      <c r="O49" s="2" t="s">
        <v>17</v>
      </c>
      <c r="Q49" s="2">
        <v>14</v>
      </c>
      <c r="R49" s="2">
        <v>7.0000000000000007E-2</v>
      </c>
      <c r="S49" s="2">
        <v>-1.08512107889858E-2</v>
      </c>
      <c r="T49" s="2">
        <v>0.20580253441572399</v>
      </c>
      <c r="U49" s="2">
        <v>3.6282196019093199E-3</v>
      </c>
      <c r="V49" s="2">
        <v>-0.13306696024513701</v>
      </c>
    </row>
    <row r="50" spans="2:27" ht="14.25" customHeight="1" x14ac:dyDescent="0.3">
      <c r="B50" s="2">
        <v>48</v>
      </c>
      <c r="C50" s="2">
        <v>0.05</v>
      </c>
      <c r="D50" s="2">
        <v>0</v>
      </c>
      <c r="E50" s="2">
        <v>0</v>
      </c>
      <c r="F50" s="2">
        <v>0</v>
      </c>
      <c r="G50" s="2">
        <v>0</v>
      </c>
      <c r="H50" s="2" t="s">
        <v>17</v>
      </c>
      <c r="J50" s="2">
        <v>48</v>
      </c>
      <c r="K50" s="2">
        <v>0.06</v>
      </c>
      <c r="L50" s="2">
        <v>-8.6365265828305695</v>
      </c>
      <c r="M50" s="2">
        <v>1.6854681498732801E-3</v>
      </c>
      <c r="N50" s="2">
        <v>-5.4755592244342104</v>
      </c>
      <c r="O50" s="2" t="s">
        <v>18</v>
      </c>
    </row>
    <row r="51" spans="2:27" ht="14.25" customHeight="1" x14ac:dyDescent="0.3">
      <c r="B51" s="2">
        <v>49</v>
      </c>
      <c r="C51" s="2">
        <v>0.05</v>
      </c>
      <c r="D51" s="2">
        <v>-8.5280074755047899</v>
      </c>
      <c r="E51" s="15">
        <v>4.5523055808798503E-6</v>
      </c>
      <c r="F51" s="2">
        <v>0</v>
      </c>
      <c r="G51" s="2">
        <v>-5.5500307647882403</v>
      </c>
      <c r="H51" s="2" t="s">
        <v>18</v>
      </c>
      <c r="J51" s="2">
        <v>49</v>
      </c>
      <c r="K51" s="2">
        <v>6.5000000000000002E-2</v>
      </c>
      <c r="L51" s="2">
        <v>0</v>
      </c>
      <c r="M51" s="15">
        <v>0</v>
      </c>
      <c r="N51" s="2">
        <v>0</v>
      </c>
      <c r="O51" s="5" t="s">
        <v>6</v>
      </c>
      <c r="X51" s="2">
        <v>385</v>
      </c>
      <c r="Y51" s="2">
        <v>400</v>
      </c>
      <c r="Z51" s="2">
        <v>560</v>
      </c>
      <c r="AA51" s="2">
        <v>340</v>
      </c>
    </row>
    <row r="52" spans="2:27" ht="14.25" customHeight="1" x14ac:dyDescent="0.3">
      <c r="B52" s="2">
        <v>50</v>
      </c>
      <c r="C52" s="11">
        <v>0.05</v>
      </c>
      <c r="D52" s="2">
        <v>53.689112063709501</v>
      </c>
      <c r="E52" s="2">
        <v>2.1398292860064001</v>
      </c>
      <c r="F52" s="2">
        <v>1.3819999999999999</v>
      </c>
      <c r="G52" s="2">
        <v>95.083471615064695</v>
      </c>
      <c r="H52" s="11" t="s">
        <v>45</v>
      </c>
      <c r="J52" s="2">
        <v>50</v>
      </c>
      <c r="K52" s="2">
        <v>6.5000000000000002E-2</v>
      </c>
      <c r="L52" s="2">
        <v>12.273638939067</v>
      </c>
      <c r="M52" s="2">
        <v>7.9385466944655203</v>
      </c>
      <c r="N52" s="2">
        <v>65.549674622304295</v>
      </c>
      <c r="O52" s="2" t="s">
        <v>16</v>
      </c>
    </row>
    <row r="53" spans="2:27" ht="14.25" customHeight="1" x14ac:dyDescent="0.3">
      <c r="B53" s="2">
        <v>51</v>
      </c>
      <c r="C53" s="5">
        <v>5.5E-2</v>
      </c>
      <c r="D53" s="2">
        <v>0</v>
      </c>
      <c r="E53" s="2">
        <v>0</v>
      </c>
      <c r="F53" s="2">
        <v>0</v>
      </c>
      <c r="G53" s="2">
        <v>0</v>
      </c>
      <c r="H53" s="5" t="s">
        <v>6</v>
      </c>
      <c r="J53" s="2">
        <v>51</v>
      </c>
      <c r="K53" s="2">
        <v>6.5000000000000002E-2</v>
      </c>
      <c r="L53" s="2">
        <v>0</v>
      </c>
      <c r="M53" s="2">
        <v>0</v>
      </c>
      <c r="N53" s="2">
        <v>0</v>
      </c>
      <c r="O53" s="2" t="s">
        <v>17</v>
      </c>
      <c r="X53" s="2">
        <f t="shared" ref="X53:AA53" si="31">AVERAGE(X36:X48)*X51%</f>
        <v>0</v>
      </c>
      <c r="Y53" s="2">
        <f t="shared" si="31"/>
        <v>6.0623024007196033E-2</v>
      </c>
      <c r="Z53" s="2">
        <f t="shared" si="31"/>
        <v>0</v>
      </c>
      <c r="AA53" s="2">
        <f t="shared" si="31"/>
        <v>-3.2905338533313379E-2</v>
      </c>
    </row>
    <row r="54" spans="2:27" ht="14.25" customHeight="1" x14ac:dyDescent="0.3">
      <c r="B54" s="2">
        <v>52</v>
      </c>
      <c r="C54" s="2">
        <v>5.5E-2</v>
      </c>
      <c r="D54" s="2">
        <v>11.8832769382519</v>
      </c>
      <c r="E54" s="2">
        <v>0.84321443045156097</v>
      </c>
      <c r="F54" s="2">
        <v>7.0789999999999997</v>
      </c>
      <c r="G54" s="2">
        <v>75.743459662696395</v>
      </c>
      <c r="H54" s="2" t="s">
        <v>16</v>
      </c>
      <c r="J54" s="2">
        <v>52</v>
      </c>
      <c r="K54" s="2">
        <v>6.5000000000000002E-2</v>
      </c>
      <c r="L54" s="2">
        <v>-8.8107093551170603</v>
      </c>
      <c r="M54" s="2">
        <v>2.9353056603479101E-3</v>
      </c>
      <c r="N54" s="2">
        <v>-5.4401230429971701</v>
      </c>
      <c r="O54" s="2" t="s">
        <v>18</v>
      </c>
      <c r="X54" s="2">
        <f t="shared" ref="X54:AA54" si="32">_xlfn.STDEV.P(X40:X48)</f>
        <v>0</v>
      </c>
      <c r="Y54" s="2">
        <f t="shared" si="32"/>
        <v>4.072213737127684E-4</v>
      </c>
      <c r="Z54" s="2">
        <f t="shared" si="32"/>
        <v>0</v>
      </c>
      <c r="AA54" s="2">
        <f t="shared" si="32"/>
        <v>2.600401488776697E-4</v>
      </c>
    </row>
    <row r="55" spans="2:27" ht="14.25" customHeight="1" x14ac:dyDescent="0.3">
      <c r="B55" s="2">
        <v>53</v>
      </c>
      <c r="C55" s="2">
        <v>5.5E-2</v>
      </c>
      <c r="D55" s="2">
        <v>0</v>
      </c>
      <c r="E55" s="2">
        <v>0</v>
      </c>
      <c r="F55" s="2">
        <v>0</v>
      </c>
      <c r="G55" s="2">
        <v>0</v>
      </c>
      <c r="H55" s="2" t="s">
        <v>17</v>
      </c>
      <c r="J55" s="2">
        <v>53</v>
      </c>
      <c r="K55" s="2">
        <v>7.0000000000000007E-2</v>
      </c>
      <c r="L55" s="2">
        <v>0</v>
      </c>
      <c r="M55" s="15">
        <v>0</v>
      </c>
      <c r="N55" s="2">
        <v>0</v>
      </c>
      <c r="O55" s="5" t="s">
        <v>6</v>
      </c>
    </row>
    <row r="56" spans="2:27" ht="14.25" customHeight="1" x14ac:dyDescent="0.3">
      <c r="B56" s="2">
        <v>54</v>
      </c>
      <c r="C56" s="2">
        <v>5.5E-2</v>
      </c>
      <c r="D56" s="2">
        <v>-8.6249296551298098</v>
      </c>
      <c r="E56" s="15">
        <v>1.38414564553715E-5</v>
      </c>
      <c r="F56" s="2">
        <v>0</v>
      </c>
      <c r="G56" s="2">
        <v>-5.5093213293660099</v>
      </c>
      <c r="H56" s="2" t="s">
        <v>18</v>
      </c>
      <c r="J56" s="2">
        <v>54</v>
      </c>
      <c r="K56" s="2">
        <v>7.0000000000000007E-2</v>
      </c>
      <c r="L56" s="2">
        <v>12.3467077872054</v>
      </c>
      <c r="M56" s="2">
        <v>8.1231891096063897</v>
      </c>
      <c r="N56" s="2">
        <v>65.480293644175106</v>
      </c>
      <c r="O56" s="2" t="s">
        <v>16</v>
      </c>
    </row>
    <row r="57" spans="2:27" ht="14.25" customHeight="1" x14ac:dyDescent="0.3">
      <c r="B57" s="2">
        <v>55</v>
      </c>
      <c r="C57" s="11">
        <v>5.5E-2</v>
      </c>
      <c r="D57" s="2">
        <v>53.663526752475597</v>
      </c>
      <c r="E57" s="2">
        <v>2.2207368207895302</v>
      </c>
      <c r="F57" s="2">
        <v>1.4</v>
      </c>
      <c r="G57" s="2">
        <v>94.759644969830106</v>
      </c>
      <c r="H57" s="11" t="s">
        <v>45</v>
      </c>
      <c r="J57" s="2">
        <v>55</v>
      </c>
      <c r="K57" s="2">
        <v>7.0000000000000007E-2</v>
      </c>
      <c r="L57" s="2">
        <v>0</v>
      </c>
      <c r="M57" s="2">
        <v>0</v>
      </c>
      <c r="N57" s="2">
        <v>0</v>
      </c>
      <c r="O57" s="2" t="s">
        <v>17</v>
      </c>
    </row>
    <row r="58" spans="2:27" ht="14.25" customHeight="1" x14ac:dyDescent="0.3">
      <c r="B58" s="2">
        <v>56</v>
      </c>
      <c r="C58" s="5">
        <v>0.06</v>
      </c>
      <c r="D58" s="2">
        <v>0</v>
      </c>
      <c r="E58" s="2">
        <v>0</v>
      </c>
      <c r="F58" s="2">
        <v>0</v>
      </c>
      <c r="G58" s="2">
        <v>0</v>
      </c>
      <c r="H58" s="5" t="s">
        <v>6</v>
      </c>
      <c r="J58" s="2">
        <v>56</v>
      </c>
      <c r="K58" s="2">
        <v>7.0000000000000007E-2</v>
      </c>
      <c r="L58" s="2">
        <v>-8.9000366304394607</v>
      </c>
      <c r="M58" s="2">
        <v>3.04113783254728E-3</v>
      </c>
      <c r="N58" s="2">
        <v>-5.4104490382538302</v>
      </c>
      <c r="O58" s="2" t="s">
        <v>18</v>
      </c>
    </row>
    <row r="59" spans="2:27" ht="14.25" customHeight="1" x14ac:dyDescent="0.3">
      <c r="B59" s="2">
        <v>57</v>
      </c>
      <c r="C59" s="2">
        <v>0.06</v>
      </c>
      <c r="D59" s="2">
        <v>11.983944707626399</v>
      </c>
      <c r="E59" s="2">
        <v>2.4203223848353801</v>
      </c>
      <c r="F59" s="2">
        <v>4.681</v>
      </c>
      <c r="G59" s="2">
        <v>91.422114798666698</v>
      </c>
      <c r="H59" s="2" t="s">
        <v>16</v>
      </c>
    </row>
    <row r="60" spans="2:27" ht="14.25" customHeight="1" x14ac:dyDescent="0.3">
      <c r="B60" s="2">
        <v>58</v>
      </c>
      <c r="C60" s="2">
        <v>0.06</v>
      </c>
      <c r="D60" s="2">
        <v>0</v>
      </c>
      <c r="E60" s="2">
        <v>0</v>
      </c>
      <c r="F60" s="2">
        <v>0</v>
      </c>
      <c r="G60" s="2">
        <v>0</v>
      </c>
      <c r="H60" s="2" t="s">
        <v>17</v>
      </c>
      <c r="L60" s="2">
        <f t="shared" ref="L60:N60" si="33">AVERAGE(L43,L39,L35,L31,L27,L23,L19,L15,L11,L7,L3,L47,L51,L55)</f>
        <v>0</v>
      </c>
      <c r="M60" s="18">
        <f t="shared" si="33"/>
        <v>0</v>
      </c>
      <c r="N60" s="2">
        <f t="shared" si="33"/>
        <v>0</v>
      </c>
    </row>
    <row r="61" spans="2:27" ht="14.25" customHeight="1" x14ac:dyDescent="0.3">
      <c r="B61" s="2">
        <v>59</v>
      </c>
      <c r="C61" s="2">
        <v>0.06</v>
      </c>
      <c r="D61" s="2">
        <v>-8.6365265828300402</v>
      </c>
      <c r="E61" s="15">
        <v>6.2338981465093501E-6</v>
      </c>
      <c r="F61" s="2">
        <v>0</v>
      </c>
      <c r="G61" s="2">
        <v>-5.4755592244342104</v>
      </c>
      <c r="H61" s="2" t="s">
        <v>18</v>
      </c>
      <c r="L61" s="2">
        <f t="shared" ref="L61:N61" si="34">AVERAGE(L44,L40,L36,L32,L28,L24,L20,L16,L12,L8,L4,L48,L52,L56)</f>
        <v>11.843522416965351</v>
      </c>
      <c r="M61" s="2">
        <f t="shared" si="34"/>
        <v>5.4482307921553774</v>
      </c>
      <c r="N61" s="2">
        <f t="shared" si="34"/>
        <v>70.136859416495554</v>
      </c>
    </row>
    <row r="62" spans="2:27" ht="14.25" customHeight="1" x14ac:dyDescent="0.3">
      <c r="B62" s="2">
        <v>60</v>
      </c>
      <c r="C62" s="11">
        <v>0.06</v>
      </c>
      <c r="D62" s="2">
        <v>53.6315573107399</v>
      </c>
      <c r="E62" s="2">
        <v>2.1245330216949201</v>
      </c>
      <c r="F62" s="2">
        <v>1.474</v>
      </c>
      <c r="G62" s="2">
        <v>93.997160282565602</v>
      </c>
      <c r="H62" s="11" t="s">
        <v>45</v>
      </c>
      <c r="L62" s="2">
        <f t="shared" ref="L62:N62" si="35">AVERAGE(L45,L41,L37,L33,L29,L25,L21,L17,L13,L9,L5,L49,L53,L57)</f>
        <v>0</v>
      </c>
      <c r="M62" s="2">
        <f t="shared" si="35"/>
        <v>0</v>
      </c>
      <c r="N62" s="2">
        <f t="shared" si="35"/>
        <v>0</v>
      </c>
    </row>
    <row r="63" spans="2:27" ht="14.25" customHeight="1" x14ac:dyDescent="0.3">
      <c r="B63" s="2">
        <v>61</v>
      </c>
      <c r="C63" s="5">
        <v>6.5000000000000002E-2</v>
      </c>
      <c r="D63" s="2">
        <v>0</v>
      </c>
      <c r="E63" s="2">
        <v>0</v>
      </c>
      <c r="F63" s="2">
        <v>0</v>
      </c>
      <c r="G63" s="2">
        <v>0</v>
      </c>
      <c r="H63" s="5" t="s">
        <v>6</v>
      </c>
      <c r="L63" s="2">
        <f t="shared" ref="L63:N63" si="36">AVERAGE(L46,L42,L38,L34,L30,L26,L22,L18,L14,L10,L6,L50,L54,L58)</f>
        <v>-7.9433525552495841</v>
      </c>
      <c r="M63" s="2">
        <f t="shared" si="36"/>
        <v>9.38182639017659E-3</v>
      </c>
      <c r="N63" s="2">
        <f t="shared" si="36"/>
        <v>-6.0420890670632383</v>
      </c>
    </row>
    <row r="64" spans="2:27" ht="14.25" customHeight="1" x14ac:dyDescent="0.3">
      <c r="B64" s="2">
        <v>62</v>
      </c>
      <c r="C64" s="2">
        <v>6.5000000000000002E-2</v>
      </c>
      <c r="D64" s="2">
        <v>12.0086409055753</v>
      </c>
      <c r="E64" s="2">
        <v>1.0857924465709199</v>
      </c>
      <c r="F64" s="2">
        <v>7.0229999999999997</v>
      </c>
      <c r="G64" s="2">
        <v>79.340610635456599</v>
      </c>
      <c r="H64" s="2" t="s">
        <v>16</v>
      </c>
    </row>
    <row r="65" spans="2:8" ht="14.25" customHeight="1" x14ac:dyDescent="0.3">
      <c r="B65" s="2">
        <v>63</v>
      </c>
      <c r="C65" s="2">
        <v>6.5000000000000002E-2</v>
      </c>
      <c r="D65" s="2">
        <v>0</v>
      </c>
      <c r="E65" s="2">
        <v>0</v>
      </c>
      <c r="F65" s="2">
        <v>0</v>
      </c>
      <c r="G65" s="2">
        <v>0</v>
      </c>
      <c r="H65" s="2" t="s">
        <v>17</v>
      </c>
    </row>
    <row r="66" spans="2:8" ht="14.25" customHeight="1" x14ac:dyDescent="0.3">
      <c r="B66" s="2">
        <v>64</v>
      </c>
      <c r="C66" s="2">
        <v>6.5000000000000002E-2</v>
      </c>
      <c r="D66" s="2">
        <v>-8.8107093552786608</v>
      </c>
      <c r="E66" s="2">
        <v>2.6000997011190199E-2</v>
      </c>
      <c r="F66" s="2">
        <v>0</v>
      </c>
      <c r="G66" s="2">
        <v>-5.4401230429971701</v>
      </c>
      <c r="H66" s="2" t="s">
        <v>18</v>
      </c>
    </row>
    <row r="67" spans="2:8" ht="14.25" customHeight="1" x14ac:dyDescent="0.3">
      <c r="B67" s="2">
        <v>65</v>
      </c>
      <c r="C67" s="11">
        <v>6.5000000000000002E-2</v>
      </c>
      <c r="D67" s="2">
        <v>53.6101443542574</v>
      </c>
      <c r="E67" s="2">
        <v>2.3709553156418002</v>
      </c>
      <c r="F67" s="2">
        <v>1.4330000000000001</v>
      </c>
      <c r="G67" s="2">
        <v>94.212584519681997</v>
      </c>
      <c r="H67" s="11" t="s">
        <v>45</v>
      </c>
    </row>
    <row r="68" spans="2:8" ht="14.25" customHeight="1" x14ac:dyDescent="0.3">
      <c r="B68" s="2">
        <v>66</v>
      </c>
      <c r="C68" s="5">
        <v>7.0000000000000007E-2</v>
      </c>
      <c r="D68" s="2">
        <v>0</v>
      </c>
      <c r="E68" s="2">
        <v>0</v>
      </c>
      <c r="F68" s="2">
        <v>0</v>
      </c>
      <c r="G68" s="2">
        <v>0</v>
      </c>
      <c r="H68" s="5" t="s">
        <v>6</v>
      </c>
    </row>
    <row r="69" spans="2:8" ht="14.25" customHeight="1" x14ac:dyDescent="0.3">
      <c r="B69" s="2">
        <v>67</v>
      </c>
      <c r="C69" s="2">
        <v>7.0000000000000007E-2</v>
      </c>
      <c r="D69" s="2">
        <v>12.0728971473385</v>
      </c>
      <c r="E69" s="2">
        <v>1.2036570764566901</v>
      </c>
      <c r="F69" s="2">
        <v>7.0090000000000003</v>
      </c>
      <c r="G69" s="2">
        <v>80.800973775517093</v>
      </c>
      <c r="H69" s="2" t="s">
        <v>16</v>
      </c>
    </row>
    <row r="70" spans="2:8" ht="14.25" customHeight="1" x14ac:dyDescent="0.3">
      <c r="B70" s="2">
        <v>68</v>
      </c>
      <c r="C70" s="2">
        <v>7.0000000000000007E-2</v>
      </c>
      <c r="D70" s="2">
        <v>0</v>
      </c>
      <c r="E70" s="2">
        <v>0</v>
      </c>
      <c r="F70" s="2">
        <v>0</v>
      </c>
      <c r="G70" s="2">
        <v>0</v>
      </c>
      <c r="H70" s="2" t="s">
        <v>17</v>
      </c>
    </row>
    <row r="71" spans="2:8" ht="14.25" customHeight="1" x14ac:dyDescent="0.3">
      <c r="B71" s="2">
        <v>69</v>
      </c>
      <c r="C71" s="2">
        <v>7.0000000000000007E-2</v>
      </c>
      <c r="D71" s="2">
        <v>-6.3609380492543801</v>
      </c>
      <c r="E71" s="2">
        <v>0.188949999465786</v>
      </c>
      <c r="F71" s="2">
        <v>0.45900000000000002</v>
      </c>
      <c r="G71" s="2">
        <v>-8.2516635947628991</v>
      </c>
      <c r="H71" s="2" t="s">
        <v>18</v>
      </c>
    </row>
    <row r="72" spans="2:8" ht="14.25" customHeight="1" x14ac:dyDescent="0.3">
      <c r="B72" s="2">
        <v>70</v>
      </c>
      <c r="C72" s="11">
        <v>7.0000000000000007E-2</v>
      </c>
      <c r="D72" s="2">
        <v>53.582570442028597</v>
      </c>
      <c r="E72" s="2">
        <v>2.44093395202714</v>
      </c>
      <c r="F72" s="2">
        <v>1.4490000000000001</v>
      </c>
      <c r="G72" s="2">
        <v>93.974051045543604</v>
      </c>
      <c r="H72" s="11" t="s">
        <v>45</v>
      </c>
    </row>
    <row r="73" spans="2:8" ht="14.25" customHeight="1" x14ac:dyDescent="0.3"/>
    <row r="74" spans="2:8" ht="14.25" customHeight="1" x14ac:dyDescent="0.3"/>
    <row r="75" spans="2:8" ht="14.25" customHeight="1" x14ac:dyDescent="0.3">
      <c r="D75" s="2">
        <f t="shared" ref="D75:G75" si="37">AVERAGE(D68,D63,D58,D53,D48,D43,D38,D33,D28,D23,D18,D13,D8,D3)</f>
        <v>0</v>
      </c>
      <c r="E75" s="2">
        <f t="shared" si="37"/>
        <v>0</v>
      </c>
      <c r="F75" s="2">
        <f t="shared" si="37"/>
        <v>0</v>
      </c>
      <c r="G75" s="2">
        <f t="shared" si="37"/>
        <v>0</v>
      </c>
    </row>
    <row r="76" spans="2:8" ht="14.25" customHeight="1" x14ac:dyDescent="0.3">
      <c r="D76" s="2">
        <f t="shared" ref="D76:G76" si="38">AVERAGE(D69,D64,D59,D54,D49,D44,D39,D34,D29,D24,D19,D14,D9,D4)</f>
        <v>11.699552970553764</v>
      </c>
      <c r="E76" s="2">
        <f t="shared" si="38"/>
        <v>1.6366864955063261</v>
      </c>
      <c r="F76" s="2">
        <f t="shared" si="38"/>
        <v>3.7894285714285716</v>
      </c>
      <c r="G76" s="2">
        <f t="shared" si="38"/>
        <v>89.297703976176393</v>
      </c>
    </row>
    <row r="77" spans="2:8" ht="14.25" customHeight="1" x14ac:dyDescent="0.3">
      <c r="D77" s="2">
        <f t="shared" ref="D77:G77" si="39">AVERAGE(D70,D65,D60,D55,D50,D45,D40,D35,D30,D25,D20,D15,D10,D5)</f>
        <v>0</v>
      </c>
      <c r="E77" s="2">
        <f t="shared" si="39"/>
        <v>0</v>
      </c>
      <c r="F77" s="2">
        <f t="shared" si="39"/>
        <v>0</v>
      </c>
      <c r="G77" s="2">
        <f t="shared" si="39"/>
        <v>0</v>
      </c>
    </row>
    <row r="78" spans="2:8" ht="14.25" customHeight="1" x14ac:dyDescent="0.3">
      <c r="D78" s="2">
        <f t="shared" ref="D78:G78" si="40">AVERAGE(D71,D66,D61,D56,D51,D46,D41,D36,D31,D26,D21,D16,D11,D6)</f>
        <v>-7.0546384431844142</v>
      </c>
      <c r="E78" s="2">
        <f t="shared" si="40"/>
        <v>0.10138098220875087</v>
      </c>
      <c r="F78" s="2">
        <f t="shared" si="40"/>
        <v>0.15850000000000003</v>
      </c>
      <c r="G78" s="2">
        <f t="shared" si="40"/>
        <v>-6.8265927082255251</v>
      </c>
    </row>
    <row r="79" spans="2:8" ht="14.25" customHeight="1" x14ac:dyDescent="0.3">
      <c r="D79" s="2">
        <f t="shared" ref="D79:G79" si="41">AVERAGE(D72,D67,D62,D57,D52,D47,D42,D37,D32,D27,D22,D17,D12,D7)</f>
        <v>53.723413562330343</v>
      </c>
      <c r="E79" s="2">
        <f t="shared" si="41"/>
        <v>1.3832553035539572</v>
      </c>
      <c r="F79" s="2">
        <f t="shared" si="41"/>
        <v>1.3402857142857143</v>
      </c>
      <c r="G79" s="2">
        <f t="shared" si="41"/>
        <v>97.071865586417587</v>
      </c>
    </row>
    <row r="80" spans="2:8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B1:H1"/>
    <mergeCell ref="J1:O1"/>
    <mergeCell ref="Q1:V1"/>
  </mergeCells>
  <conditionalFormatting sqref="G3:G74 G80:G100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57:G100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59 N64:N1000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1000"/>
  <sheetViews>
    <sheetView tabSelected="1" topLeftCell="A13" workbookViewId="0">
      <selection activeCell="L33" sqref="L33"/>
    </sheetView>
  </sheetViews>
  <sheetFormatPr defaultColWidth="14.44140625" defaultRowHeight="15" customHeight="1" x14ac:dyDescent="0.3"/>
  <cols>
    <col min="1" max="1" width="8.6640625" customWidth="1"/>
    <col min="2" max="2" width="15.109375" customWidth="1"/>
    <col min="3" max="3" width="14.44140625" customWidth="1"/>
    <col min="4" max="5" width="15" customWidth="1"/>
    <col min="6" max="6" width="16.109375" customWidth="1"/>
    <col min="7" max="7" width="15.5546875" customWidth="1"/>
    <col min="8" max="8" width="17.5546875" customWidth="1"/>
    <col min="9" max="9" width="10.88671875" customWidth="1"/>
    <col min="10" max="10" width="11.21875" customWidth="1"/>
    <col min="11" max="13" width="8.6640625" customWidth="1"/>
    <col min="14" max="14" width="10.33203125" customWidth="1"/>
    <col min="15" max="26" width="8.6640625" customWidth="1"/>
  </cols>
  <sheetData>
    <row r="1" spans="2:18" ht="14.25" customHeight="1" x14ac:dyDescent="0.3"/>
    <row r="2" spans="2:18" ht="14.25" customHeight="1" x14ac:dyDescent="0.3">
      <c r="B2" s="47" t="s">
        <v>63</v>
      </c>
      <c r="C2" s="31" t="s">
        <v>6</v>
      </c>
      <c r="D2" s="31" t="s">
        <v>16</v>
      </c>
      <c r="E2" s="31" t="s">
        <v>17</v>
      </c>
      <c r="F2" s="31" t="s">
        <v>18</v>
      </c>
      <c r="M2" s="2">
        <v>1.07</v>
      </c>
      <c r="N2" s="2">
        <v>385.07850000000002</v>
      </c>
      <c r="O2" s="2">
        <v>399.96050000000002</v>
      </c>
      <c r="P2" s="2">
        <v>559.98850000000004</v>
      </c>
      <c r="Q2" s="2">
        <v>339.99689999999998</v>
      </c>
    </row>
    <row r="3" spans="2:18" ht="14.25" customHeight="1" x14ac:dyDescent="0.3">
      <c r="B3" s="28" t="s">
        <v>46</v>
      </c>
      <c r="C3" s="2">
        <f>'Variar Nominales h112 Update'!$X$39</f>
        <v>8.1607692680512461E-2</v>
      </c>
      <c r="D3" s="2">
        <f>'Variar Nominales h112 Update'!$Y$39</f>
        <v>-1.2276180109580547E-2</v>
      </c>
      <c r="E3" s="2">
        <f>'Variar Nominales h112 Update'!$Z$39</f>
        <v>-2.1580949276278731E-2</v>
      </c>
      <c r="F3" s="2">
        <f>'Variar Nominales h112 Update'!$AA$39</f>
        <v>-6.1519240228676457E-3</v>
      </c>
      <c r="H3" s="2">
        <f>'Variar Nominales h112 Update'!$X$40</f>
        <v>6.3728957875342098E-5</v>
      </c>
      <c r="I3" s="2">
        <f>'Variar Nominales h112 Update'!$Y$40</f>
        <v>9.2271951853424064E-6</v>
      </c>
      <c r="J3" s="2">
        <f>'Variar Nominales h112 Update'!$Z$40</f>
        <v>1.1586411908374556E-5</v>
      </c>
      <c r="K3" s="2">
        <f>'Variar Nominales h112 Update'!$AA$40</f>
        <v>5.4399949123657842E-6</v>
      </c>
    </row>
    <row r="4" spans="2:18" ht="14.25" customHeight="1" x14ac:dyDescent="0.3">
      <c r="B4" s="28" t="s">
        <v>47</v>
      </c>
      <c r="C4" s="2">
        <f>'Variar Nominales h211 Update'!$X$39</f>
        <v>0</v>
      </c>
      <c r="D4" s="2">
        <f>'Variar Nominales h211 Update'!$Y$39</f>
        <v>9.222354420396639E-2</v>
      </c>
      <c r="E4" s="2">
        <f>'Variar Nominales h211 Update'!$Z$39</f>
        <v>-0.1444100429678771</v>
      </c>
      <c r="F4" s="2">
        <f>'Variar Nominales h211 Update'!$AA$39</f>
        <v>4.6215698368587285E-2</v>
      </c>
      <c r="H4" s="2">
        <f>'Variar Nominales h211 Update'!$X$40</f>
        <v>0</v>
      </c>
      <c r="I4" s="2">
        <f>'Variar Nominales h211 Update'!$Y$40</f>
        <v>2.9382987035376254E-4</v>
      </c>
      <c r="J4" s="2">
        <f>'Variar Nominales h211 Update'!$Z$40</f>
        <v>3.2864232671837683E-4</v>
      </c>
      <c r="K4" s="2">
        <f>'Variar Nominales h211 Update'!$AA$40</f>
        <v>1.7323064781016949E-4</v>
      </c>
      <c r="M4" s="2">
        <v>1.3</v>
      </c>
      <c r="N4" s="2">
        <v>385.47519999999997</v>
      </c>
      <c r="O4" s="2">
        <v>399.9008</v>
      </c>
      <c r="P4" s="2">
        <v>559.8836</v>
      </c>
      <c r="Q4" s="2">
        <v>339.96699999999998</v>
      </c>
    </row>
    <row r="5" spans="2:18" ht="14.25" customHeight="1" x14ac:dyDescent="0.3">
      <c r="B5" s="28" t="s">
        <v>48</v>
      </c>
      <c r="C5" s="2">
        <f>'Variar Nominales h222 Update'!$X$39</f>
        <v>0</v>
      </c>
      <c r="D5" s="2">
        <f>'Variar Nominales h222 Update'!$Y$39</f>
        <v>0.14153440626051877</v>
      </c>
      <c r="E5" s="2">
        <f>'Variar Nominales h222 Update'!$Z$39</f>
        <v>0</v>
      </c>
      <c r="F5" s="2">
        <f>'Variar Nominales h222 Update'!$AA$39</f>
        <v>-7.6822917173529556E-2</v>
      </c>
      <c r="H5" s="2">
        <f>'Variar Nominales h222 Update'!$X$40</f>
        <v>0</v>
      </c>
      <c r="I5" s="2">
        <f>'Variar Nominales h222 Update'!$Y$40</f>
        <v>7.020371390510082E-4</v>
      </c>
      <c r="J5" s="2">
        <f>'Variar Nominales h222 Update'!$Z$40</f>
        <v>0</v>
      </c>
      <c r="K5" s="2">
        <f>'Variar Nominales h222 Update'!$AA$40</f>
        <v>4.4830122862298032E-4</v>
      </c>
    </row>
    <row r="6" spans="2:18" ht="14.25" customHeight="1" x14ac:dyDescent="0.3">
      <c r="B6" s="28"/>
      <c r="N6" s="2">
        <f t="shared" ref="N6:Q6" si="0">N4-N2</f>
        <v>0.39669999999995298</v>
      </c>
      <c r="O6" s="2">
        <f t="shared" si="0"/>
        <v>-5.9700000000020736E-2</v>
      </c>
      <c r="P6" s="2">
        <f t="shared" si="0"/>
        <v>-0.10490000000004329</v>
      </c>
      <c r="Q6" s="2">
        <f t="shared" si="0"/>
        <v>-2.9899999999997817E-2</v>
      </c>
    </row>
    <row r="7" spans="2:18" ht="14.25" customHeight="1" x14ac:dyDescent="0.3">
      <c r="B7" s="28" t="s">
        <v>49</v>
      </c>
      <c r="C7" s="2">
        <f>'Variar Nominales c112 Update'!$X$53</f>
        <v>0.1657119180748535</v>
      </c>
      <c r="D7" s="2">
        <f>'Variar Nominales c112 Update'!$Y$53</f>
        <v>-2.49279116437632E-2</v>
      </c>
      <c r="E7" s="2">
        <f>'Variar Nominales c112 Update'!$Z$53</f>
        <v>-4.3822100355791774E-2</v>
      </c>
      <c r="F7" s="2">
        <f>'Variar Nominales c112 Update'!$AA$53</f>
        <v>-1.2492046965134647E-2</v>
      </c>
      <c r="H7" s="2">
        <f>'Variar Nominales c112 Update'!$X$54</f>
        <v>1.2636236114068884E-3</v>
      </c>
      <c r="I7" s="2">
        <f>'Variar Nominales c112 Update'!$Y$54</f>
        <v>1.8295767089776088E-4</v>
      </c>
      <c r="J7" s="2">
        <f>'Variar Nominales c112 Update'!$Z$54</f>
        <v>2.2973643617003775E-4</v>
      </c>
      <c r="K7" s="2">
        <f>'Variar Nominales c112 Update'!$AA$54</f>
        <v>1.0786471713503005E-4</v>
      </c>
    </row>
    <row r="8" spans="2:18" ht="14.25" customHeight="1" x14ac:dyDescent="0.3">
      <c r="B8" s="28" t="s">
        <v>50</v>
      </c>
      <c r="C8" s="2">
        <f>'Variar Nominales c211 Update'!$X$53</f>
        <v>0</v>
      </c>
      <c r="D8" s="2">
        <f>'Variar Nominales c211 Update'!$Y$53</f>
        <v>9.8734122023433207E-2</v>
      </c>
      <c r="E8" s="2">
        <f>'Variar Nominales c211 Update'!$Z$53</f>
        <v>-0.15460475876167198</v>
      </c>
      <c r="F8" s="2">
        <f>'Variar Nominales c211 Update'!$AA$53</f>
        <v>4.9478324017024185E-2</v>
      </c>
      <c r="H8" s="2">
        <f>'Variar Nominales c211 Update'!$X$54</f>
        <v>0</v>
      </c>
      <c r="I8" s="2">
        <f>'Variar Nominales c211 Update'!$Y$54</f>
        <v>6.8587657805465067E-4</v>
      </c>
      <c r="J8" s="2">
        <f>'Variar Nominales c211 Update'!$Z$54</f>
        <v>7.6713805230115082E-4</v>
      </c>
      <c r="K8" s="2">
        <f>'Variar Nominales c211 Update'!$AA$54</f>
        <v>4.0436611768308834E-4</v>
      </c>
      <c r="N8" s="2" t="s">
        <v>51</v>
      </c>
      <c r="O8" s="2" t="s">
        <v>52</v>
      </c>
    </row>
    <row r="9" spans="2:18" ht="14.25" customHeight="1" x14ac:dyDescent="0.3">
      <c r="B9" s="28" t="s">
        <v>53</v>
      </c>
      <c r="C9" s="2">
        <f>'Variar Nominales c222 Update'!$X$53</f>
        <v>0</v>
      </c>
      <c r="D9" s="2">
        <f>'Variar Nominales c222 Update'!$Y$53</f>
        <v>6.0623024007196033E-2</v>
      </c>
      <c r="E9" s="2">
        <f>'Variar Nominales c222 Update'!$Z$53</f>
        <v>0</v>
      </c>
      <c r="F9" s="2">
        <f>'Variar Nominales c222 Update'!$AA$53</f>
        <v>-3.2905338533313379E-2</v>
      </c>
      <c r="H9" s="2">
        <f>'Variar Nominales c222 Update'!$X$54</f>
        <v>0</v>
      </c>
      <c r="I9" s="2">
        <f>'Variar Nominales c222 Update'!$Y$54</f>
        <v>4.072213737127684E-4</v>
      </c>
      <c r="J9" s="2">
        <f>'Variar Nominales c222 Update'!$Z$54</f>
        <v>0</v>
      </c>
      <c r="K9" s="2">
        <f>'Variar Nominales c222 Update'!$AA$54</f>
        <v>2.600401488776697E-4</v>
      </c>
    </row>
    <row r="10" spans="2:18" ht="14.25" customHeight="1" x14ac:dyDescent="0.3">
      <c r="N10" s="32" t="s">
        <v>54</v>
      </c>
      <c r="O10" s="33">
        <f>23/5</f>
        <v>4.5999999999999996</v>
      </c>
    </row>
    <row r="11" spans="2:18" ht="14.25" customHeight="1" x14ac:dyDescent="0.3">
      <c r="B11" s="34"/>
      <c r="C11" s="35" t="s">
        <v>46</v>
      </c>
      <c r="D11" s="35" t="s">
        <v>49</v>
      </c>
      <c r="E11" s="35" t="s">
        <v>47</v>
      </c>
      <c r="F11" s="35" t="s">
        <v>50</v>
      </c>
      <c r="G11" s="35" t="s">
        <v>48</v>
      </c>
      <c r="H11" s="35" t="s">
        <v>53</v>
      </c>
      <c r="N11" s="36" t="s">
        <v>55</v>
      </c>
      <c r="O11" s="2">
        <f t="shared" ref="O11:R11" si="1">$O$10*C3</f>
        <v>0.37539538633035729</v>
      </c>
      <c r="P11" s="2">
        <f t="shared" si="1"/>
        <v>-5.6470428504070511E-2</v>
      </c>
      <c r="Q11" s="2">
        <f t="shared" si="1"/>
        <v>-9.9272366670882156E-2</v>
      </c>
      <c r="R11" s="2">
        <f t="shared" si="1"/>
        <v>-2.8298850505191167E-2</v>
      </c>
    </row>
    <row r="12" spans="2:18" ht="14.25" customHeight="1" x14ac:dyDescent="0.3">
      <c r="B12" s="37" t="s">
        <v>6</v>
      </c>
      <c r="C12" s="34">
        <f>'Variar Nominales h112 Update'!$X$39</f>
        <v>8.1607692680512461E-2</v>
      </c>
      <c r="D12" s="34">
        <f>'Variar Nominales c112 Update'!$X$53</f>
        <v>0.1657119180748535</v>
      </c>
      <c r="E12" s="34">
        <f>'Variar Nominales h211 Update'!$X$39</f>
        <v>0</v>
      </c>
      <c r="F12" s="34">
        <f>'Variar Nominales c211 Update'!$X$53</f>
        <v>0</v>
      </c>
      <c r="G12" s="34">
        <f>'Variar Nominales h222 Update'!$X$39</f>
        <v>0</v>
      </c>
      <c r="H12" s="34">
        <f>'Variar Nominales c222 Update'!$X$53</f>
        <v>0</v>
      </c>
      <c r="N12" s="28"/>
    </row>
    <row r="13" spans="2:18" ht="14.25" customHeight="1" x14ac:dyDescent="0.3">
      <c r="B13" s="37" t="s">
        <v>16</v>
      </c>
      <c r="C13" s="34">
        <f>'Variar Nominales h112 Update'!$Y$39</f>
        <v>-1.2276180109580547E-2</v>
      </c>
      <c r="D13" s="34">
        <f>'Variar Nominales c112 Update'!$Y$53</f>
        <v>-2.49279116437632E-2</v>
      </c>
      <c r="E13" s="34">
        <f>'Variar Nominales h211 Update'!$Y$39</f>
        <v>9.222354420396639E-2</v>
      </c>
      <c r="F13" s="34">
        <f>'Variar Nominales c211 Update'!$Y$53</f>
        <v>9.8734122023433207E-2</v>
      </c>
      <c r="G13" s="34">
        <f>'Variar Nominales h222 Update'!$Y$39</f>
        <v>0.14153440626051877</v>
      </c>
      <c r="H13" s="34">
        <f>'Variar Nominales c222 Update'!$Y$53</f>
        <v>6.0623024007196033E-2</v>
      </c>
      <c r="N13" s="28" t="s">
        <v>56</v>
      </c>
      <c r="O13" s="38">
        <f t="shared" ref="O13:R13" si="2">N6</f>
        <v>0.39669999999995298</v>
      </c>
      <c r="P13" s="38">
        <f t="shared" si="2"/>
        <v>-5.9700000000020736E-2</v>
      </c>
      <c r="Q13" s="38">
        <f t="shared" si="2"/>
        <v>-0.10490000000004329</v>
      </c>
      <c r="R13" s="38">
        <f t="shared" si="2"/>
        <v>-2.9899999999997817E-2</v>
      </c>
    </row>
    <row r="14" spans="2:18" ht="14.25" customHeight="1" x14ac:dyDescent="0.3">
      <c r="B14" s="37" t="s">
        <v>17</v>
      </c>
      <c r="C14" s="34">
        <f>'Variar Nominales h112 Update'!$Z$39</f>
        <v>-2.1580949276278731E-2</v>
      </c>
      <c r="D14" s="34">
        <f>'Variar Nominales c112 Update'!$Z$53</f>
        <v>-4.3822100355791774E-2</v>
      </c>
      <c r="E14" s="34">
        <f>'Variar Nominales h211 Update'!$Z$39</f>
        <v>-0.1444100429678771</v>
      </c>
      <c r="F14" s="34">
        <f>'Variar Nominales c211 Update'!$Z$53</f>
        <v>-0.15460475876167198</v>
      </c>
      <c r="G14" s="34">
        <f>'Variar Nominales h222 Update'!$Z$39</f>
        <v>0</v>
      </c>
      <c r="H14" s="34">
        <f>'Variar Nominales c222 Update'!$Z$53</f>
        <v>0</v>
      </c>
      <c r="N14" s="28"/>
    </row>
    <row r="15" spans="2:18" ht="14.25" customHeight="1" x14ac:dyDescent="0.3">
      <c r="B15" s="37" t="s">
        <v>18</v>
      </c>
      <c r="C15" s="34">
        <f>'Variar Nominales h112 Update'!$AA$39</f>
        <v>-6.1519240228676457E-3</v>
      </c>
      <c r="D15" s="34">
        <f>'Variar Nominales c112 Update'!$AA$53</f>
        <v>-1.2492046965134647E-2</v>
      </c>
      <c r="E15" s="34">
        <f>'Variar Nominales h211 Update'!$AA$39</f>
        <v>4.6215698368587285E-2</v>
      </c>
      <c r="F15" s="34">
        <f>'Variar Nominales c211 Update'!$AA$53</f>
        <v>4.9478324017024185E-2</v>
      </c>
      <c r="G15" s="34">
        <f>'Variar Nominales h222 Update'!$AA$39</f>
        <v>-7.6822917173529556E-2</v>
      </c>
      <c r="H15" s="34">
        <f>'Variar Nominales c222 Update'!$AA$53</f>
        <v>-3.2905338533313379E-2</v>
      </c>
      <c r="N15" s="28" t="s">
        <v>57</v>
      </c>
      <c r="O15" s="2">
        <f t="shared" ref="O15:R15" si="3">ABS(O13-O11)</f>
        <v>2.1304613669595684E-2</v>
      </c>
      <c r="P15" s="2">
        <f t="shared" si="3"/>
        <v>3.2295714959502259E-3</v>
      </c>
      <c r="Q15" s="2">
        <f t="shared" si="3"/>
        <v>5.6276333291611358E-3</v>
      </c>
      <c r="R15" s="2">
        <f t="shared" si="3"/>
        <v>1.6011494948066501E-3</v>
      </c>
    </row>
    <row r="16" spans="2:18" ht="14.25" customHeight="1" x14ac:dyDescent="0.3"/>
    <row r="17" spans="1:18" ht="14.25" customHeight="1" x14ac:dyDescent="0.3"/>
    <row r="18" spans="1:18" ht="14.25" customHeight="1" x14ac:dyDescent="0.3">
      <c r="B18" s="39" t="s">
        <v>58</v>
      </c>
      <c r="C18" s="39" t="s">
        <v>19</v>
      </c>
      <c r="D18" s="39" t="s">
        <v>28</v>
      </c>
      <c r="E18" s="39" t="s">
        <v>1</v>
      </c>
      <c r="F18" s="39" t="s">
        <v>4</v>
      </c>
      <c r="G18" s="39" t="s">
        <v>2</v>
      </c>
      <c r="H18" s="39" t="s">
        <v>5</v>
      </c>
      <c r="I18" s="39" t="s">
        <v>59</v>
      </c>
      <c r="L18" s="43" t="s">
        <v>62</v>
      </c>
      <c r="M18" s="42">
        <v>0.05</v>
      </c>
      <c r="N18" s="42">
        <v>0.25</v>
      </c>
      <c r="P18" s="42">
        <v>1.25</v>
      </c>
    </row>
    <row r="19" spans="1:18" ht="14.25" customHeight="1" x14ac:dyDescent="0.3">
      <c r="B19" s="40" t="s">
        <v>6</v>
      </c>
      <c r="C19" s="39">
        <v>4.61951</v>
      </c>
      <c r="D19" s="39">
        <v>2.2412700000000001</v>
      </c>
      <c r="E19" s="39">
        <v>0</v>
      </c>
      <c r="F19" s="39">
        <v>0</v>
      </c>
      <c r="G19" s="39">
        <v>0</v>
      </c>
      <c r="H19" s="39">
        <v>0</v>
      </c>
      <c r="I19" s="39">
        <v>0</v>
      </c>
      <c r="K19" t="s">
        <v>19</v>
      </c>
      <c r="L19" s="41">
        <v>1.49352587207778E-2</v>
      </c>
      <c r="M19">
        <f>L19*$M$18/100</f>
        <v>7.4676293603889009E-6</v>
      </c>
      <c r="N19">
        <f>L19*$N$18/100</f>
        <v>3.7338146801944503E-5</v>
      </c>
      <c r="P19">
        <f>$L19*1.25</f>
        <v>1.866907340097225E-2</v>
      </c>
    </row>
    <row r="20" spans="1:18" ht="14.25" customHeight="1" x14ac:dyDescent="0.3">
      <c r="B20" s="40" t="s">
        <v>16</v>
      </c>
      <c r="C20" s="39">
        <v>-1.32019</v>
      </c>
      <c r="D20" s="39">
        <v>-0.64052299999999995</v>
      </c>
      <c r="E20" s="39">
        <v>3.1452800000000001</v>
      </c>
      <c r="F20" s="39">
        <v>2.1155499999999998</v>
      </c>
      <c r="G20" s="39">
        <v>3.1063999999999998</v>
      </c>
      <c r="H20" s="39">
        <v>1.3090900000000001</v>
      </c>
      <c r="I20" s="39">
        <v>-842.99900000000002</v>
      </c>
      <c r="K20" t="s">
        <v>1</v>
      </c>
      <c r="L20" s="41">
        <v>5.2997334693681203E-2</v>
      </c>
      <c r="M20">
        <f t="shared" ref="M20:M21" si="4">L20*$M$18/100</f>
        <v>2.6498667346840606E-5</v>
      </c>
      <c r="N20">
        <f t="shared" ref="N20:N21" si="5">L20*$N$18/100</f>
        <v>1.3249333673420301E-4</v>
      </c>
      <c r="P20">
        <f t="shared" ref="P20:P21" si="6">$L20*1.25</f>
        <v>6.6246668367101497E-2</v>
      </c>
    </row>
    <row r="21" spans="1:18" ht="14.25" customHeight="1" x14ac:dyDescent="0.3">
      <c r="B21" s="40" t="s">
        <v>17</v>
      </c>
      <c r="C21" s="39">
        <v>-0.83991000000000005</v>
      </c>
      <c r="D21" s="39">
        <v>-0.40750399999999998</v>
      </c>
      <c r="E21" s="39">
        <v>-1.7821800000000001</v>
      </c>
      <c r="F21" s="39">
        <v>-1.19872</v>
      </c>
      <c r="G21" s="39">
        <v>0</v>
      </c>
      <c r="H21" s="39">
        <v>0</v>
      </c>
      <c r="I21" s="39">
        <v>0</v>
      </c>
      <c r="K21" t="s">
        <v>2</v>
      </c>
      <c r="L21" s="41">
        <v>8.1942366497549199E-2</v>
      </c>
      <c r="M21">
        <f t="shared" si="4"/>
        <v>4.0971183248774605E-5</v>
      </c>
      <c r="N21">
        <f t="shared" si="5"/>
        <v>2.04855916243873E-4</v>
      </c>
      <c r="P21">
        <f t="shared" si="6"/>
        <v>0.1024279581219365</v>
      </c>
    </row>
    <row r="22" spans="1:18" ht="14.25" customHeight="1" x14ac:dyDescent="0.3">
      <c r="B22" s="40" t="s">
        <v>18</v>
      </c>
      <c r="C22" s="39">
        <v>-0.83781000000000005</v>
      </c>
      <c r="D22" s="39">
        <v>-0.40648600000000001</v>
      </c>
      <c r="E22" s="39">
        <v>1.9960500000000001</v>
      </c>
      <c r="F22" s="39">
        <v>1.34256</v>
      </c>
      <c r="G22" s="39">
        <v>-2.13565</v>
      </c>
      <c r="H22" s="39">
        <v>-0.9</v>
      </c>
      <c r="I22" s="39">
        <v>0</v>
      </c>
    </row>
    <row r="23" spans="1:18" ht="14.25" customHeight="1" x14ac:dyDescent="0.3"/>
    <row r="24" spans="1:18" ht="14.25" customHeight="1" x14ac:dyDescent="0.3">
      <c r="C24" s="44"/>
    </row>
    <row r="25" spans="1:18" ht="14.25" customHeight="1" x14ac:dyDescent="0.3">
      <c r="A25" t="s">
        <v>65</v>
      </c>
      <c r="B25" s="46"/>
      <c r="C25" s="48">
        <v>115.045803770603</v>
      </c>
      <c r="D25" s="49">
        <v>0</v>
      </c>
      <c r="E25" s="48">
        <v>0</v>
      </c>
      <c r="F25" s="49">
        <v>31.874878166089498</v>
      </c>
      <c r="G25" s="48">
        <v>0</v>
      </c>
      <c r="H25" s="48">
        <v>0</v>
      </c>
      <c r="L25">
        <f t="shared" ref="L25:R28" si="7">IFERROR(C19/C12,"")</f>
        <v>56.606305708029382</v>
      </c>
      <c r="M25">
        <f t="shared" si="7"/>
        <v>13.525098411977822</v>
      </c>
      <c r="N25" t="str">
        <f t="shared" si="7"/>
        <v/>
      </c>
      <c r="O25" t="str">
        <f t="shared" si="7"/>
        <v/>
      </c>
      <c r="P25" t="str">
        <f t="shared" si="7"/>
        <v/>
      </c>
      <c r="Q25" t="str">
        <f t="shared" si="7"/>
        <v/>
      </c>
      <c r="R25" t="str">
        <f t="shared" si="7"/>
        <v/>
      </c>
    </row>
    <row r="26" spans="1:18" ht="14.25" customHeight="1" x14ac:dyDescent="0.3">
      <c r="A26" t="s">
        <v>64</v>
      </c>
      <c r="B26" s="46"/>
      <c r="C26" s="49">
        <v>-17.3201211280835</v>
      </c>
      <c r="D26" s="49">
        <v>37.413753898114798</v>
      </c>
      <c r="E26" s="49">
        <v>39.158946909868497</v>
      </c>
      <c r="F26" s="49">
        <v>-5.0806014637264001</v>
      </c>
      <c r="G26" s="49">
        <v>19.0013672598621</v>
      </c>
      <c r="H26" s="49">
        <v>11.6995529705538</v>
      </c>
      <c r="L26">
        <f t="shared" si="7"/>
        <v>107.54078127036442</v>
      </c>
      <c r="M26">
        <f t="shared" si="7"/>
        <v>25.695012448435673</v>
      </c>
      <c r="N26">
        <f t="shared" si="7"/>
        <v>34.104956897381165</v>
      </c>
      <c r="O26">
        <f t="shared" si="7"/>
        <v>21.426736336379257</v>
      </c>
      <c r="P26">
        <f t="shared" si="7"/>
        <v>21.948020146296642</v>
      </c>
      <c r="Q26">
        <f t="shared" si="7"/>
        <v>21.593940939742783</v>
      </c>
      <c r="R26" t="str">
        <f t="shared" si="7"/>
        <v/>
      </c>
    </row>
    <row r="27" spans="1:18" ht="14.25" customHeight="1" x14ac:dyDescent="0.3">
      <c r="A27" s="2"/>
      <c r="B27" s="46"/>
      <c r="C27" s="49">
        <v>-30.397057439083</v>
      </c>
      <c r="D27" s="49">
        <v>-57.382529280116401</v>
      </c>
      <c r="E27" s="49">
        <v>0</v>
      </c>
      <c r="F27" s="49">
        <v>-8.9185022321132301</v>
      </c>
      <c r="G27" s="49">
        <v>-30.757834813285701</v>
      </c>
      <c r="H27" s="49">
        <v>0</v>
      </c>
      <c r="L27">
        <f t="shared" si="7"/>
        <v>38.919047964364076</v>
      </c>
      <c r="M27">
        <f t="shared" si="7"/>
        <v>9.2990522291600293</v>
      </c>
      <c r="N27">
        <f t="shared" si="7"/>
        <v>12.341108439365483</v>
      </c>
      <c r="O27">
        <f t="shared" si="7"/>
        <v>7.7534482741754669</v>
      </c>
      <c r="P27" t="str">
        <f t="shared" si="7"/>
        <v/>
      </c>
      <c r="Q27" t="str">
        <f t="shared" si="7"/>
        <v/>
      </c>
      <c r="R27" t="str">
        <f t="shared" si="7"/>
        <v/>
      </c>
    </row>
    <row r="28" spans="1:18" ht="14.25" customHeight="1" x14ac:dyDescent="0.3">
      <c r="B28" s="46"/>
      <c r="C28" s="49">
        <v>-8.6712723291848803</v>
      </c>
      <c r="D28" s="49">
        <v>18.867727155280502</v>
      </c>
      <c r="E28" s="49">
        <v>-19.719906909346701</v>
      </c>
      <c r="F28" s="49">
        <v>-2.55809572885466</v>
      </c>
      <c r="G28" s="49">
        <v>9.5257722124038295</v>
      </c>
      <c r="H28" s="49">
        <v>-7.0546384431844196</v>
      </c>
      <c r="L28">
        <f t="shared" si="7"/>
        <v>136.1866623979314</v>
      </c>
      <c r="M28">
        <f t="shared" si="7"/>
        <v>32.539583075096026</v>
      </c>
      <c r="N28">
        <f t="shared" si="7"/>
        <v>43.189869902663013</v>
      </c>
      <c r="O28">
        <f t="shared" si="7"/>
        <v>27.134306318420577</v>
      </c>
      <c r="P28">
        <f t="shared" si="7"/>
        <v>27.799647274210372</v>
      </c>
      <c r="Q28">
        <f t="shared" si="7"/>
        <v>27.351184947963372</v>
      </c>
      <c r="R28" t="str">
        <f t="shared" si="7"/>
        <v/>
      </c>
    </row>
    <row r="29" spans="1:18" ht="14.25" customHeight="1" x14ac:dyDescent="0.3">
      <c r="A29" s="2"/>
      <c r="B29" s="46"/>
      <c r="E29" s="2"/>
    </row>
    <row r="30" spans="1:18" ht="14.25" customHeight="1" x14ac:dyDescent="0.3">
      <c r="B30" s="46"/>
      <c r="C30" s="50">
        <f>C12/C13</f>
        <v>-6.6476454362887996</v>
      </c>
    </row>
    <row r="31" spans="1:18" ht="14.25" customHeight="1" x14ac:dyDescent="0.3">
      <c r="A31" s="2"/>
      <c r="B31" s="46"/>
      <c r="C31" s="50">
        <f>C13/C14</f>
        <v>0.5688433790572055</v>
      </c>
    </row>
    <row r="32" spans="1:18" ht="14.25" customHeight="1" x14ac:dyDescent="0.3">
      <c r="B32" s="46"/>
      <c r="C32" s="50">
        <f>C14/C15</f>
        <v>3.5079999681496439</v>
      </c>
      <c r="F32" s="54">
        <v>117.985181457769</v>
      </c>
      <c r="G32" s="54">
        <v>0</v>
      </c>
      <c r="H32" s="54">
        <v>0</v>
      </c>
      <c r="I32" s="54">
        <v>32.226086767166599</v>
      </c>
      <c r="J32" s="54">
        <v>0</v>
      </c>
      <c r="K32" s="54">
        <v>0</v>
      </c>
      <c r="L32" s="54">
        <v>0</v>
      </c>
    </row>
    <row r="33" spans="3:12" ht="14.25" customHeight="1" x14ac:dyDescent="0.3">
      <c r="C33" s="45"/>
      <c r="F33" s="54">
        <v>-17.440202925497299</v>
      </c>
      <c r="G33" s="54">
        <v>37.374096929578698</v>
      </c>
      <c r="H33" s="54">
        <v>40.097750590073503</v>
      </c>
      <c r="I33" s="54">
        <v>-5.02154452633979</v>
      </c>
      <c r="J33" s="54">
        <v>19.3372521370997</v>
      </c>
      <c r="K33" s="54">
        <v>11.843522416965399</v>
      </c>
      <c r="L33" s="54">
        <v>-1.8905833322958001E-2</v>
      </c>
    </row>
    <row r="34" spans="3:12" ht="14.25" customHeight="1" x14ac:dyDescent="0.3">
      <c r="C34" s="45">
        <f>C25/C26</f>
        <v>-6.6423209699188179</v>
      </c>
      <c r="F34" s="54">
        <v>-30.612618597025602</v>
      </c>
      <c r="G34" s="54">
        <v>-58.629773542227397</v>
      </c>
      <c r="H34" s="54">
        <v>0</v>
      </c>
      <c r="I34" s="54">
        <v>-8.9542301870152006</v>
      </c>
      <c r="J34" s="54">
        <v>-33.978981609097701</v>
      </c>
      <c r="K34" s="54">
        <v>0</v>
      </c>
      <c r="L34" s="54">
        <v>0</v>
      </c>
    </row>
    <row r="35" spans="3:12" ht="14.25" customHeight="1" x14ac:dyDescent="0.3">
      <c r="C35" s="45">
        <f>C26/C27</f>
        <v>0.56979597985080499</v>
      </c>
      <c r="F35" s="54">
        <v>-8.7301112271753905</v>
      </c>
      <c r="G35" s="54">
        <v>18.873913021362402</v>
      </c>
      <c r="H35" s="54">
        <v>-20.643121133168801</v>
      </c>
      <c r="I35" s="54">
        <v>-2.5361276472140499</v>
      </c>
      <c r="J35" s="54">
        <v>9.6700291130819807</v>
      </c>
      <c r="K35" s="54">
        <v>-7.9433525552495903</v>
      </c>
      <c r="L35" s="54">
        <v>0</v>
      </c>
    </row>
    <row r="36" spans="3:12" ht="14.25" customHeight="1" x14ac:dyDescent="0.3">
      <c r="C36" s="45">
        <f>C27/C28</f>
        <v>3.5054898848898675</v>
      </c>
    </row>
    <row r="37" spans="3:12" ht="14.25" customHeight="1" x14ac:dyDescent="0.3"/>
    <row r="38" spans="3:12" ht="14.25" customHeight="1" x14ac:dyDescent="0.3">
      <c r="C38">
        <f>C19/C20</f>
        <v>-3.4991251259288436</v>
      </c>
      <c r="D38" s="51"/>
    </row>
    <row r="39" spans="3:12" ht="14.25" customHeight="1" x14ac:dyDescent="0.3">
      <c r="C39">
        <f>C20/C21</f>
        <v>1.5718231715302828</v>
      </c>
      <c r="D39" s="51"/>
    </row>
    <row r="40" spans="3:12" ht="14.25" customHeight="1" x14ac:dyDescent="0.3">
      <c r="C40">
        <f>C21/C22</f>
        <v>1.0025065348945466</v>
      </c>
      <c r="D40" s="51"/>
    </row>
    <row r="41" spans="3:12" ht="14.25" customHeight="1" x14ac:dyDescent="0.3"/>
    <row r="42" spans="3:12" ht="14.25" customHeight="1" x14ac:dyDescent="0.3"/>
    <row r="43" spans="3:12" ht="14.25" customHeight="1" x14ac:dyDescent="0.3">
      <c r="C43" s="39">
        <v>4.61951</v>
      </c>
      <c r="D43" s="39">
        <v>2.2412700000000001</v>
      </c>
      <c r="E43" s="39">
        <v>0</v>
      </c>
      <c r="F43" s="39">
        <v>0</v>
      </c>
      <c r="G43" s="39">
        <v>0</v>
      </c>
      <c r="H43" s="39">
        <v>0</v>
      </c>
      <c r="I43" s="39">
        <v>0</v>
      </c>
    </row>
    <row r="44" spans="3:12" ht="14.25" customHeight="1" x14ac:dyDescent="0.3">
      <c r="C44" s="39">
        <v>-0.83991000000000005</v>
      </c>
      <c r="D44" s="39">
        <v>-0.40750399999999998</v>
      </c>
      <c r="E44" s="39">
        <v>-1.7821800000000001</v>
      </c>
      <c r="F44" s="39">
        <v>-1.19872</v>
      </c>
      <c r="G44" s="39">
        <v>0</v>
      </c>
      <c r="H44" s="39">
        <v>0</v>
      </c>
      <c r="I44" s="39">
        <v>0</v>
      </c>
    </row>
    <row r="45" spans="3:12" ht="14.25" customHeight="1" x14ac:dyDescent="0.3">
      <c r="C45" s="39">
        <v>-1.32019</v>
      </c>
      <c r="D45" s="39">
        <v>-0.64052299999999995</v>
      </c>
      <c r="E45" s="39">
        <v>3.1452800000000001</v>
      </c>
      <c r="F45" s="39">
        <v>2.1155499999999998</v>
      </c>
      <c r="G45" s="39">
        <v>3.1063999999999998</v>
      </c>
      <c r="H45" s="39">
        <v>1.3090900000000001</v>
      </c>
      <c r="I45" s="39">
        <v>-842.99900000000002</v>
      </c>
    </row>
    <row r="46" spans="3:12" ht="14.25" customHeight="1" x14ac:dyDescent="0.3">
      <c r="C46" s="39">
        <v>-0.83781000000000005</v>
      </c>
      <c r="D46" s="39">
        <v>-0.40648600000000001</v>
      </c>
      <c r="E46" s="39">
        <v>1.9960500000000001</v>
      </c>
      <c r="F46" s="39">
        <v>1.34256</v>
      </c>
      <c r="G46" s="39">
        <v>-2.13565</v>
      </c>
      <c r="H46" s="39">
        <v>-0.9</v>
      </c>
      <c r="I46" s="39">
        <v>0</v>
      </c>
    </row>
    <row r="47" spans="3:12" ht="14.25" customHeight="1" x14ac:dyDescent="0.3"/>
    <row r="48" spans="3:12" ht="14.25" customHeight="1" x14ac:dyDescent="0.3">
      <c r="C48">
        <f>C43/C44</f>
        <v>-5.5000059530187757</v>
      </c>
    </row>
    <row r="49" spans="3:3" ht="14.25" customHeight="1" x14ac:dyDescent="0.3">
      <c r="C49">
        <f>C44/C45</f>
        <v>0.63620387974458226</v>
      </c>
    </row>
    <row r="50" spans="3:3" ht="14.25" customHeight="1" x14ac:dyDescent="0.3">
      <c r="C50">
        <f>C45/C46</f>
        <v>1.5757630011577803</v>
      </c>
    </row>
    <row r="51" spans="3:3" ht="14.25" customHeight="1" x14ac:dyDescent="0.3"/>
    <row r="52" spans="3:3" ht="14.25" customHeight="1" x14ac:dyDescent="0.3"/>
    <row r="53" spans="3:3" ht="14.25" customHeight="1" x14ac:dyDescent="0.3"/>
    <row r="54" spans="3:3" ht="14.25" customHeight="1" x14ac:dyDescent="0.3"/>
    <row r="55" spans="3:3" ht="14.25" customHeight="1" x14ac:dyDescent="0.3"/>
    <row r="56" spans="3:3" ht="14.25" customHeight="1" x14ac:dyDescent="0.3"/>
    <row r="57" spans="3:3" ht="14.25" customHeight="1" x14ac:dyDescent="0.3"/>
    <row r="58" spans="3:3" ht="14.25" customHeight="1" x14ac:dyDescent="0.3"/>
    <row r="59" spans="3:3" ht="14.25" customHeight="1" x14ac:dyDescent="0.3"/>
    <row r="60" spans="3:3" ht="14.25" customHeight="1" x14ac:dyDescent="0.3"/>
    <row r="61" spans="3:3" ht="14.25" customHeight="1" x14ac:dyDescent="0.3"/>
    <row r="62" spans="3:3" ht="14.25" customHeight="1" x14ac:dyDescent="0.3"/>
    <row r="63" spans="3:3" ht="14.25" customHeight="1" x14ac:dyDescent="0.3"/>
    <row r="64" spans="3:3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conditionalFormatting sqref="H3:K9">
    <cfRule type="colorScale" priority="1">
      <colorScale>
        <cfvo type="min"/>
        <cfvo type="max"/>
        <color rgb="FFFCFCFF"/>
        <color rgb="FFF8696B"/>
      </colorScale>
    </cfRule>
  </conditionalFormatting>
  <conditionalFormatting sqref="O15:R15">
    <cfRule type="colorScale" priority="2">
      <colorScale>
        <cfvo type="min"/>
        <cfvo type="max"/>
        <color rgb="FFFCFCFF"/>
        <color rgb="FFFF8F8F"/>
      </colorScale>
    </cfRule>
  </conditionalFormatting>
  <pageMargins left="0.7" right="0.7" top="0.75" bottom="0.75" header="0" footer="0"/>
  <pageSetup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C1:C1000"/>
  <sheetViews>
    <sheetView workbookViewId="0"/>
  </sheetViews>
  <sheetFormatPr defaultColWidth="14.44140625" defaultRowHeight="15" customHeight="1" x14ac:dyDescent="0.3"/>
  <cols>
    <col min="1" max="2" width="8.6640625" customWidth="1"/>
    <col min="3" max="3" width="10.44140625" customWidth="1"/>
    <col min="4" max="26" width="8.6640625" customWidth="1"/>
  </cols>
  <sheetData>
    <row r="1" spans="3:3" ht="14.25" customHeight="1" x14ac:dyDescent="0.3"/>
    <row r="2" spans="3:3" ht="14.25" customHeight="1" x14ac:dyDescent="0.3"/>
    <row r="3" spans="3:3" ht="14.25" customHeight="1" x14ac:dyDescent="0.3"/>
    <row r="4" spans="3:3" ht="14.25" customHeight="1" x14ac:dyDescent="0.3">
      <c r="C4" s="2" t="s">
        <v>60</v>
      </c>
    </row>
    <row r="5" spans="3:3" ht="14.25" customHeight="1" x14ac:dyDescent="0.3">
      <c r="C5" s="2">
        <v>5.0000000000000001E-3</v>
      </c>
    </row>
    <row r="6" spans="3:3" ht="14.25" customHeight="1" x14ac:dyDescent="0.3">
      <c r="C6" s="2">
        <v>0.01</v>
      </c>
    </row>
    <row r="7" spans="3:3" ht="14.25" customHeight="1" x14ac:dyDescent="0.3">
      <c r="C7" s="2">
        <v>1.4999999999999999E-2</v>
      </c>
    </row>
    <row r="8" spans="3:3" ht="14.25" customHeight="1" x14ac:dyDescent="0.3">
      <c r="C8" s="2">
        <v>0.02</v>
      </c>
    </row>
    <row r="9" spans="3:3" ht="14.25" customHeight="1" x14ac:dyDescent="0.3">
      <c r="C9" s="2">
        <v>2.5000000000000001E-2</v>
      </c>
    </row>
    <row r="10" spans="3:3" ht="14.25" customHeight="1" x14ac:dyDescent="0.3">
      <c r="C10" s="2">
        <v>0.03</v>
      </c>
    </row>
    <row r="11" spans="3:3" ht="14.25" customHeight="1" x14ac:dyDescent="0.3">
      <c r="C11" s="2">
        <v>3.5000000000000003E-2</v>
      </c>
    </row>
    <row r="12" spans="3:3" ht="14.25" customHeight="1" x14ac:dyDescent="0.3">
      <c r="C12" s="2">
        <v>0.04</v>
      </c>
    </row>
    <row r="13" spans="3:3" ht="14.25" customHeight="1" x14ac:dyDescent="0.3">
      <c r="C13" s="2">
        <v>4.4999999999999998E-2</v>
      </c>
    </row>
    <row r="14" spans="3:3" ht="14.25" customHeight="1" x14ac:dyDescent="0.3">
      <c r="C14" s="2">
        <v>0.05</v>
      </c>
    </row>
    <row r="15" spans="3:3" ht="14.25" customHeight="1" x14ac:dyDescent="0.3">
      <c r="C15" s="2">
        <v>5.5E-2</v>
      </c>
    </row>
    <row r="16" spans="3:3" ht="14.25" customHeight="1" x14ac:dyDescent="0.3">
      <c r="C16" s="2">
        <v>0.06</v>
      </c>
    </row>
    <row r="17" spans="3:3" ht="14.25" customHeight="1" x14ac:dyDescent="0.3">
      <c r="C17" s="2">
        <v>6.5000000000000002E-2</v>
      </c>
    </row>
    <row r="18" spans="3:3" ht="14.25" customHeight="1" x14ac:dyDescent="0.3">
      <c r="C18" s="2">
        <v>7.0000000000000007E-2</v>
      </c>
    </row>
    <row r="19" spans="3:3" ht="14.25" customHeight="1" x14ac:dyDescent="0.3"/>
    <row r="20" spans="3:3" ht="14.25" customHeight="1" x14ac:dyDescent="0.3"/>
    <row r="21" spans="3:3" ht="14.25" customHeight="1" x14ac:dyDescent="0.3"/>
    <row r="22" spans="3:3" ht="14.25" customHeight="1" x14ac:dyDescent="0.3"/>
    <row r="23" spans="3:3" ht="14.25" customHeight="1" x14ac:dyDescent="0.3"/>
    <row r="24" spans="3:3" ht="14.25" customHeight="1" x14ac:dyDescent="0.3"/>
    <row r="25" spans="3:3" ht="14.25" customHeight="1" x14ac:dyDescent="0.3"/>
    <row r="26" spans="3:3" ht="14.25" customHeight="1" x14ac:dyDescent="0.3"/>
    <row r="27" spans="3:3" ht="14.25" customHeight="1" x14ac:dyDescent="0.3"/>
    <row r="28" spans="3:3" ht="14.25" customHeight="1" x14ac:dyDescent="0.3"/>
    <row r="29" spans="3:3" ht="14.25" customHeight="1" x14ac:dyDescent="0.3"/>
    <row r="30" spans="3:3" ht="14.25" customHeight="1" x14ac:dyDescent="0.3"/>
    <row r="31" spans="3:3" ht="14.25" customHeight="1" x14ac:dyDescent="0.3"/>
    <row r="32" spans="3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000"/>
  <sheetViews>
    <sheetView workbookViewId="0"/>
  </sheetViews>
  <sheetFormatPr defaultColWidth="14.44140625" defaultRowHeight="15" customHeight="1" x14ac:dyDescent="0.3"/>
  <cols>
    <col min="1" max="1" width="10.6640625" customWidth="1"/>
    <col min="2" max="2" width="9.6640625" customWidth="1"/>
    <col min="3" max="26" width="8.6640625" customWidth="1"/>
  </cols>
  <sheetData>
    <row r="1" spans="1:2" ht="14.25" customHeight="1" x14ac:dyDescent="0.3">
      <c r="A1" s="2" t="s">
        <v>60</v>
      </c>
      <c r="B1" s="2" t="s">
        <v>61</v>
      </c>
    </row>
    <row r="2" spans="1:2" ht="14.25" customHeight="1" x14ac:dyDescent="0.3">
      <c r="A2" s="2">
        <v>0.77500000000000002</v>
      </c>
      <c r="B2" s="2">
        <v>0.77500000000000002</v>
      </c>
    </row>
    <row r="3" spans="1:2" ht="14.25" customHeight="1" x14ac:dyDescent="0.3">
      <c r="A3" s="2">
        <v>0.77500000000000002</v>
      </c>
      <c r="B3" s="2">
        <v>0.77500000000000002</v>
      </c>
    </row>
    <row r="4" spans="1:2" ht="14.25" customHeight="1" x14ac:dyDescent="0.3">
      <c r="A4" s="2">
        <v>0.77500000000000002</v>
      </c>
      <c r="B4" s="2">
        <v>0.77500000000000002</v>
      </c>
    </row>
    <row r="5" spans="1:2" ht="14.25" customHeight="1" x14ac:dyDescent="0.3">
      <c r="A5" s="2">
        <v>0.77500000000000002</v>
      </c>
      <c r="B5" s="2">
        <v>0.77500000000000002</v>
      </c>
    </row>
    <row r="6" spans="1:2" ht="14.25" customHeight="1" x14ac:dyDescent="0.3">
      <c r="A6" s="2">
        <v>0.77500000000000002</v>
      </c>
      <c r="B6" s="2">
        <v>0.77500000000000002</v>
      </c>
    </row>
    <row r="7" spans="1:2" ht="14.25" customHeight="1" x14ac:dyDescent="0.3">
      <c r="A7" s="2">
        <v>0.82499999999999996</v>
      </c>
      <c r="B7" s="2">
        <v>0.82499999999999996</v>
      </c>
    </row>
    <row r="8" spans="1:2" ht="14.25" customHeight="1" x14ac:dyDescent="0.3">
      <c r="A8" s="2">
        <v>0.82499999999999996</v>
      </c>
      <c r="B8" s="2">
        <v>0.82499999999999996</v>
      </c>
    </row>
    <row r="9" spans="1:2" ht="14.25" customHeight="1" x14ac:dyDescent="0.3">
      <c r="A9" s="2">
        <v>0.82499999999999996</v>
      </c>
      <c r="B9" s="2">
        <v>0.82499999999999996</v>
      </c>
    </row>
    <row r="10" spans="1:2" ht="14.25" customHeight="1" x14ac:dyDescent="0.3">
      <c r="A10" s="2">
        <v>0.82499999999999996</v>
      </c>
      <c r="B10" s="2">
        <v>0.82499999999999996</v>
      </c>
    </row>
    <row r="11" spans="1:2" ht="14.25" customHeight="1" x14ac:dyDescent="0.3">
      <c r="A11" s="2">
        <v>0.82499999999999996</v>
      </c>
      <c r="B11" s="2">
        <v>0.82499999999999996</v>
      </c>
    </row>
    <row r="12" spans="1:2" ht="14.25" customHeight="1" x14ac:dyDescent="0.3">
      <c r="A12" s="2">
        <v>0.875</v>
      </c>
      <c r="B12" s="2">
        <v>0.875</v>
      </c>
    </row>
    <row r="13" spans="1:2" ht="14.25" customHeight="1" x14ac:dyDescent="0.3">
      <c r="A13" s="2">
        <v>0.875</v>
      </c>
      <c r="B13" s="2">
        <v>0.875</v>
      </c>
    </row>
    <row r="14" spans="1:2" ht="14.25" customHeight="1" x14ac:dyDescent="0.3">
      <c r="A14" s="2">
        <v>0.875</v>
      </c>
      <c r="B14" s="2">
        <v>0.875</v>
      </c>
    </row>
    <row r="15" spans="1:2" ht="14.25" customHeight="1" x14ac:dyDescent="0.3">
      <c r="A15" s="2">
        <v>0.875</v>
      </c>
      <c r="B15" s="2">
        <v>0.875</v>
      </c>
    </row>
    <row r="16" spans="1:2" ht="14.25" customHeight="1" x14ac:dyDescent="0.3">
      <c r="A16" s="2">
        <v>0.875</v>
      </c>
      <c r="B16" s="2">
        <v>0.875</v>
      </c>
    </row>
    <row r="17" spans="1:2" ht="14.25" customHeight="1" x14ac:dyDescent="0.3">
      <c r="A17" s="2">
        <v>0.92500000000000004</v>
      </c>
      <c r="B17" s="2">
        <v>0.92500000000000004</v>
      </c>
    </row>
    <row r="18" spans="1:2" ht="14.25" customHeight="1" x14ac:dyDescent="0.3">
      <c r="A18" s="2">
        <v>0.92500000000000004</v>
      </c>
      <c r="B18" s="2">
        <v>0.92500000000000004</v>
      </c>
    </row>
    <row r="19" spans="1:2" ht="14.25" customHeight="1" x14ac:dyDescent="0.3">
      <c r="A19" s="2">
        <v>0.92500000000000004</v>
      </c>
      <c r="B19" s="2">
        <v>0.92500000000000004</v>
      </c>
    </row>
    <row r="20" spans="1:2" ht="14.25" customHeight="1" x14ac:dyDescent="0.3">
      <c r="A20" s="2">
        <v>0.92500000000000004</v>
      </c>
      <c r="B20" s="2">
        <v>0.92500000000000004</v>
      </c>
    </row>
    <row r="21" spans="1:2" ht="14.25" customHeight="1" x14ac:dyDescent="0.3">
      <c r="A21" s="2">
        <v>0.92500000000000004</v>
      </c>
      <c r="B21" s="2">
        <v>0.92500000000000004</v>
      </c>
    </row>
    <row r="22" spans="1:2" ht="14.25" customHeight="1" x14ac:dyDescent="0.3">
      <c r="A22" s="2">
        <v>0.97499999999999998</v>
      </c>
      <c r="B22" s="2">
        <v>0.97499999999999998</v>
      </c>
    </row>
    <row r="23" spans="1:2" ht="14.25" customHeight="1" x14ac:dyDescent="0.3">
      <c r="A23" s="2">
        <v>0.97499999999999998</v>
      </c>
      <c r="B23" s="2">
        <v>0.97499999999999998</v>
      </c>
    </row>
    <row r="24" spans="1:2" ht="14.25" customHeight="1" x14ac:dyDescent="0.3">
      <c r="A24" s="2">
        <v>0.97499999999999998</v>
      </c>
      <c r="B24" s="2">
        <v>0.97499999999999998</v>
      </c>
    </row>
    <row r="25" spans="1:2" ht="14.25" customHeight="1" x14ac:dyDescent="0.3">
      <c r="A25" s="2">
        <v>0.97499999999999998</v>
      </c>
      <c r="B25" s="2">
        <v>0.97499999999999998</v>
      </c>
    </row>
    <row r="26" spans="1:2" ht="14.25" customHeight="1" x14ac:dyDescent="0.3">
      <c r="A26" s="2">
        <v>0.97499999999999998</v>
      </c>
      <c r="B26" s="2">
        <v>0.97499999999999998</v>
      </c>
    </row>
    <row r="27" spans="1:2" ht="14.25" customHeight="1" x14ac:dyDescent="0.3">
      <c r="A27" s="2">
        <v>1.0249999999999999</v>
      </c>
      <c r="B27" s="2">
        <v>1.0249999999999999</v>
      </c>
    </row>
    <row r="28" spans="1:2" ht="14.25" customHeight="1" x14ac:dyDescent="0.3">
      <c r="A28" s="2">
        <v>1.0249999999999999</v>
      </c>
      <c r="B28" s="2">
        <v>1.0249999999999999</v>
      </c>
    </row>
    <row r="29" spans="1:2" ht="14.25" customHeight="1" x14ac:dyDescent="0.3">
      <c r="A29" s="2">
        <v>1.0249999999999999</v>
      </c>
      <c r="B29" s="2">
        <v>1.0249999999999999</v>
      </c>
    </row>
    <row r="30" spans="1:2" ht="14.25" customHeight="1" x14ac:dyDescent="0.3">
      <c r="A30" s="2">
        <v>1.0249999999999999</v>
      </c>
      <c r="B30" s="2">
        <v>1.0249999999999999</v>
      </c>
    </row>
    <row r="31" spans="1:2" ht="14.25" customHeight="1" x14ac:dyDescent="0.3">
      <c r="A31" s="2">
        <v>1.0249999999999999</v>
      </c>
      <c r="B31" s="2">
        <v>1.0249999999999999</v>
      </c>
    </row>
    <row r="32" spans="1:2" ht="14.25" customHeight="1" x14ac:dyDescent="0.3">
      <c r="A32" s="2">
        <v>1.075</v>
      </c>
      <c r="B32" s="2">
        <v>1.075</v>
      </c>
    </row>
    <row r="33" spans="1:2" ht="14.25" customHeight="1" x14ac:dyDescent="0.3">
      <c r="A33" s="2">
        <v>1.075</v>
      </c>
      <c r="B33" s="2">
        <v>1.075</v>
      </c>
    </row>
    <row r="34" spans="1:2" ht="14.25" customHeight="1" x14ac:dyDescent="0.3">
      <c r="A34" s="2">
        <v>1.075</v>
      </c>
      <c r="B34" s="2">
        <v>1.075</v>
      </c>
    </row>
    <row r="35" spans="1:2" ht="14.25" customHeight="1" x14ac:dyDescent="0.3">
      <c r="A35" s="2">
        <v>1.075</v>
      </c>
      <c r="B35" s="2">
        <v>1.075</v>
      </c>
    </row>
    <row r="36" spans="1:2" ht="14.25" customHeight="1" x14ac:dyDescent="0.3">
      <c r="A36" s="2">
        <v>1.075</v>
      </c>
      <c r="B36" s="2">
        <v>1.075</v>
      </c>
    </row>
    <row r="37" spans="1:2" ht="14.25" customHeight="1" x14ac:dyDescent="0.3">
      <c r="A37" s="2">
        <v>1.125</v>
      </c>
      <c r="B37" s="2">
        <v>1.125</v>
      </c>
    </row>
    <row r="38" spans="1:2" ht="14.25" customHeight="1" x14ac:dyDescent="0.3">
      <c r="A38" s="2">
        <v>1.125</v>
      </c>
      <c r="B38" s="2">
        <v>1.125</v>
      </c>
    </row>
    <row r="39" spans="1:2" ht="14.25" customHeight="1" x14ac:dyDescent="0.3">
      <c r="A39" s="2">
        <v>1.125</v>
      </c>
      <c r="B39" s="2">
        <v>1.125</v>
      </c>
    </row>
    <row r="40" spans="1:2" ht="14.25" customHeight="1" x14ac:dyDescent="0.3">
      <c r="A40" s="2">
        <v>1.125</v>
      </c>
      <c r="B40" s="2">
        <v>1.125</v>
      </c>
    </row>
    <row r="41" spans="1:2" ht="14.25" customHeight="1" x14ac:dyDescent="0.3">
      <c r="A41" s="2">
        <v>1.125</v>
      </c>
      <c r="B41" s="2">
        <v>1.125</v>
      </c>
    </row>
    <row r="42" spans="1:2" ht="14.25" customHeight="1" x14ac:dyDescent="0.3">
      <c r="A42" s="2">
        <v>1.175</v>
      </c>
      <c r="B42" s="2">
        <v>1.175</v>
      </c>
    </row>
    <row r="43" spans="1:2" ht="14.25" customHeight="1" x14ac:dyDescent="0.3">
      <c r="A43" s="2">
        <v>1.175</v>
      </c>
      <c r="B43" s="2">
        <v>1.175</v>
      </c>
    </row>
    <row r="44" spans="1:2" ht="14.25" customHeight="1" x14ac:dyDescent="0.3">
      <c r="A44" s="2">
        <v>1.175</v>
      </c>
      <c r="B44" s="2">
        <v>1.175</v>
      </c>
    </row>
    <row r="45" spans="1:2" ht="14.25" customHeight="1" x14ac:dyDescent="0.3">
      <c r="A45" s="2">
        <v>1.175</v>
      </c>
      <c r="B45" s="2">
        <v>1.175</v>
      </c>
    </row>
    <row r="46" spans="1:2" ht="14.25" customHeight="1" x14ac:dyDescent="0.3">
      <c r="A46" s="2">
        <v>1.175</v>
      </c>
      <c r="B46" s="2">
        <v>1.175</v>
      </c>
    </row>
    <row r="47" spans="1:2" ht="14.25" customHeight="1" x14ac:dyDescent="0.3">
      <c r="A47" s="2">
        <v>1.2250000000000001</v>
      </c>
      <c r="B47" s="2">
        <v>1.2250000000000001</v>
      </c>
    </row>
    <row r="48" spans="1:2" ht="14.25" customHeight="1" x14ac:dyDescent="0.3">
      <c r="A48" s="2">
        <v>1.2250000000000001</v>
      </c>
      <c r="B48" s="2">
        <v>1.2250000000000001</v>
      </c>
    </row>
    <row r="49" spans="1:2" ht="14.25" customHeight="1" x14ac:dyDescent="0.3">
      <c r="A49" s="2">
        <v>1.2250000000000001</v>
      </c>
      <c r="B49" s="2">
        <v>1.2250000000000001</v>
      </c>
    </row>
    <row r="50" spans="1:2" ht="14.25" customHeight="1" x14ac:dyDescent="0.3">
      <c r="A50" s="2">
        <v>1.2250000000000001</v>
      </c>
      <c r="B50" s="2">
        <v>1.2250000000000001</v>
      </c>
    </row>
    <row r="51" spans="1:2" ht="14.25" customHeight="1" x14ac:dyDescent="0.3">
      <c r="A51" s="2">
        <v>1.2250000000000001</v>
      </c>
      <c r="B51" s="2">
        <v>1.2250000000000001</v>
      </c>
    </row>
    <row r="52" spans="1:2" ht="14.25" customHeight="1" x14ac:dyDescent="0.3"/>
    <row r="53" spans="1:2" ht="14.25" customHeight="1" x14ac:dyDescent="0.3"/>
    <row r="54" spans="1:2" ht="14.25" customHeight="1" x14ac:dyDescent="0.3"/>
    <row r="55" spans="1:2" ht="14.25" customHeight="1" x14ac:dyDescent="0.3"/>
    <row r="56" spans="1:2" ht="14.25" customHeight="1" x14ac:dyDescent="0.3"/>
    <row r="57" spans="1:2" ht="14.25" customHeight="1" x14ac:dyDescent="0.3"/>
    <row r="58" spans="1:2" ht="14.25" customHeight="1" x14ac:dyDescent="0.3"/>
    <row r="59" spans="1:2" ht="14.25" customHeight="1" x14ac:dyDescent="0.3"/>
    <row r="60" spans="1:2" ht="14.25" customHeight="1" x14ac:dyDescent="0.3"/>
    <row r="61" spans="1:2" ht="14.25" customHeight="1" x14ac:dyDescent="0.3"/>
    <row r="62" spans="1:2" ht="14.25" customHeight="1" x14ac:dyDescent="0.3"/>
    <row r="63" spans="1:2" ht="14.25" customHeight="1" x14ac:dyDescent="0.3"/>
    <row r="64" spans="1:2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1000"/>
  <sheetViews>
    <sheetView workbookViewId="0"/>
  </sheetViews>
  <sheetFormatPr defaultColWidth="14.44140625" defaultRowHeight="15" customHeight="1" x14ac:dyDescent="0.3"/>
  <cols>
    <col min="1" max="1" width="10.6640625" customWidth="1"/>
    <col min="2" max="2" width="9.6640625" customWidth="1"/>
    <col min="3" max="26" width="8.6640625" customWidth="1"/>
  </cols>
  <sheetData>
    <row r="1" spans="1:2" ht="14.25" customHeight="1" x14ac:dyDescent="0.3">
      <c r="A1" s="2" t="s">
        <v>60</v>
      </c>
      <c r="B1" s="2" t="s">
        <v>61</v>
      </c>
    </row>
    <row r="2" spans="1:2" ht="14.25" customHeight="1" x14ac:dyDescent="0.3">
      <c r="A2" s="2">
        <v>0.77500000000000002</v>
      </c>
      <c r="B2" s="2">
        <v>0.77500000000000002</v>
      </c>
    </row>
    <row r="3" spans="1:2" ht="14.25" customHeight="1" x14ac:dyDescent="0.3">
      <c r="A3" s="2">
        <v>0.77500000000000002</v>
      </c>
      <c r="B3" s="2">
        <v>0.77500000000000002</v>
      </c>
    </row>
    <row r="4" spans="1:2" ht="14.25" customHeight="1" x14ac:dyDescent="0.3">
      <c r="A4" s="2">
        <v>0.77500000000000002</v>
      </c>
      <c r="B4" s="2">
        <v>0.77500000000000002</v>
      </c>
    </row>
    <row r="5" spans="1:2" ht="14.25" customHeight="1" x14ac:dyDescent="0.3">
      <c r="A5" s="2">
        <v>0.77500000000000002</v>
      </c>
      <c r="B5" s="2">
        <v>0.77500000000000002</v>
      </c>
    </row>
    <row r="6" spans="1:2" ht="14.25" customHeight="1" x14ac:dyDescent="0.3">
      <c r="A6" s="2">
        <v>0.82499999999999996</v>
      </c>
      <c r="B6" s="2">
        <v>0.82499999999999996</v>
      </c>
    </row>
    <row r="7" spans="1:2" ht="14.25" customHeight="1" x14ac:dyDescent="0.3">
      <c r="A7" s="2">
        <v>0.82499999999999996</v>
      </c>
      <c r="B7" s="2">
        <v>0.82499999999999996</v>
      </c>
    </row>
    <row r="8" spans="1:2" ht="14.25" customHeight="1" x14ac:dyDescent="0.3">
      <c r="A8" s="2">
        <v>0.82499999999999996</v>
      </c>
      <c r="B8" s="2">
        <v>0.82499999999999996</v>
      </c>
    </row>
    <row r="9" spans="1:2" ht="14.25" customHeight="1" x14ac:dyDescent="0.3">
      <c r="A9" s="2">
        <v>0.82499999999999996</v>
      </c>
      <c r="B9" s="2">
        <v>0.82499999999999996</v>
      </c>
    </row>
    <row r="10" spans="1:2" ht="14.25" customHeight="1" x14ac:dyDescent="0.3">
      <c r="A10" s="2">
        <v>0.875</v>
      </c>
      <c r="B10" s="2">
        <v>0.875</v>
      </c>
    </row>
    <row r="11" spans="1:2" ht="14.25" customHeight="1" x14ac:dyDescent="0.3">
      <c r="A11" s="2">
        <v>0.875</v>
      </c>
      <c r="B11" s="2">
        <v>0.875</v>
      </c>
    </row>
    <row r="12" spans="1:2" ht="14.25" customHeight="1" x14ac:dyDescent="0.3">
      <c r="A12" s="2">
        <v>0.875</v>
      </c>
      <c r="B12" s="2">
        <v>0.875</v>
      </c>
    </row>
    <row r="13" spans="1:2" ht="14.25" customHeight="1" x14ac:dyDescent="0.3">
      <c r="A13" s="2">
        <v>0.875</v>
      </c>
      <c r="B13" s="2">
        <v>0.875</v>
      </c>
    </row>
    <row r="14" spans="1:2" ht="14.25" customHeight="1" x14ac:dyDescent="0.3">
      <c r="A14" s="2">
        <v>0.92500000000000004</v>
      </c>
      <c r="B14" s="2">
        <v>0.92500000000000004</v>
      </c>
    </row>
    <row r="15" spans="1:2" ht="14.25" customHeight="1" x14ac:dyDescent="0.3">
      <c r="A15" s="2">
        <v>0.92500000000000004</v>
      </c>
      <c r="B15" s="2">
        <v>0.92500000000000004</v>
      </c>
    </row>
    <row r="16" spans="1:2" ht="14.25" customHeight="1" x14ac:dyDescent="0.3">
      <c r="A16" s="2">
        <v>0.92500000000000004</v>
      </c>
      <c r="B16" s="2">
        <v>0.92500000000000004</v>
      </c>
    </row>
    <row r="17" spans="1:2" ht="14.25" customHeight="1" x14ac:dyDescent="0.3">
      <c r="A17" s="2">
        <v>0.92500000000000004</v>
      </c>
      <c r="B17" s="2">
        <v>0.92500000000000004</v>
      </c>
    </row>
    <row r="18" spans="1:2" ht="14.25" customHeight="1" x14ac:dyDescent="0.3">
      <c r="A18" s="2">
        <v>0.97499999999999998</v>
      </c>
      <c r="B18" s="2">
        <v>0.97499999999999998</v>
      </c>
    </row>
    <row r="19" spans="1:2" ht="14.25" customHeight="1" x14ac:dyDescent="0.3">
      <c r="A19" s="2">
        <v>0.97499999999999998</v>
      </c>
      <c r="B19" s="2">
        <v>0.97499999999999998</v>
      </c>
    </row>
    <row r="20" spans="1:2" ht="14.25" customHeight="1" x14ac:dyDescent="0.3">
      <c r="A20" s="2">
        <v>0.97499999999999998</v>
      </c>
      <c r="B20" s="2">
        <v>0.97499999999999998</v>
      </c>
    </row>
    <row r="21" spans="1:2" ht="14.25" customHeight="1" x14ac:dyDescent="0.3">
      <c r="A21" s="2">
        <v>0.97499999999999998</v>
      </c>
      <c r="B21" s="2">
        <v>0.97499999999999998</v>
      </c>
    </row>
    <row r="22" spans="1:2" ht="14.25" customHeight="1" x14ac:dyDescent="0.3">
      <c r="A22" s="2">
        <v>1.0249999999999999</v>
      </c>
      <c r="B22" s="2">
        <v>1.0249999999999999</v>
      </c>
    </row>
    <row r="23" spans="1:2" ht="14.25" customHeight="1" x14ac:dyDescent="0.3">
      <c r="A23" s="2">
        <v>1.0249999999999999</v>
      </c>
      <c r="B23" s="2">
        <v>1.0249999999999999</v>
      </c>
    </row>
    <row r="24" spans="1:2" ht="14.25" customHeight="1" x14ac:dyDescent="0.3">
      <c r="A24" s="2">
        <v>1.0249999999999999</v>
      </c>
      <c r="B24" s="2">
        <v>1.0249999999999999</v>
      </c>
    </row>
    <row r="25" spans="1:2" ht="14.25" customHeight="1" x14ac:dyDescent="0.3">
      <c r="A25" s="2">
        <v>1.0249999999999999</v>
      </c>
      <c r="B25" s="2">
        <v>1.0249999999999999</v>
      </c>
    </row>
    <row r="26" spans="1:2" ht="14.25" customHeight="1" x14ac:dyDescent="0.3">
      <c r="A26" s="2">
        <v>1.075</v>
      </c>
      <c r="B26" s="2">
        <v>1.075</v>
      </c>
    </row>
    <row r="27" spans="1:2" ht="14.25" customHeight="1" x14ac:dyDescent="0.3">
      <c r="A27" s="2">
        <v>1.075</v>
      </c>
      <c r="B27" s="2">
        <v>1.075</v>
      </c>
    </row>
    <row r="28" spans="1:2" ht="14.25" customHeight="1" x14ac:dyDescent="0.3">
      <c r="A28" s="2">
        <v>1.075</v>
      </c>
      <c r="B28" s="2">
        <v>1.075</v>
      </c>
    </row>
    <row r="29" spans="1:2" ht="14.25" customHeight="1" x14ac:dyDescent="0.3">
      <c r="A29" s="2">
        <v>1.075</v>
      </c>
      <c r="B29" s="2">
        <v>1.075</v>
      </c>
    </row>
    <row r="30" spans="1:2" ht="14.25" customHeight="1" x14ac:dyDescent="0.3">
      <c r="A30" s="2">
        <v>1.125</v>
      </c>
      <c r="B30" s="2">
        <v>1.125</v>
      </c>
    </row>
    <row r="31" spans="1:2" ht="14.25" customHeight="1" x14ac:dyDescent="0.3">
      <c r="A31" s="2">
        <v>1.125</v>
      </c>
      <c r="B31" s="2">
        <v>1.125</v>
      </c>
    </row>
    <row r="32" spans="1:2" ht="14.25" customHeight="1" x14ac:dyDescent="0.3">
      <c r="A32" s="2">
        <v>1.125</v>
      </c>
      <c r="B32" s="2">
        <v>1.125</v>
      </c>
    </row>
    <row r="33" spans="1:2" ht="14.25" customHeight="1" x14ac:dyDescent="0.3">
      <c r="A33" s="2">
        <v>1.125</v>
      </c>
      <c r="B33" s="2">
        <v>1.125</v>
      </c>
    </row>
    <row r="34" spans="1:2" ht="14.25" customHeight="1" x14ac:dyDescent="0.3">
      <c r="A34" s="2">
        <v>1.175</v>
      </c>
      <c r="B34" s="2">
        <v>1.175</v>
      </c>
    </row>
    <row r="35" spans="1:2" ht="14.25" customHeight="1" x14ac:dyDescent="0.3">
      <c r="A35" s="2">
        <v>1.175</v>
      </c>
      <c r="B35" s="2">
        <v>1.175</v>
      </c>
    </row>
    <row r="36" spans="1:2" ht="14.25" customHeight="1" x14ac:dyDescent="0.3">
      <c r="A36" s="2">
        <v>1.175</v>
      </c>
      <c r="B36" s="2">
        <v>1.175</v>
      </c>
    </row>
    <row r="37" spans="1:2" ht="14.25" customHeight="1" x14ac:dyDescent="0.3">
      <c r="A37" s="2">
        <v>1.175</v>
      </c>
      <c r="B37" s="2">
        <v>1.175</v>
      </c>
    </row>
    <row r="38" spans="1:2" ht="14.25" customHeight="1" x14ac:dyDescent="0.3">
      <c r="A38" s="2">
        <v>1.2250000000000001</v>
      </c>
      <c r="B38" s="2">
        <v>1.2250000000000001</v>
      </c>
    </row>
    <row r="39" spans="1:2" ht="14.25" customHeight="1" x14ac:dyDescent="0.3">
      <c r="A39" s="2">
        <v>1.2250000000000001</v>
      </c>
      <c r="B39" s="2">
        <v>1.2250000000000001</v>
      </c>
    </row>
    <row r="40" spans="1:2" ht="14.25" customHeight="1" x14ac:dyDescent="0.3">
      <c r="A40" s="2">
        <v>1.2250000000000001</v>
      </c>
      <c r="B40" s="2">
        <v>1.2250000000000001</v>
      </c>
    </row>
    <row r="41" spans="1:2" ht="14.25" customHeight="1" x14ac:dyDescent="0.3">
      <c r="A41" s="2">
        <v>1.2250000000000001</v>
      </c>
      <c r="B41" s="2">
        <v>1.2250000000000001</v>
      </c>
    </row>
    <row r="42" spans="1:2" ht="14.25" customHeight="1" x14ac:dyDescent="0.3"/>
    <row r="43" spans="1:2" ht="14.25" customHeight="1" x14ac:dyDescent="0.3"/>
    <row r="44" spans="1:2" ht="14.25" customHeight="1" x14ac:dyDescent="0.3"/>
    <row r="45" spans="1:2" ht="14.25" customHeight="1" x14ac:dyDescent="0.3"/>
    <row r="46" spans="1:2" ht="14.25" customHeight="1" x14ac:dyDescent="0.3"/>
    <row r="47" spans="1:2" ht="14.25" customHeight="1" x14ac:dyDescent="0.3"/>
    <row r="48" spans="1:2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1000"/>
  <sheetViews>
    <sheetView workbookViewId="0"/>
  </sheetViews>
  <sheetFormatPr defaultColWidth="14.44140625" defaultRowHeight="15" customHeight="1" x14ac:dyDescent="0.3"/>
  <cols>
    <col min="1" max="1" width="10.6640625" customWidth="1"/>
    <col min="2" max="2" width="9.6640625" customWidth="1"/>
    <col min="3" max="26" width="8.6640625" customWidth="1"/>
  </cols>
  <sheetData>
    <row r="1" spans="1:2" ht="14.25" customHeight="1" x14ac:dyDescent="0.3">
      <c r="A1" s="2" t="s">
        <v>60</v>
      </c>
      <c r="B1" s="2" t="s">
        <v>61</v>
      </c>
    </row>
    <row r="2" spans="1:2" ht="14.25" customHeight="1" x14ac:dyDescent="0.3">
      <c r="A2" s="2">
        <v>5.0000000000000001E-3</v>
      </c>
      <c r="B2" s="2">
        <v>5.0000000000000001E-3</v>
      </c>
    </row>
    <row r="3" spans="1:2" ht="14.25" customHeight="1" x14ac:dyDescent="0.3">
      <c r="A3" s="2">
        <v>5.0000000000000001E-3</v>
      </c>
      <c r="B3" s="2">
        <v>5.0000000000000001E-3</v>
      </c>
    </row>
    <row r="4" spans="1:2" ht="14.25" customHeight="1" x14ac:dyDescent="0.3">
      <c r="A4" s="2">
        <v>5.0000000000000001E-3</v>
      </c>
      <c r="B4" s="2">
        <v>5.0000000000000001E-3</v>
      </c>
    </row>
    <row r="5" spans="1:2" ht="14.25" customHeight="1" x14ac:dyDescent="0.3">
      <c r="A5" s="2">
        <v>5.0000000000000001E-3</v>
      </c>
      <c r="B5" s="2">
        <v>5.0000000000000001E-3</v>
      </c>
    </row>
    <row r="6" spans="1:2" ht="14.25" customHeight="1" x14ac:dyDescent="0.3">
      <c r="A6" s="2">
        <v>5.0000000000000001E-3</v>
      </c>
      <c r="B6" s="2">
        <v>5.0000000000000001E-3</v>
      </c>
    </row>
    <row r="7" spans="1:2" ht="14.25" customHeight="1" x14ac:dyDescent="0.3">
      <c r="A7" s="2">
        <v>0.01</v>
      </c>
      <c r="B7" s="2">
        <v>0.01</v>
      </c>
    </row>
    <row r="8" spans="1:2" ht="14.25" customHeight="1" x14ac:dyDescent="0.3">
      <c r="A8" s="2">
        <v>0.01</v>
      </c>
      <c r="B8" s="2">
        <v>0.01</v>
      </c>
    </row>
    <row r="9" spans="1:2" ht="14.25" customHeight="1" x14ac:dyDescent="0.3">
      <c r="A9" s="2">
        <v>0.01</v>
      </c>
      <c r="B9" s="2">
        <v>0.01</v>
      </c>
    </row>
    <row r="10" spans="1:2" ht="14.25" customHeight="1" x14ac:dyDescent="0.3">
      <c r="A10" s="2">
        <v>0.01</v>
      </c>
      <c r="B10" s="2">
        <v>0.01</v>
      </c>
    </row>
    <row r="11" spans="1:2" ht="14.25" customHeight="1" x14ac:dyDescent="0.3">
      <c r="A11" s="2">
        <v>0.01</v>
      </c>
      <c r="B11" s="2">
        <v>0.01</v>
      </c>
    </row>
    <row r="12" spans="1:2" ht="14.25" customHeight="1" x14ac:dyDescent="0.3">
      <c r="A12" s="2">
        <v>1.4999999999999999E-2</v>
      </c>
      <c r="B12" s="2">
        <v>1.4999999999999999E-2</v>
      </c>
    </row>
    <row r="13" spans="1:2" ht="14.25" customHeight="1" x14ac:dyDescent="0.3">
      <c r="A13" s="2">
        <v>1.4999999999999999E-2</v>
      </c>
      <c r="B13" s="2">
        <v>1.4999999999999999E-2</v>
      </c>
    </row>
    <row r="14" spans="1:2" ht="14.25" customHeight="1" x14ac:dyDescent="0.3">
      <c r="A14" s="2">
        <v>1.4999999999999999E-2</v>
      </c>
      <c r="B14" s="2">
        <v>1.4999999999999999E-2</v>
      </c>
    </row>
    <row r="15" spans="1:2" ht="14.25" customHeight="1" x14ac:dyDescent="0.3">
      <c r="A15" s="2">
        <v>1.4999999999999999E-2</v>
      </c>
      <c r="B15" s="2">
        <v>1.4999999999999999E-2</v>
      </c>
    </row>
    <row r="16" spans="1:2" ht="14.25" customHeight="1" x14ac:dyDescent="0.3">
      <c r="A16" s="2">
        <v>1.4999999999999999E-2</v>
      </c>
      <c r="B16" s="2">
        <v>1.4999999999999999E-2</v>
      </c>
    </row>
    <row r="17" spans="1:2" ht="14.25" customHeight="1" x14ac:dyDescent="0.3">
      <c r="A17" s="2">
        <v>0.02</v>
      </c>
      <c r="B17" s="2">
        <v>0.02</v>
      </c>
    </row>
    <row r="18" spans="1:2" ht="14.25" customHeight="1" x14ac:dyDescent="0.3">
      <c r="A18" s="2">
        <v>0.02</v>
      </c>
      <c r="B18" s="2">
        <v>0.02</v>
      </c>
    </row>
    <row r="19" spans="1:2" ht="14.25" customHeight="1" x14ac:dyDescent="0.3">
      <c r="A19" s="2">
        <v>0.02</v>
      </c>
      <c r="B19" s="2">
        <v>0.02</v>
      </c>
    </row>
    <row r="20" spans="1:2" ht="14.25" customHeight="1" x14ac:dyDescent="0.3">
      <c r="A20" s="2">
        <v>0.02</v>
      </c>
      <c r="B20" s="2">
        <v>0.02</v>
      </c>
    </row>
    <row r="21" spans="1:2" ht="14.25" customHeight="1" x14ac:dyDescent="0.3">
      <c r="A21" s="2">
        <v>0.02</v>
      </c>
      <c r="B21" s="2">
        <v>0.02</v>
      </c>
    </row>
    <row r="22" spans="1:2" ht="14.25" customHeight="1" x14ac:dyDescent="0.3">
      <c r="A22" s="2">
        <v>2.5000000000000001E-2</v>
      </c>
      <c r="B22" s="2">
        <v>2.5000000000000001E-2</v>
      </c>
    </row>
    <row r="23" spans="1:2" ht="14.25" customHeight="1" x14ac:dyDescent="0.3">
      <c r="A23" s="2">
        <v>2.5000000000000001E-2</v>
      </c>
      <c r="B23" s="2">
        <v>2.5000000000000001E-2</v>
      </c>
    </row>
    <row r="24" spans="1:2" ht="14.25" customHeight="1" x14ac:dyDescent="0.3">
      <c r="A24" s="2">
        <v>2.5000000000000001E-2</v>
      </c>
      <c r="B24" s="2">
        <v>2.5000000000000001E-2</v>
      </c>
    </row>
    <row r="25" spans="1:2" ht="14.25" customHeight="1" x14ac:dyDescent="0.3">
      <c r="A25" s="2">
        <v>2.5000000000000001E-2</v>
      </c>
      <c r="B25" s="2">
        <v>2.5000000000000001E-2</v>
      </c>
    </row>
    <row r="26" spans="1:2" ht="14.25" customHeight="1" x14ac:dyDescent="0.3">
      <c r="A26" s="2">
        <v>2.5000000000000001E-2</v>
      </c>
      <c r="B26" s="2">
        <v>2.5000000000000001E-2</v>
      </c>
    </row>
    <row r="27" spans="1:2" ht="14.25" customHeight="1" x14ac:dyDescent="0.3">
      <c r="A27" s="2">
        <v>0.03</v>
      </c>
      <c r="B27" s="2">
        <v>0.03</v>
      </c>
    </row>
    <row r="28" spans="1:2" ht="14.25" customHeight="1" x14ac:dyDescent="0.3">
      <c r="A28" s="2">
        <v>0.03</v>
      </c>
      <c r="B28" s="2">
        <v>0.03</v>
      </c>
    </row>
    <row r="29" spans="1:2" ht="14.25" customHeight="1" x14ac:dyDescent="0.3">
      <c r="A29" s="2">
        <v>0.03</v>
      </c>
      <c r="B29" s="2">
        <v>0.03</v>
      </c>
    </row>
    <row r="30" spans="1:2" ht="14.25" customHeight="1" x14ac:dyDescent="0.3">
      <c r="A30" s="2">
        <v>0.03</v>
      </c>
      <c r="B30" s="2">
        <v>0.03</v>
      </c>
    </row>
    <row r="31" spans="1:2" ht="14.25" customHeight="1" x14ac:dyDescent="0.3">
      <c r="A31" s="2">
        <v>0.03</v>
      </c>
      <c r="B31" s="2">
        <v>0.03</v>
      </c>
    </row>
    <row r="32" spans="1:2" ht="14.25" customHeight="1" x14ac:dyDescent="0.3">
      <c r="A32" s="2">
        <v>3.5000000000000003E-2</v>
      </c>
      <c r="B32" s="2">
        <v>3.5000000000000003E-2</v>
      </c>
    </row>
    <row r="33" spans="1:2" ht="14.25" customHeight="1" x14ac:dyDescent="0.3">
      <c r="A33" s="2">
        <v>3.5000000000000003E-2</v>
      </c>
      <c r="B33" s="2">
        <v>3.5000000000000003E-2</v>
      </c>
    </row>
    <row r="34" spans="1:2" ht="14.25" customHeight="1" x14ac:dyDescent="0.3">
      <c r="A34" s="2">
        <v>3.5000000000000003E-2</v>
      </c>
      <c r="B34" s="2">
        <v>3.5000000000000003E-2</v>
      </c>
    </row>
    <row r="35" spans="1:2" ht="14.25" customHeight="1" x14ac:dyDescent="0.3">
      <c r="A35" s="2">
        <v>3.5000000000000003E-2</v>
      </c>
      <c r="B35" s="2">
        <v>3.5000000000000003E-2</v>
      </c>
    </row>
    <row r="36" spans="1:2" ht="14.25" customHeight="1" x14ac:dyDescent="0.3">
      <c r="A36" s="2">
        <v>3.5000000000000003E-2</v>
      </c>
      <c r="B36" s="2">
        <v>3.5000000000000003E-2</v>
      </c>
    </row>
    <row r="37" spans="1:2" ht="14.25" customHeight="1" x14ac:dyDescent="0.3">
      <c r="A37" s="2">
        <v>0.04</v>
      </c>
      <c r="B37" s="2">
        <v>0.04</v>
      </c>
    </row>
    <row r="38" spans="1:2" ht="14.25" customHeight="1" x14ac:dyDescent="0.3">
      <c r="A38" s="2">
        <v>0.04</v>
      </c>
      <c r="B38" s="2">
        <v>0.04</v>
      </c>
    </row>
    <row r="39" spans="1:2" ht="14.25" customHeight="1" x14ac:dyDescent="0.3">
      <c r="A39" s="2">
        <v>0.04</v>
      </c>
      <c r="B39" s="2">
        <v>0.04</v>
      </c>
    </row>
    <row r="40" spans="1:2" ht="14.25" customHeight="1" x14ac:dyDescent="0.3">
      <c r="A40" s="2">
        <v>0.04</v>
      </c>
      <c r="B40" s="2">
        <v>0.04</v>
      </c>
    </row>
    <row r="41" spans="1:2" ht="14.25" customHeight="1" x14ac:dyDescent="0.3">
      <c r="A41" s="2">
        <v>0.04</v>
      </c>
      <c r="B41" s="2">
        <v>0.04</v>
      </c>
    </row>
    <row r="42" spans="1:2" ht="14.25" customHeight="1" x14ac:dyDescent="0.3">
      <c r="A42" s="2">
        <v>4.4999999999999998E-2</v>
      </c>
      <c r="B42" s="2">
        <v>4.4999999999999998E-2</v>
      </c>
    </row>
    <row r="43" spans="1:2" ht="14.25" customHeight="1" x14ac:dyDescent="0.3">
      <c r="A43" s="2">
        <v>4.4999999999999998E-2</v>
      </c>
      <c r="B43" s="2">
        <v>4.4999999999999998E-2</v>
      </c>
    </row>
    <row r="44" spans="1:2" ht="14.25" customHeight="1" x14ac:dyDescent="0.3">
      <c r="A44" s="2">
        <v>4.4999999999999998E-2</v>
      </c>
      <c r="B44" s="2">
        <v>4.4999999999999998E-2</v>
      </c>
    </row>
    <row r="45" spans="1:2" ht="14.25" customHeight="1" x14ac:dyDescent="0.3">
      <c r="A45" s="2">
        <v>4.4999999999999998E-2</v>
      </c>
      <c r="B45" s="2">
        <v>4.4999999999999998E-2</v>
      </c>
    </row>
    <row r="46" spans="1:2" ht="14.25" customHeight="1" x14ac:dyDescent="0.3">
      <c r="A46" s="2">
        <v>4.4999999999999998E-2</v>
      </c>
      <c r="B46" s="2">
        <v>4.4999999999999998E-2</v>
      </c>
    </row>
    <row r="47" spans="1:2" ht="14.25" customHeight="1" x14ac:dyDescent="0.3">
      <c r="A47" s="2">
        <v>0.05</v>
      </c>
      <c r="B47" s="2">
        <v>0.05</v>
      </c>
    </row>
    <row r="48" spans="1:2" ht="14.25" customHeight="1" x14ac:dyDescent="0.3">
      <c r="A48" s="2">
        <v>0.05</v>
      </c>
      <c r="B48" s="2">
        <v>0.05</v>
      </c>
    </row>
    <row r="49" spans="1:2" ht="14.25" customHeight="1" x14ac:dyDescent="0.3">
      <c r="A49" s="2">
        <v>0.05</v>
      </c>
      <c r="B49" s="2">
        <v>0.05</v>
      </c>
    </row>
    <row r="50" spans="1:2" ht="14.25" customHeight="1" x14ac:dyDescent="0.3">
      <c r="A50" s="2">
        <v>0.05</v>
      </c>
      <c r="B50" s="2">
        <v>0.05</v>
      </c>
    </row>
    <row r="51" spans="1:2" ht="14.25" customHeight="1" x14ac:dyDescent="0.3">
      <c r="A51" s="2">
        <v>0.05</v>
      </c>
      <c r="B51" s="2">
        <v>0.05</v>
      </c>
    </row>
    <row r="52" spans="1:2" ht="14.25" customHeight="1" x14ac:dyDescent="0.3">
      <c r="A52" s="2">
        <v>5.5E-2</v>
      </c>
      <c r="B52" s="2">
        <v>5.5E-2</v>
      </c>
    </row>
    <row r="53" spans="1:2" ht="14.25" customHeight="1" x14ac:dyDescent="0.3">
      <c r="A53" s="2">
        <v>5.5E-2</v>
      </c>
      <c r="B53" s="2">
        <v>5.5E-2</v>
      </c>
    </row>
    <row r="54" spans="1:2" ht="14.25" customHeight="1" x14ac:dyDescent="0.3">
      <c r="A54" s="2">
        <v>5.5E-2</v>
      </c>
      <c r="B54" s="2">
        <v>5.5E-2</v>
      </c>
    </row>
    <row r="55" spans="1:2" ht="14.25" customHeight="1" x14ac:dyDescent="0.3">
      <c r="A55" s="2">
        <v>5.5E-2</v>
      </c>
      <c r="B55" s="2">
        <v>5.5E-2</v>
      </c>
    </row>
    <row r="56" spans="1:2" ht="14.25" customHeight="1" x14ac:dyDescent="0.3">
      <c r="A56" s="2">
        <v>5.5E-2</v>
      </c>
      <c r="B56" s="2">
        <v>5.5E-2</v>
      </c>
    </row>
    <row r="57" spans="1:2" ht="14.25" customHeight="1" x14ac:dyDescent="0.3">
      <c r="A57" s="2">
        <v>0.06</v>
      </c>
      <c r="B57" s="2">
        <v>0.06</v>
      </c>
    </row>
    <row r="58" spans="1:2" ht="14.25" customHeight="1" x14ac:dyDescent="0.3">
      <c r="A58" s="2">
        <v>0.06</v>
      </c>
      <c r="B58" s="2">
        <v>0.06</v>
      </c>
    </row>
    <row r="59" spans="1:2" ht="14.25" customHeight="1" x14ac:dyDescent="0.3">
      <c r="A59" s="2">
        <v>0.06</v>
      </c>
      <c r="B59" s="2">
        <v>0.06</v>
      </c>
    </row>
    <row r="60" spans="1:2" ht="14.25" customHeight="1" x14ac:dyDescent="0.3">
      <c r="A60" s="2">
        <v>0.06</v>
      </c>
      <c r="B60" s="2">
        <v>0.06</v>
      </c>
    </row>
    <row r="61" spans="1:2" ht="14.25" customHeight="1" x14ac:dyDescent="0.3">
      <c r="A61" s="2">
        <v>0.06</v>
      </c>
      <c r="B61" s="2">
        <v>0.06</v>
      </c>
    </row>
    <row r="62" spans="1:2" ht="14.25" customHeight="1" x14ac:dyDescent="0.3">
      <c r="A62" s="2">
        <v>6.5000000000000002E-2</v>
      </c>
      <c r="B62" s="2">
        <v>6.5000000000000002E-2</v>
      </c>
    </row>
    <row r="63" spans="1:2" ht="14.25" customHeight="1" x14ac:dyDescent="0.3">
      <c r="A63" s="2">
        <v>6.5000000000000002E-2</v>
      </c>
      <c r="B63" s="2">
        <v>6.5000000000000002E-2</v>
      </c>
    </row>
    <row r="64" spans="1:2" ht="14.25" customHeight="1" x14ac:dyDescent="0.3">
      <c r="A64" s="2">
        <v>6.5000000000000002E-2</v>
      </c>
      <c r="B64" s="2">
        <v>6.5000000000000002E-2</v>
      </c>
    </row>
    <row r="65" spans="1:2" ht="14.25" customHeight="1" x14ac:dyDescent="0.3">
      <c r="A65" s="2">
        <v>6.5000000000000002E-2</v>
      </c>
      <c r="B65" s="2">
        <v>6.5000000000000002E-2</v>
      </c>
    </row>
    <row r="66" spans="1:2" ht="14.25" customHeight="1" x14ac:dyDescent="0.3">
      <c r="A66" s="2">
        <v>6.5000000000000002E-2</v>
      </c>
      <c r="B66" s="2">
        <v>6.5000000000000002E-2</v>
      </c>
    </row>
    <row r="67" spans="1:2" ht="14.25" customHeight="1" x14ac:dyDescent="0.3">
      <c r="A67" s="2">
        <v>7.0000000000000007E-2</v>
      </c>
      <c r="B67" s="2">
        <v>7.0000000000000007E-2</v>
      </c>
    </row>
    <row r="68" spans="1:2" ht="14.25" customHeight="1" x14ac:dyDescent="0.3">
      <c r="A68" s="2">
        <v>7.0000000000000007E-2</v>
      </c>
      <c r="B68" s="2">
        <v>7.0000000000000007E-2</v>
      </c>
    </row>
    <row r="69" spans="1:2" ht="14.25" customHeight="1" x14ac:dyDescent="0.3">
      <c r="A69" s="2">
        <v>7.0000000000000007E-2</v>
      </c>
      <c r="B69" s="2">
        <v>7.0000000000000007E-2</v>
      </c>
    </row>
    <row r="70" spans="1:2" ht="14.25" customHeight="1" x14ac:dyDescent="0.3">
      <c r="A70" s="2">
        <v>7.0000000000000007E-2</v>
      </c>
      <c r="B70" s="2">
        <v>7.0000000000000007E-2</v>
      </c>
    </row>
    <row r="71" spans="1:2" ht="14.25" customHeight="1" x14ac:dyDescent="0.3">
      <c r="A71" s="2">
        <v>7.0000000000000007E-2</v>
      </c>
      <c r="B71" s="2">
        <v>7.0000000000000007E-2</v>
      </c>
    </row>
    <row r="72" spans="1:2" ht="14.25" customHeight="1" x14ac:dyDescent="0.3"/>
    <row r="73" spans="1:2" ht="14.25" customHeight="1" x14ac:dyDescent="0.3"/>
    <row r="74" spans="1:2" ht="14.25" customHeight="1" x14ac:dyDescent="0.3"/>
    <row r="75" spans="1:2" ht="14.25" customHeight="1" x14ac:dyDescent="0.3"/>
    <row r="76" spans="1:2" ht="14.25" customHeight="1" x14ac:dyDescent="0.3"/>
    <row r="77" spans="1:2" ht="14.25" customHeight="1" x14ac:dyDescent="0.3"/>
    <row r="78" spans="1:2" ht="14.25" customHeight="1" x14ac:dyDescent="0.3"/>
    <row r="79" spans="1:2" ht="14.25" customHeight="1" x14ac:dyDescent="0.3"/>
    <row r="80" spans="1:2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1000"/>
  <sheetViews>
    <sheetView workbookViewId="0"/>
  </sheetViews>
  <sheetFormatPr defaultColWidth="14.44140625" defaultRowHeight="15" customHeight="1" x14ac:dyDescent="0.3"/>
  <cols>
    <col min="1" max="1" width="10.6640625" customWidth="1"/>
    <col min="2" max="2" width="9.6640625" customWidth="1"/>
    <col min="3" max="26" width="8.6640625" customWidth="1"/>
  </cols>
  <sheetData>
    <row r="1" spans="1:2" ht="14.25" customHeight="1" x14ac:dyDescent="0.3">
      <c r="A1" s="2" t="s">
        <v>60</v>
      </c>
      <c r="B1" s="2" t="s">
        <v>61</v>
      </c>
    </row>
    <row r="2" spans="1:2" ht="14.25" customHeight="1" x14ac:dyDescent="0.3">
      <c r="A2" s="2">
        <v>5.0000000000000001E-3</v>
      </c>
      <c r="B2" s="2">
        <v>5.0000000000000001E-3</v>
      </c>
    </row>
    <row r="3" spans="1:2" ht="14.25" customHeight="1" x14ac:dyDescent="0.3">
      <c r="A3" s="2">
        <v>5.0000000000000001E-3</v>
      </c>
      <c r="B3" s="2">
        <v>5.0000000000000001E-3</v>
      </c>
    </row>
    <row r="4" spans="1:2" ht="14.25" customHeight="1" x14ac:dyDescent="0.3">
      <c r="A4" s="2">
        <v>5.0000000000000001E-3</v>
      </c>
      <c r="B4" s="2">
        <v>5.0000000000000001E-3</v>
      </c>
    </row>
    <row r="5" spans="1:2" ht="14.25" customHeight="1" x14ac:dyDescent="0.3">
      <c r="A5" s="2">
        <v>5.0000000000000001E-3</v>
      </c>
      <c r="B5" s="2">
        <v>5.0000000000000001E-3</v>
      </c>
    </row>
    <row r="6" spans="1:2" ht="14.25" customHeight="1" x14ac:dyDescent="0.3">
      <c r="A6" s="2">
        <v>0.01</v>
      </c>
      <c r="B6" s="2">
        <v>0.01</v>
      </c>
    </row>
    <row r="7" spans="1:2" ht="14.25" customHeight="1" x14ac:dyDescent="0.3">
      <c r="A7" s="2">
        <v>0.01</v>
      </c>
      <c r="B7" s="2">
        <v>0.01</v>
      </c>
    </row>
    <row r="8" spans="1:2" ht="14.25" customHeight="1" x14ac:dyDescent="0.3">
      <c r="A8" s="2">
        <v>0.01</v>
      </c>
      <c r="B8" s="2">
        <v>0.01</v>
      </c>
    </row>
    <row r="9" spans="1:2" ht="14.25" customHeight="1" x14ac:dyDescent="0.3">
      <c r="A9" s="2">
        <v>0.01</v>
      </c>
      <c r="B9" s="2">
        <v>0.01</v>
      </c>
    </row>
    <row r="10" spans="1:2" ht="14.25" customHeight="1" x14ac:dyDescent="0.3">
      <c r="A10" s="2">
        <v>1.4999999999999999E-2</v>
      </c>
      <c r="B10" s="2">
        <v>1.4999999999999999E-2</v>
      </c>
    </row>
    <row r="11" spans="1:2" ht="14.25" customHeight="1" x14ac:dyDescent="0.3">
      <c r="A11" s="2">
        <v>1.4999999999999999E-2</v>
      </c>
      <c r="B11" s="2">
        <v>1.4999999999999999E-2</v>
      </c>
    </row>
    <row r="12" spans="1:2" ht="14.25" customHeight="1" x14ac:dyDescent="0.3">
      <c r="A12" s="2">
        <v>1.4999999999999999E-2</v>
      </c>
      <c r="B12" s="2">
        <v>1.4999999999999999E-2</v>
      </c>
    </row>
    <row r="13" spans="1:2" ht="14.25" customHeight="1" x14ac:dyDescent="0.3">
      <c r="A13" s="2">
        <v>1.4999999999999999E-2</v>
      </c>
      <c r="B13" s="2">
        <v>1.4999999999999999E-2</v>
      </c>
    </row>
    <row r="14" spans="1:2" ht="14.25" customHeight="1" x14ac:dyDescent="0.3">
      <c r="A14" s="2">
        <v>0.02</v>
      </c>
      <c r="B14" s="2">
        <v>0.02</v>
      </c>
    </row>
    <row r="15" spans="1:2" ht="14.25" customHeight="1" x14ac:dyDescent="0.3">
      <c r="A15" s="2">
        <v>0.02</v>
      </c>
      <c r="B15" s="2">
        <v>0.02</v>
      </c>
    </row>
    <row r="16" spans="1:2" ht="14.25" customHeight="1" x14ac:dyDescent="0.3">
      <c r="A16" s="2">
        <v>0.02</v>
      </c>
      <c r="B16" s="2">
        <v>0.02</v>
      </c>
    </row>
    <row r="17" spans="1:2" ht="14.25" customHeight="1" x14ac:dyDescent="0.3">
      <c r="A17" s="2">
        <v>0.02</v>
      </c>
      <c r="B17" s="2">
        <v>0.02</v>
      </c>
    </row>
    <row r="18" spans="1:2" ht="14.25" customHeight="1" x14ac:dyDescent="0.3">
      <c r="A18" s="2">
        <v>2.5000000000000001E-2</v>
      </c>
      <c r="B18" s="2">
        <v>2.5000000000000001E-2</v>
      </c>
    </row>
    <row r="19" spans="1:2" ht="14.25" customHeight="1" x14ac:dyDescent="0.3">
      <c r="A19" s="2">
        <v>2.5000000000000001E-2</v>
      </c>
      <c r="B19" s="2">
        <v>2.5000000000000001E-2</v>
      </c>
    </row>
    <row r="20" spans="1:2" ht="14.25" customHeight="1" x14ac:dyDescent="0.3">
      <c r="A20" s="2">
        <v>2.5000000000000001E-2</v>
      </c>
      <c r="B20" s="2">
        <v>2.5000000000000001E-2</v>
      </c>
    </row>
    <row r="21" spans="1:2" ht="14.25" customHeight="1" x14ac:dyDescent="0.3">
      <c r="A21" s="2">
        <v>2.5000000000000001E-2</v>
      </c>
      <c r="B21" s="2">
        <v>2.5000000000000001E-2</v>
      </c>
    </row>
    <row r="22" spans="1:2" ht="14.25" customHeight="1" x14ac:dyDescent="0.3">
      <c r="A22" s="2">
        <v>0.03</v>
      </c>
      <c r="B22" s="2">
        <v>0.03</v>
      </c>
    </row>
    <row r="23" spans="1:2" ht="14.25" customHeight="1" x14ac:dyDescent="0.3">
      <c r="A23" s="2">
        <v>0.03</v>
      </c>
      <c r="B23" s="2">
        <v>0.03</v>
      </c>
    </row>
    <row r="24" spans="1:2" ht="14.25" customHeight="1" x14ac:dyDescent="0.3">
      <c r="A24" s="2">
        <v>0.03</v>
      </c>
      <c r="B24" s="2">
        <v>0.03</v>
      </c>
    </row>
    <row r="25" spans="1:2" ht="14.25" customHeight="1" x14ac:dyDescent="0.3">
      <c r="A25" s="2">
        <v>0.03</v>
      </c>
      <c r="B25" s="2">
        <v>0.03</v>
      </c>
    </row>
    <row r="26" spans="1:2" ht="14.25" customHeight="1" x14ac:dyDescent="0.3">
      <c r="A26" s="2">
        <v>3.5000000000000003E-2</v>
      </c>
      <c r="B26" s="2">
        <v>3.5000000000000003E-2</v>
      </c>
    </row>
    <row r="27" spans="1:2" ht="14.25" customHeight="1" x14ac:dyDescent="0.3">
      <c r="A27" s="2">
        <v>3.5000000000000003E-2</v>
      </c>
      <c r="B27" s="2">
        <v>3.5000000000000003E-2</v>
      </c>
    </row>
    <row r="28" spans="1:2" ht="14.25" customHeight="1" x14ac:dyDescent="0.3">
      <c r="A28" s="2">
        <v>3.5000000000000003E-2</v>
      </c>
      <c r="B28" s="2">
        <v>3.5000000000000003E-2</v>
      </c>
    </row>
    <row r="29" spans="1:2" ht="14.25" customHeight="1" x14ac:dyDescent="0.3">
      <c r="A29" s="2">
        <v>3.5000000000000003E-2</v>
      </c>
      <c r="B29" s="2">
        <v>3.5000000000000003E-2</v>
      </c>
    </row>
    <row r="30" spans="1:2" ht="14.25" customHeight="1" x14ac:dyDescent="0.3">
      <c r="A30" s="2">
        <v>0.04</v>
      </c>
      <c r="B30" s="2">
        <v>0.04</v>
      </c>
    </row>
    <row r="31" spans="1:2" ht="14.25" customHeight="1" x14ac:dyDescent="0.3">
      <c r="A31" s="2">
        <v>0.04</v>
      </c>
      <c r="B31" s="2">
        <v>0.04</v>
      </c>
    </row>
    <row r="32" spans="1:2" ht="14.25" customHeight="1" x14ac:dyDescent="0.3">
      <c r="A32" s="2">
        <v>0.04</v>
      </c>
      <c r="B32" s="2">
        <v>0.04</v>
      </c>
    </row>
    <row r="33" spans="1:2" ht="14.25" customHeight="1" x14ac:dyDescent="0.3">
      <c r="A33" s="2">
        <v>0.04</v>
      </c>
      <c r="B33" s="2">
        <v>0.04</v>
      </c>
    </row>
    <row r="34" spans="1:2" ht="14.25" customHeight="1" x14ac:dyDescent="0.3">
      <c r="A34" s="2">
        <v>4.4999999999999998E-2</v>
      </c>
      <c r="B34" s="2">
        <v>4.4999999999999998E-2</v>
      </c>
    </row>
    <row r="35" spans="1:2" ht="14.25" customHeight="1" x14ac:dyDescent="0.3">
      <c r="A35" s="2">
        <v>4.4999999999999998E-2</v>
      </c>
      <c r="B35" s="2">
        <v>4.4999999999999998E-2</v>
      </c>
    </row>
    <row r="36" spans="1:2" ht="14.25" customHeight="1" x14ac:dyDescent="0.3">
      <c r="A36" s="2">
        <v>4.4999999999999998E-2</v>
      </c>
      <c r="B36" s="2">
        <v>4.4999999999999998E-2</v>
      </c>
    </row>
    <row r="37" spans="1:2" ht="14.25" customHeight="1" x14ac:dyDescent="0.3">
      <c r="A37" s="2">
        <v>4.4999999999999998E-2</v>
      </c>
      <c r="B37" s="2">
        <v>4.4999999999999998E-2</v>
      </c>
    </row>
    <row r="38" spans="1:2" ht="14.25" customHeight="1" x14ac:dyDescent="0.3">
      <c r="A38" s="2">
        <v>0.05</v>
      </c>
      <c r="B38" s="2">
        <v>0.05</v>
      </c>
    </row>
    <row r="39" spans="1:2" ht="14.25" customHeight="1" x14ac:dyDescent="0.3">
      <c r="A39" s="2">
        <v>0.05</v>
      </c>
      <c r="B39" s="2">
        <v>0.05</v>
      </c>
    </row>
    <row r="40" spans="1:2" ht="14.25" customHeight="1" x14ac:dyDescent="0.3">
      <c r="A40" s="2">
        <v>0.05</v>
      </c>
      <c r="B40" s="2">
        <v>0.05</v>
      </c>
    </row>
    <row r="41" spans="1:2" ht="14.25" customHeight="1" x14ac:dyDescent="0.3">
      <c r="A41" s="2">
        <v>0.05</v>
      </c>
      <c r="B41" s="2">
        <v>0.05</v>
      </c>
    </row>
    <row r="42" spans="1:2" ht="14.25" customHeight="1" x14ac:dyDescent="0.3">
      <c r="A42" s="2">
        <v>5.5E-2</v>
      </c>
      <c r="B42" s="2">
        <v>5.5E-2</v>
      </c>
    </row>
    <row r="43" spans="1:2" ht="14.25" customHeight="1" x14ac:dyDescent="0.3">
      <c r="A43" s="2">
        <v>5.5E-2</v>
      </c>
      <c r="B43" s="2">
        <v>5.5E-2</v>
      </c>
    </row>
    <row r="44" spans="1:2" ht="14.25" customHeight="1" x14ac:dyDescent="0.3">
      <c r="A44" s="2">
        <v>5.5E-2</v>
      </c>
      <c r="B44" s="2">
        <v>5.5E-2</v>
      </c>
    </row>
    <row r="45" spans="1:2" ht="14.25" customHeight="1" x14ac:dyDescent="0.3">
      <c r="A45" s="2">
        <v>5.5E-2</v>
      </c>
      <c r="B45" s="2">
        <v>5.5E-2</v>
      </c>
    </row>
    <row r="46" spans="1:2" ht="14.25" customHeight="1" x14ac:dyDescent="0.3">
      <c r="A46" s="2">
        <v>0.06</v>
      </c>
      <c r="B46" s="2">
        <v>0.06</v>
      </c>
    </row>
    <row r="47" spans="1:2" ht="14.25" customHeight="1" x14ac:dyDescent="0.3">
      <c r="A47" s="2">
        <v>0.06</v>
      </c>
      <c r="B47" s="2">
        <v>0.06</v>
      </c>
    </row>
    <row r="48" spans="1:2" ht="14.25" customHeight="1" x14ac:dyDescent="0.3">
      <c r="A48" s="2">
        <v>0.06</v>
      </c>
      <c r="B48" s="2">
        <v>0.06</v>
      </c>
    </row>
    <row r="49" spans="1:2" ht="14.25" customHeight="1" x14ac:dyDescent="0.3">
      <c r="A49" s="2">
        <v>0.06</v>
      </c>
      <c r="B49" s="2">
        <v>0.06</v>
      </c>
    </row>
    <row r="50" spans="1:2" ht="14.25" customHeight="1" x14ac:dyDescent="0.3">
      <c r="A50" s="2">
        <v>6.5000000000000002E-2</v>
      </c>
      <c r="B50" s="2">
        <v>6.5000000000000002E-2</v>
      </c>
    </row>
    <row r="51" spans="1:2" ht="14.25" customHeight="1" x14ac:dyDescent="0.3">
      <c r="A51" s="2">
        <v>6.5000000000000002E-2</v>
      </c>
      <c r="B51" s="2">
        <v>6.5000000000000002E-2</v>
      </c>
    </row>
    <row r="52" spans="1:2" ht="14.25" customHeight="1" x14ac:dyDescent="0.3">
      <c r="A52" s="2">
        <v>6.5000000000000002E-2</v>
      </c>
      <c r="B52" s="2">
        <v>6.5000000000000002E-2</v>
      </c>
    </row>
    <row r="53" spans="1:2" ht="14.25" customHeight="1" x14ac:dyDescent="0.3">
      <c r="A53" s="2">
        <v>6.5000000000000002E-2</v>
      </c>
      <c r="B53" s="2">
        <v>6.5000000000000002E-2</v>
      </c>
    </row>
    <row r="54" spans="1:2" ht="14.25" customHeight="1" x14ac:dyDescent="0.3">
      <c r="A54" s="2">
        <v>7.0000000000000007E-2</v>
      </c>
      <c r="B54" s="2">
        <v>7.0000000000000007E-2</v>
      </c>
    </row>
    <row r="55" spans="1:2" ht="14.25" customHeight="1" x14ac:dyDescent="0.3">
      <c r="A55" s="2">
        <v>7.0000000000000007E-2</v>
      </c>
      <c r="B55" s="2">
        <v>7.0000000000000007E-2</v>
      </c>
    </row>
    <row r="56" spans="1:2" ht="14.25" customHeight="1" x14ac:dyDescent="0.3">
      <c r="A56" s="2">
        <v>7.0000000000000007E-2</v>
      </c>
      <c r="B56" s="2">
        <v>7.0000000000000007E-2</v>
      </c>
    </row>
    <row r="57" spans="1:2" ht="14.25" customHeight="1" x14ac:dyDescent="0.3">
      <c r="A57" s="2">
        <v>7.0000000000000007E-2</v>
      </c>
      <c r="B57" s="2">
        <v>7.0000000000000007E-2</v>
      </c>
    </row>
    <row r="58" spans="1:2" ht="14.25" customHeight="1" x14ac:dyDescent="0.3"/>
    <row r="59" spans="1:2" ht="14.25" customHeight="1" x14ac:dyDescent="0.3"/>
    <row r="60" spans="1:2" ht="14.25" customHeight="1" x14ac:dyDescent="0.3"/>
    <row r="61" spans="1:2" ht="14.25" customHeight="1" x14ac:dyDescent="0.3"/>
    <row r="62" spans="1:2" ht="14.25" customHeight="1" x14ac:dyDescent="0.3"/>
    <row r="63" spans="1:2" ht="14.25" customHeight="1" x14ac:dyDescent="0.3"/>
    <row r="64" spans="1:2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4</vt:i4>
      </vt:variant>
    </vt:vector>
  </HeadingPairs>
  <TitlesOfParts>
    <vt:vector size="27" baseType="lpstr">
      <vt:lpstr>Todo en 0</vt:lpstr>
      <vt:lpstr>Todo en 0 Ratio Max-Final th1</vt:lpstr>
      <vt:lpstr>Nominales el resto en 0</vt:lpstr>
      <vt:lpstr>Variar Nominales h112</vt:lpstr>
      <vt:lpstr>Variar Nominales h211</vt:lpstr>
      <vt:lpstr>Variar Nominales h222</vt:lpstr>
      <vt:lpstr>Variar Nominales c112</vt:lpstr>
      <vt:lpstr>Variar Nominales c211</vt:lpstr>
      <vt:lpstr>Variar Nominales c222</vt:lpstr>
      <vt:lpstr>Fits</vt:lpstr>
      <vt:lpstr>cualitativo</vt:lpstr>
      <vt:lpstr>Variar Nominales h112 Update</vt:lpstr>
      <vt:lpstr>Variar Nominales h211 Update</vt:lpstr>
      <vt:lpstr>Variar Nominales h222 Update</vt:lpstr>
      <vt:lpstr>Variar Nominales c112 Update</vt:lpstr>
      <vt:lpstr>Variar Nominales c211 Update</vt:lpstr>
      <vt:lpstr>Variar Nominales c222 Update</vt:lpstr>
      <vt:lpstr>Matriz Ganancia Estática Bypass</vt:lpstr>
      <vt:lpstr>Sheet2</vt:lpstr>
      <vt:lpstr>Sheet5</vt:lpstr>
      <vt:lpstr>Sheet6</vt:lpstr>
      <vt:lpstr>Sheet10</vt:lpstr>
      <vt:lpstr>Sheet11</vt:lpstr>
      <vt:lpstr>Sheet10!ExternalData_1</vt:lpstr>
      <vt:lpstr>Sheet11!ExternalData_1</vt:lpstr>
      <vt:lpstr>Sheet5!ExternalData_1</vt:lpstr>
      <vt:lpstr>Sheet6!ExternalData_1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Zapata</dc:creator>
  <cp:lastModifiedBy>Facundo Zapata</cp:lastModifiedBy>
  <dcterms:created xsi:type="dcterms:W3CDTF">2025-03-12T22:47:48Z</dcterms:created>
  <dcterms:modified xsi:type="dcterms:W3CDTF">2025-05-15T02:24:35Z</dcterms:modified>
</cp:coreProperties>
</file>