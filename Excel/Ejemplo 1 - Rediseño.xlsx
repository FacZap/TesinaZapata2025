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tad\!PROYECTO\Tesina - Zapata 2025\Diseno\"/>
    </mc:Choice>
  </mc:AlternateContent>
  <xr:revisionPtr revIDLastSave="0" documentId="13_ncr:1_{AD2F8D50-FAB8-4A8D-ABD4-D439119F41A3}" xr6:coauthVersionLast="47" xr6:coauthVersionMax="47" xr10:uidLastSave="{00000000-0000-0000-0000-000000000000}"/>
  <bookViews>
    <workbookView xWindow="-108" yWindow="-108" windowWidth="23256" windowHeight="12576" xr2:uid="{28634965-6A09-4076-8062-FB42CE957CA6}"/>
  </bookViews>
  <sheets>
    <sheet name="Ejemplo_1" sheetId="1" r:id="rId1"/>
    <sheet name="Sheet1" sheetId="7" r:id="rId2"/>
    <sheet name="Identificacion-postdim" sheetId="2" r:id="rId3"/>
    <sheet name="Identificacion-copia" sheetId="3" r:id="rId4"/>
    <sheet name="Identificacion" sheetId="4" r:id="rId5"/>
    <sheet name="Ganancia_de_Estado_Estacionario" sheetId="5" r:id="rId6"/>
    <sheet name="Pesos_MPC_-_Con_restricciones" sheetId="6" r:id="rId7"/>
  </sheets>
  <calcPr calcId="181029"/>
</workbook>
</file>

<file path=xl/calcChain.xml><?xml version="1.0" encoding="utf-8"?>
<calcChain xmlns="http://schemas.openxmlformats.org/spreadsheetml/2006/main">
  <c r="J71" i="2" l="1"/>
  <c r="I71" i="2"/>
  <c r="H71" i="2"/>
  <c r="G71" i="2"/>
  <c r="J70" i="2"/>
  <c r="I70" i="2"/>
  <c r="H70" i="2"/>
  <c r="G70" i="2"/>
  <c r="J68" i="2"/>
  <c r="I68" i="2"/>
  <c r="H68" i="2"/>
  <c r="G68" i="2"/>
  <c r="J67" i="2"/>
  <c r="I67" i="2"/>
  <c r="H67" i="2"/>
  <c r="G67" i="2"/>
  <c r="J65" i="2"/>
  <c r="I65" i="2"/>
  <c r="H65" i="2"/>
  <c r="G65" i="2"/>
  <c r="J64" i="2"/>
  <c r="I64" i="2"/>
  <c r="H64" i="2"/>
  <c r="G64" i="2"/>
  <c r="J62" i="2"/>
  <c r="I62" i="2"/>
  <c r="H62" i="2"/>
  <c r="G62" i="2"/>
  <c r="J61" i="2"/>
  <c r="I61" i="2"/>
  <c r="H61" i="2"/>
  <c r="G61" i="2"/>
  <c r="J59" i="2"/>
  <c r="I59" i="2"/>
  <c r="H59" i="2"/>
  <c r="G59" i="2"/>
  <c r="J58" i="2"/>
  <c r="I58" i="2"/>
  <c r="H58" i="2"/>
  <c r="G58" i="2"/>
  <c r="G56" i="2"/>
  <c r="H55" i="2"/>
  <c r="I55" i="2"/>
  <c r="J55" i="2"/>
  <c r="H56" i="2"/>
  <c r="I56" i="2"/>
  <c r="J56" i="2"/>
  <c r="G55" i="2"/>
  <c r="U25" i="2"/>
  <c r="T25" i="2"/>
  <c r="S25" i="2"/>
  <c r="R25" i="2"/>
  <c r="U22" i="2"/>
  <c r="T22" i="2"/>
  <c r="S22" i="2"/>
  <c r="R22" i="2"/>
  <c r="U19" i="2"/>
  <c r="T19" i="2"/>
  <c r="S19" i="2"/>
  <c r="R19" i="2"/>
  <c r="S16" i="2"/>
  <c r="T16" i="2"/>
  <c r="U16" i="2"/>
  <c r="R16" i="2"/>
  <c r="U12" i="2"/>
  <c r="T12" i="2"/>
  <c r="S12" i="2"/>
  <c r="R12" i="2"/>
  <c r="U11" i="2"/>
  <c r="T11" i="2"/>
  <c r="S11" i="2"/>
  <c r="R11" i="2"/>
  <c r="U9" i="2"/>
  <c r="T9" i="2"/>
  <c r="S9" i="2"/>
  <c r="R9" i="2"/>
  <c r="U8" i="2"/>
  <c r="T8" i="2"/>
  <c r="S8" i="2"/>
  <c r="R8" i="2"/>
  <c r="U6" i="2"/>
  <c r="T6" i="2"/>
  <c r="S6" i="2"/>
  <c r="R6" i="2"/>
  <c r="U5" i="2"/>
  <c r="T5" i="2"/>
  <c r="S5" i="2"/>
  <c r="R5" i="2"/>
  <c r="S2" i="2"/>
  <c r="T2" i="2"/>
  <c r="U2" i="2"/>
  <c r="S3" i="2"/>
  <c r="T3" i="2"/>
  <c r="U3" i="2"/>
  <c r="R3" i="2"/>
  <c r="R2" i="2"/>
  <c r="L48" i="2"/>
  <c r="L47" i="2"/>
  <c r="O33" i="2"/>
  <c r="M35" i="2"/>
  <c r="N35" i="2"/>
  <c r="O35" i="2"/>
  <c r="M36" i="2"/>
  <c r="N36" i="2"/>
  <c r="O36" i="2"/>
  <c r="M38" i="2"/>
  <c r="N38" i="2"/>
  <c r="O38" i="2"/>
  <c r="M39" i="2"/>
  <c r="N39" i="2"/>
  <c r="O39" i="2"/>
  <c r="M41" i="2"/>
  <c r="N41" i="2"/>
  <c r="O41" i="2"/>
  <c r="M42" i="2"/>
  <c r="N42" i="2"/>
  <c r="O42" i="2"/>
  <c r="M44" i="2"/>
  <c r="N44" i="2"/>
  <c r="O44" i="2"/>
  <c r="M45" i="2"/>
  <c r="N45" i="2"/>
  <c r="O45" i="2"/>
  <c r="M47" i="2"/>
  <c r="N47" i="2"/>
  <c r="O47" i="2"/>
  <c r="M48" i="2"/>
  <c r="N48" i="2"/>
  <c r="O48" i="2"/>
  <c r="L45" i="2"/>
  <c r="L44" i="2"/>
  <c r="L42" i="2"/>
  <c r="L41" i="2"/>
  <c r="L36" i="2"/>
  <c r="L35" i="2"/>
  <c r="L38" i="2"/>
  <c r="L39" i="2"/>
  <c r="H33" i="2"/>
  <c r="J33" i="2"/>
  <c r="J34" i="2"/>
  <c r="G35" i="2"/>
  <c r="H35" i="2"/>
  <c r="I35" i="2"/>
  <c r="J35" i="2"/>
  <c r="G36" i="2"/>
  <c r="H36" i="2"/>
  <c r="I36" i="2"/>
  <c r="J36" i="2"/>
  <c r="G37" i="2"/>
  <c r="H37" i="2"/>
  <c r="I37" i="2"/>
  <c r="J37" i="2"/>
  <c r="G38" i="2"/>
  <c r="H38" i="2"/>
  <c r="I38" i="2"/>
  <c r="J38" i="2"/>
  <c r="G39" i="2"/>
  <c r="H39" i="2"/>
  <c r="I39" i="2"/>
  <c r="J39" i="2"/>
  <c r="G40" i="2"/>
  <c r="H40" i="2"/>
  <c r="I40" i="2"/>
  <c r="J40" i="2"/>
  <c r="G41" i="2"/>
  <c r="H41" i="2"/>
  <c r="I41" i="2"/>
  <c r="J41" i="2"/>
  <c r="G42" i="2"/>
  <c r="H42" i="2"/>
  <c r="I42" i="2"/>
  <c r="J42" i="2"/>
  <c r="G43" i="2"/>
  <c r="H43" i="2"/>
  <c r="I43" i="2"/>
  <c r="J43" i="2"/>
  <c r="G44" i="2"/>
  <c r="H44" i="2"/>
  <c r="I44" i="2"/>
  <c r="J44" i="2"/>
  <c r="G45" i="2"/>
  <c r="H45" i="2"/>
  <c r="I45" i="2"/>
  <c r="J45" i="2"/>
  <c r="G46" i="2"/>
  <c r="H46" i="2"/>
  <c r="I46" i="2"/>
  <c r="J46" i="2"/>
  <c r="G47" i="2"/>
  <c r="H47" i="2"/>
  <c r="I47" i="2"/>
  <c r="J47" i="2"/>
  <c r="G48" i="2"/>
  <c r="H48" i="2"/>
  <c r="I48" i="2"/>
  <c r="J48" i="2"/>
  <c r="G49" i="2"/>
  <c r="H49" i="2"/>
  <c r="I49" i="2"/>
  <c r="J49" i="2"/>
  <c r="C32" i="2"/>
  <c r="G32" i="2" s="1"/>
  <c r="D33" i="2"/>
  <c r="M32" i="2" s="1"/>
  <c r="C33" i="2"/>
  <c r="G33" i="2" s="1"/>
  <c r="E33" i="2"/>
  <c r="N32" i="2" s="1"/>
  <c r="F33" i="2"/>
  <c r="O32" i="2" s="1"/>
  <c r="C34" i="2"/>
  <c r="G34" i="2" s="1"/>
  <c r="D34" i="2"/>
  <c r="H34" i="2" s="1"/>
  <c r="E34" i="2"/>
  <c r="I34" i="2" s="1"/>
  <c r="F34" i="2"/>
  <c r="F32" i="2"/>
  <c r="J32" i="2" s="1"/>
  <c r="E32" i="2"/>
  <c r="I32" i="2" s="1"/>
  <c r="D32" i="2"/>
  <c r="H32" i="2" s="1"/>
  <c r="G2" i="2"/>
  <c r="J2" i="2"/>
  <c r="J3" i="2"/>
  <c r="J4" i="2"/>
  <c r="H2" i="2"/>
  <c r="I2" i="2"/>
  <c r="H3" i="2"/>
  <c r="I3" i="2"/>
  <c r="H4" i="2"/>
  <c r="I4" i="2"/>
  <c r="G3" i="2"/>
  <c r="G4" i="2"/>
  <c r="D5" i="1"/>
  <c r="F5" i="1" s="1"/>
  <c r="D4" i="1"/>
  <c r="F4" i="1" s="1"/>
  <c r="F3" i="1"/>
  <c r="I33" i="2" l="1"/>
  <c r="N33" i="2"/>
  <c r="L32" i="2"/>
  <c r="M33" i="2"/>
  <c r="L33" i="2"/>
</calcChain>
</file>

<file path=xl/sharedStrings.xml><?xml version="1.0" encoding="utf-8"?>
<sst xmlns="http://schemas.openxmlformats.org/spreadsheetml/2006/main" count="278" uniqueCount="139">
  <si>
    <t>C_ssd_y =1; C_ssd_u = 1; C_net= 1;</t>
  </si>
  <si>
    <t>SSD_u</t>
  </si>
  <si>
    <t>SSD_y</t>
  </si>
  <si>
    <t>SSD</t>
  </si>
  <si>
    <t>NLE</t>
  </si>
  <si>
    <t>obj</t>
  </si>
  <si>
    <t>RGA</t>
  </si>
  <si>
    <t>tiempo</t>
  </si>
  <si>
    <t>Des.</t>
  </si>
  <si>
    <t>Spar.</t>
  </si>
  <si>
    <t>Full</t>
  </si>
  <si>
    <t>opt_r=1e-0;</t>
  </si>
  <si>
    <t>opt_a=1e-0;</t>
  </si>
  <si>
    <t>x' =</t>
  </si>
  <si>
    <t>Ax+Bu</t>
  </si>
  <si>
    <t>M=1e2</t>
  </si>
  <si>
    <t>y =</t>
  </si>
  <si>
    <t>Cx+Du</t>
  </si>
  <si>
    <t>parRGA_ub=1e3;</t>
  </si>
  <si>
    <t>parRGA_lb=0.9</t>
  </si>
  <si>
    <t>DESCENTRALIZADA</t>
  </si>
  <si>
    <t>Gu+Dd</t>
  </si>
  <si>
    <t>SPARSE</t>
  </si>
  <si>
    <t>xInitial_desc_simulink</t>
  </si>
  <si>
    <t>CENTRALIZADA</t>
  </si>
  <si>
    <t>VMs: Bypass</t>
  </si>
  <si>
    <t>Salidas: Temps</t>
  </si>
  <si>
    <t>Perturb: Temp y Flujo</t>
  </si>
  <si>
    <t xml:space="preserve"> </t>
  </si>
  <si>
    <t>DATOS DEL PROBLEMA</t>
  </si>
  <si>
    <t>Soluciones redimensionando</t>
  </si>
  <si>
    <t>opt_r=1e-5; #error relativo</t>
  </si>
  <si>
    <t>opt_a=1e-5; #error absoluto  (para RIC01 4e-4/ para RIC03 1e-4)</t>
  </si>
  <si>
    <t>flag_it=0; #bandera para determinar la detención de la estrategia de rediseño (Cuando es 1 termina)</t>
  </si>
  <si>
    <t>Datos Diseño de estructura de control - C_ssd_y * SSDy + C_ssd_u * SSDu + C_net * NET</t>
  </si>
  <si>
    <t>C_ssd_y =0; C_ssd_u = 1; C_net= 1;</t>
  </si>
  <si>
    <t>Parametros para considerar el funcional - C_sp * (SSD_sp + SSDu_sp + NET_sp) + C_d * (SSD_d + SSDu_d + NET_d)</t>
  </si>
  <si>
    <t>y_d_off=2;</t>
  </si>
  <si>
    <t>Descentralizado</t>
  </si>
  <si>
    <t>Sparce</t>
  </si>
  <si>
    <t>------------------ Estrategia de Diseño ---------------------------------------</t>
  </si>
  <si>
    <t>Iteration  -  SSD_u  -  SSD_y  -  NLE  -  obj  -   %a  -  RGA -  Time</t>
  </si>
  <si>
    <t>-------------------------------------------------------------------------------</t>
  </si>
  <si>
    <t xml:space="preserve">     1        0.091     0.000    1.614   1.705    0.000   4.000  0.186</t>
  </si>
  <si>
    <t xml:space="preserve">     1        0.091     0.000    0.336   0.427    0.000   4.000  0.224</t>
  </si>
  <si>
    <t xml:space="preserve">     1        0.091     0.000    0.336   0.427    0.000   4.000  0.207</t>
  </si>
  <si>
    <t xml:space="preserve">     2        0.062     0.000    1.614   1.675    1.940   4.000  0.194</t>
  </si>
  <si>
    <t xml:space="preserve">     2        0.062     0.000    0.336   0.398    1.940   4.000  0.216</t>
  </si>
  <si>
    <t xml:space="preserve">     2        0.062     0.000    0.336   0.398    1.940   4.000  0.200</t>
  </si>
  <si>
    <t xml:space="preserve">     3        0.067     0.000    1.614   1.680    1.673   4.000  0.179</t>
  </si>
  <si>
    <t xml:space="preserve">     3        0.067     0.000    0.336   0.402    1.673   4.000  0.196</t>
  </si>
  <si>
    <t xml:space="preserve">     3        0.067     0.000    0.336   0.402    1.673   4.000  0.177</t>
  </si>
  <si>
    <t xml:space="preserve">     4        0.066     0.000    1.614   1.679    1.709   4.000  0.168</t>
  </si>
  <si>
    <t xml:space="preserve">     4        0.066     0.000    0.336   0.401    1.709   4.000  0.362</t>
  </si>
  <si>
    <t xml:space="preserve">     4        0.066     0.000    0.336   0.401    1.709   4.000  0.164</t>
  </si>
  <si>
    <t xml:space="preserve">     5        0.066     0.000    1.614   1.679    1.704   4.000  0.180</t>
  </si>
  <si>
    <t xml:space="preserve">     5        0.066     0.000    0.336   0.402    1.704   4.000  0.206</t>
  </si>
  <si>
    <t xml:space="preserve">     5        0.066     0.000    0.336   0.402    1.704   4.000  0.357</t>
  </si>
  <si>
    <t xml:space="preserve">     6        0.066     0.000    1.614   1.679    1.705   4.000  0.168</t>
  </si>
  <si>
    <t xml:space="preserve">     6        0.066     0.000    0.336   0.402    1.705   4.000  0.192</t>
  </si>
  <si>
    <t xml:space="preserve">     6        0.066     0.000    0.336   0.402    1.705   4.000  0.172</t>
  </si>
  <si>
    <t xml:space="preserve">     7        0.066     0.000    1.614   1.679    1.705   4.000  0.170</t>
  </si>
  <si>
    <t xml:space="preserve">     7        0.066     0.000    0.336   0.402    1.705   4.000  0.193</t>
  </si>
  <si>
    <t xml:space="preserve">     7        0.066     0.000    0.336   0.402    1.705   4.000  0.166</t>
  </si>
  <si>
    <t>Bypasses óptimos:</t>
  </si>
  <si>
    <t>uh 1 1 2 : 0.014935258720777856</t>
  </si>
  <si>
    <t>uh 2 1 1 : 0.05299733469368127</t>
  </si>
  <si>
    <t>uh 2 2 2 : 0.08194236649754925</t>
  </si>
  <si>
    <t>uc 1 1 2 : 0.0</t>
  </si>
  <si>
    <t>uc 2 1 1 : 0.0</t>
  </si>
  <si>
    <t>uc 2 2 2 : 0.0</t>
  </si>
  <si>
    <t>error absoluto bypasses calientes:  [3.24121615e-06]</t>
  </si>
  <si>
    <t>error absoluto bypasses fríos:  [0.]</t>
  </si>
  <si>
    <t>cantidad de iteraciones:  7</t>
  </si>
  <si>
    <t>SSD_u:  0.06587163753</t>
  </si>
  <si>
    <t>SSD_y:  0.0</t>
  </si>
  <si>
    <t>NLE:  1.613504439424</t>
  </si>
  <si>
    <t>NLE:  0.335697264233</t>
  </si>
  <si>
    <t>obj:  1.6793760769539998</t>
  </si>
  <si>
    <t>obj:  0.401568901763</t>
  </si>
  <si>
    <t>RGAn:  4.0</t>
  </si>
  <si>
    <t>RGAn:  3.9999999999999996</t>
  </si>
  <si>
    <t>tiempo:  1.2455861568450928</t>
  </si>
  <si>
    <t>tiempo:  1.5887722969055176</t>
  </si>
  <si>
    <t>tiempo:  1.4430303573608398</t>
  </si>
  <si>
    <t>Area Original/Redimensionada:</t>
  </si>
  <si>
    <t>a 1 1 2 : 34.71685026942442  /  35.35580060269119  %a:  1.8404617017618676</t>
  </si>
  <si>
    <t>a 2 1 1 : 42.266246191143715  /  44.26996515041091  %a:  4.740707159575109</t>
  </si>
  <si>
    <t>a 2 2 2 : 22.769214035906693  /  23.697558590692203  %a:  4.077191919411547</t>
  </si>
  <si>
    <t>acu 2 : 2.513764303269934</t>
  </si>
  <si>
    <t>fcu 2 : 30.0</t>
  </si>
  <si>
    <t>TAC_original:  47447.132099882845</t>
  </si>
  <si>
    <t>TAC_new:  48255.9604073074</t>
  </si>
  <si>
    <t>% dTAC:  1.7046937752146079</t>
  </si>
  <si>
    <t>% da:  3.4561546194907695</t>
  </si>
  <si>
    <t>Cambio en</t>
  </si>
  <si>
    <t>Thout 1</t>
  </si>
  <si>
    <t>Thout 2</t>
  </si>
  <si>
    <t>Tcout 1</t>
  </si>
  <si>
    <t>Tcout 2</t>
  </si>
  <si>
    <t>% setpoint</t>
  </si>
  <si>
    <t>uh112</t>
  </si>
  <si>
    <t>Thin 1</t>
  </si>
  <si>
    <t>uh211</t>
  </si>
  <si>
    <t>Tcin 1</t>
  </si>
  <si>
    <t>uh222</t>
  </si>
  <si>
    <t>Thin 2</t>
  </si>
  <si>
    <t>uc112</t>
  </si>
  <si>
    <t>Tcin 2</t>
  </si>
  <si>
    <t>uc211</t>
  </si>
  <si>
    <t>fhin 1</t>
  </si>
  <si>
    <t>uc222</t>
  </si>
  <si>
    <t>fcin 1</t>
  </si>
  <si>
    <t>fcu</t>
  </si>
  <si>
    <t>fhin 2</t>
  </si>
  <si>
    <t>(bypss óptimos)</t>
  </si>
  <si>
    <t>fcin 2</t>
  </si>
  <si>
    <t>TODO EN 0</t>
  </si>
  <si>
    <t>Tcin 3</t>
  </si>
  <si>
    <t>delta u</t>
  </si>
  <si>
    <t>y</t>
  </si>
  <si>
    <t>Prueba</t>
  </si>
  <si>
    <t>u1</t>
  </si>
  <si>
    <t>u2</t>
  </si>
  <si>
    <t>u3</t>
  </si>
  <si>
    <t>u4</t>
  </si>
  <si>
    <t>y1</t>
  </si>
  <si>
    <t>y2</t>
  </si>
  <si>
    <t>y3</t>
  </si>
  <si>
    <t>y4</t>
  </si>
  <si>
    <t>hu</t>
  </si>
  <si>
    <t>hp</t>
  </si>
  <si>
    <t>(bypass optimos)</t>
  </si>
  <si>
    <t>(sin bypasses optimos)</t>
  </si>
  <si>
    <t>Conclusión: Muy lineal</t>
  </si>
  <si>
    <t>% sp</t>
  </si>
  <si>
    <t>RGA – Descentralizada</t>
  </si>
  <si>
    <t>RGA – Sparse</t>
  </si>
  <si>
    <t>RGA –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</si>
</sst>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Calibri"/>
      <family val="2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AFD095"/>
        <bgColor rgb="FFAFD095"/>
      </patternFill>
    </fill>
    <fill>
      <patternFill patternType="solid">
        <fgColor rgb="FFFFD8CE"/>
        <bgColor rgb="FFFFD8CE"/>
      </patternFill>
    </fill>
    <fill>
      <patternFill patternType="solid">
        <fgColor rgb="FFBF819E"/>
        <bgColor rgb="FFBF819E"/>
      </patternFill>
    </fill>
    <fill>
      <patternFill patternType="solid">
        <fgColor rgb="FF3FAF46"/>
        <bgColor rgb="FF3FAF46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729FCF"/>
        <bgColor rgb="FF729FCF"/>
      </patternFill>
    </fill>
    <fill>
      <patternFill patternType="solid">
        <fgColor rgb="FF81ACA6"/>
        <bgColor rgb="FF81ACA6"/>
      </patternFill>
    </fill>
    <fill>
      <patternFill patternType="solid">
        <fgColor rgb="FFFF6D6D"/>
        <bgColor rgb="FFFF6D6D"/>
      </patternFill>
    </fill>
    <fill>
      <patternFill patternType="solid">
        <fgColor rgb="FFB4C7DC"/>
        <bgColor rgb="FFB4C7D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0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4" fillId="5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1" applyNumberFormat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4" borderId="0" applyNumberFormat="0" applyBorder="0" applyAlignment="0" applyProtection="0"/>
    <xf numFmtId="0" fontId="5" fillId="0" borderId="0" applyNumberFormat="0" applyBorder="0" applyProtection="0"/>
    <xf numFmtId="0" fontId="6" fillId="6" borderId="0" applyNumberFormat="0" applyBorder="0" applyAlignment="0" applyProtection="0"/>
    <xf numFmtId="0" fontId="7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1" fillId="0" borderId="0" applyNumberFormat="0" applyFill="0" applyBorder="0" applyAlignment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12" borderId="0" xfId="0" applyFill="1" applyAlignment="1">
      <alignment horizontal="center"/>
    </xf>
    <xf numFmtId="11" fontId="0" fillId="0" borderId="0" xfId="0" applyNumberFormat="1" applyAlignment="1">
      <alignment horizontal="center"/>
    </xf>
    <xf numFmtId="11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6" fillId="15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20">
    <cellStyle name="Accent" xfId="7" xr:uid="{4869B1D3-0ABF-496F-9EE0-91D1DFFEDD69}"/>
    <cellStyle name="Accent 1" xfId="8" xr:uid="{64D9DF8B-CE91-4B7C-BF54-318228EE8B99}"/>
    <cellStyle name="Accent 2" xfId="9" xr:uid="{6CCF3B6F-F2F2-41A4-9DF6-5025C104935E}"/>
    <cellStyle name="Accent 3" xfId="10" xr:uid="{20A297C3-A978-428E-8179-44A8D5C8828F}"/>
    <cellStyle name="Bad" xfId="4" builtinId="27" customBuiltin="1"/>
    <cellStyle name="Default" xfId="11" xr:uid="{61F37A2F-E61F-497D-994C-7C35264D235F}"/>
    <cellStyle name="Error" xfId="12" xr:uid="{A48FB986-F2A8-4460-B87F-5F5CB7B32A5C}"/>
    <cellStyle name="Footnote" xfId="13" xr:uid="{24C89570-396F-4AF8-99B5-6152600894EB}"/>
    <cellStyle name="Good" xfId="3" builtinId="26" customBuiltin="1"/>
    <cellStyle name="Heading" xfId="14" xr:uid="{1665CE16-60FA-4521-B67E-655AB0197184}"/>
    <cellStyle name="Heading 1" xfId="1" builtinId="16" customBuiltin="1"/>
    <cellStyle name="Heading 2" xfId="2" builtinId="17" customBuiltin="1"/>
    <cellStyle name="Hyperlink" xfId="15" xr:uid="{72AE1659-378D-4588-BBBA-30BC3D536D52}"/>
    <cellStyle name="Neutral" xfId="5" builtinId="28" customBuiltin="1"/>
    <cellStyle name="Normal" xfId="0" builtinId="0" customBuiltin="1"/>
    <cellStyle name="Note" xfId="6" builtinId="10" customBuiltin="1"/>
    <cellStyle name="Result" xfId="16" xr:uid="{9A925365-4C32-4848-B245-7BCD4D1A96AD}"/>
    <cellStyle name="Status" xfId="17" xr:uid="{ED5D519D-CF8E-4FC2-A84D-DEA90236E2A4}"/>
    <cellStyle name="Text" xfId="18" xr:uid="{0912DF0E-58C5-46F0-B486-81A01D4909BF}"/>
    <cellStyle name="Warning" xfId="19" xr:uid="{16AAB7DE-97B3-4805-AA5B-BD68E511C0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109</xdr:row>
      <xdr:rowOff>0</xdr:rowOff>
    </xdr:from>
    <xdr:ext cx="3135239" cy="1919883"/>
    <xdr:pic>
      <xdr:nvPicPr>
        <xdr:cNvPr id="5" name="Imagen 12">
          <a:extLst>
            <a:ext uri="{FF2B5EF4-FFF2-40B4-BE49-F238E27FC236}">
              <a16:creationId xmlns:a16="http://schemas.microsoft.com/office/drawing/2014/main" id="{50B5B998-1350-575D-F299-59F9B6DCC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0" y="18158460"/>
          <a:ext cx="3135239" cy="191988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123</xdr:row>
      <xdr:rowOff>19229</xdr:rowOff>
    </xdr:from>
    <xdr:ext cx="3784683" cy="2976481"/>
    <xdr:pic>
      <xdr:nvPicPr>
        <xdr:cNvPr id="6" name="Imagen 13">
          <a:extLst>
            <a:ext uri="{FF2B5EF4-FFF2-40B4-BE49-F238E27FC236}">
              <a16:creationId xmlns:a16="http://schemas.microsoft.com/office/drawing/2014/main" id="{83D4A4A7-7E9C-62B7-ADDB-63734F2D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0" y="20417969"/>
          <a:ext cx="3784683" cy="297648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0</xdr:colOff>
      <xdr:row>144</xdr:row>
      <xdr:rowOff>102860</xdr:rowOff>
    </xdr:from>
    <xdr:ext cx="3964682" cy="2832838"/>
    <xdr:pic>
      <xdr:nvPicPr>
        <xdr:cNvPr id="11" name="Imagen 14">
          <a:extLst>
            <a:ext uri="{FF2B5EF4-FFF2-40B4-BE49-F238E27FC236}">
              <a16:creationId xmlns:a16="http://schemas.microsoft.com/office/drawing/2014/main" id="{9A38E983-89E9-927F-F763-068D3A1A1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  <a:alphaModFix/>
        </a:blip>
        <a:srcRect/>
        <a:stretch>
          <a:fillRect/>
        </a:stretch>
      </xdr:blipFill>
      <xdr:spPr>
        <a:xfrm>
          <a:off x="0" y="23862020"/>
          <a:ext cx="3964682" cy="283283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4</xdr:col>
      <xdr:colOff>704307</xdr:colOff>
      <xdr:row>107</xdr:row>
      <xdr:rowOff>151196</xdr:rowOff>
    </xdr:from>
    <xdr:ext cx="3378964" cy="2068921"/>
    <xdr:pic>
      <xdr:nvPicPr>
        <xdr:cNvPr id="3" name="Imagen 15">
          <a:extLst>
            <a:ext uri="{FF2B5EF4-FFF2-40B4-BE49-F238E27FC236}">
              <a16:creationId xmlns:a16="http://schemas.microsoft.com/office/drawing/2014/main" id="{2EBE1627-20E4-3083-1BAF-FF56B6825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/>
          <a:alphaModFix/>
        </a:blip>
        <a:srcRect/>
        <a:stretch>
          <a:fillRect/>
        </a:stretch>
      </xdr:blipFill>
      <xdr:spPr>
        <a:xfrm>
          <a:off x="5817327" y="17989616"/>
          <a:ext cx="3378964" cy="2068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5</xdr:col>
      <xdr:colOff>0</xdr:colOff>
      <xdr:row>123</xdr:row>
      <xdr:rowOff>0</xdr:rowOff>
    </xdr:from>
    <xdr:ext cx="3669121" cy="2885764"/>
    <xdr:pic>
      <xdr:nvPicPr>
        <xdr:cNvPr id="7" name="Imagen 16">
          <a:extLst>
            <a:ext uri="{FF2B5EF4-FFF2-40B4-BE49-F238E27FC236}">
              <a16:creationId xmlns:a16="http://schemas.microsoft.com/office/drawing/2014/main" id="{8E4B52FF-D0DA-1BA9-E0F5-F150A2E3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5920740" y="20398740"/>
          <a:ext cx="3669121" cy="2885764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5</xdr:col>
      <xdr:colOff>0</xdr:colOff>
      <xdr:row>143</xdr:row>
      <xdr:rowOff>0</xdr:rowOff>
    </xdr:from>
    <xdr:ext cx="4005721" cy="2861998"/>
    <xdr:pic>
      <xdr:nvPicPr>
        <xdr:cNvPr id="9" name="Imagen 17">
          <a:extLst>
            <a:ext uri="{FF2B5EF4-FFF2-40B4-BE49-F238E27FC236}">
              <a16:creationId xmlns:a16="http://schemas.microsoft.com/office/drawing/2014/main" id="{A8301F4B-060D-3AC7-7E73-16B158E63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lum/>
          <a:alphaModFix/>
        </a:blip>
        <a:srcRect/>
        <a:stretch>
          <a:fillRect/>
        </a:stretch>
      </xdr:blipFill>
      <xdr:spPr>
        <a:xfrm>
          <a:off x="5920740" y="23599140"/>
          <a:ext cx="4005721" cy="2861998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11</xdr:col>
      <xdr:colOff>733065</xdr:colOff>
      <xdr:row>108</xdr:row>
      <xdr:rowOff>67574</xdr:rowOff>
    </xdr:from>
    <xdr:ext cx="3135239" cy="1919883"/>
    <xdr:pic>
      <xdr:nvPicPr>
        <xdr:cNvPr id="4" name="Imagen 18">
          <a:extLst>
            <a:ext uri="{FF2B5EF4-FFF2-40B4-BE49-F238E27FC236}">
              <a16:creationId xmlns:a16="http://schemas.microsoft.com/office/drawing/2014/main" id="{4F85E08E-A0D8-6E74-EFA3-910E5805E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lum/>
          <a:alphaModFix/>
        </a:blip>
        <a:srcRect/>
        <a:stretch>
          <a:fillRect/>
        </a:stretch>
      </xdr:blipFill>
      <xdr:spPr>
        <a:xfrm>
          <a:off x="11500125" y="18066014"/>
          <a:ext cx="3135239" cy="191988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15691</xdr:colOff>
      <xdr:row>123</xdr:row>
      <xdr:rowOff>116284</xdr:rowOff>
    </xdr:from>
    <xdr:ext cx="3154679" cy="2481123"/>
    <xdr:pic>
      <xdr:nvPicPr>
        <xdr:cNvPr id="8" name="Imagen 19">
          <a:extLst>
            <a:ext uri="{FF2B5EF4-FFF2-40B4-BE49-F238E27FC236}">
              <a16:creationId xmlns:a16="http://schemas.microsoft.com/office/drawing/2014/main" id="{8A9FA6A2-FF92-489B-C41C-79792FE02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11590471" y="20515024"/>
          <a:ext cx="3154679" cy="248112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131609</xdr:colOff>
      <xdr:row>143</xdr:row>
      <xdr:rowOff>67939</xdr:rowOff>
    </xdr:from>
    <xdr:ext cx="4098596" cy="2928603"/>
    <xdr:pic>
      <xdr:nvPicPr>
        <xdr:cNvPr id="10" name="Imagen 20">
          <a:extLst>
            <a:ext uri="{FF2B5EF4-FFF2-40B4-BE49-F238E27FC236}">
              <a16:creationId xmlns:a16="http://schemas.microsoft.com/office/drawing/2014/main" id="{63F202DB-217F-2F05-305A-537409F79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lum/>
          <a:alphaModFix/>
        </a:blip>
        <a:srcRect/>
        <a:stretch>
          <a:fillRect/>
        </a:stretch>
      </xdr:blipFill>
      <xdr:spPr>
        <a:xfrm>
          <a:off x="11706389" y="23667079"/>
          <a:ext cx="4098596" cy="2928603"/>
        </a:xfrm>
        <a:prstGeom prst="rect">
          <a:avLst/>
        </a:prstGeom>
        <a:noFill/>
        <a:ln cap="flat">
          <a:noFill/>
        </a:ln>
      </xdr:spPr>
    </xdr:pic>
    <xdr:clientData/>
  </xdr:oneCellAnchor>
  <xdr:absoluteAnchor>
    <xdr:pos x="2257418" y="4615811"/>
    <xdr:ext cx="4958279" cy="3262323"/>
    <xdr:pic>
      <xdr:nvPicPr>
        <xdr:cNvPr id="2" name="Imagen 4">
          <a:extLst>
            <a:ext uri="{FF2B5EF4-FFF2-40B4-BE49-F238E27FC236}">
              <a16:creationId xmlns:a16="http://schemas.microsoft.com/office/drawing/2014/main" id="{435EF482-A304-876D-42C2-722F6C041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lum/>
          <a:alphaModFix/>
        </a:blip>
        <a:srcRect/>
        <a:stretch>
          <a:fillRect/>
        </a:stretch>
      </xdr:blipFill>
      <xdr:spPr>
        <a:xfrm>
          <a:off x="2257418" y="4615811"/>
          <a:ext cx="4958279" cy="3262323"/>
        </a:xfrm>
        <a:prstGeom prst="rect">
          <a:avLst/>
        </a:prstGeom>
        <a:noFill/>
        <a:ln cap="flat">
          <a:noFill/>
        </a:ln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8088-79FC-4290-8A61-6ABAB29209CB}">
  <dimension ref="A1:R102"/>
  <sheetViews>
    <sheetView tabSelected="1" workbookViewId="0">
      <selection activeCell="A10" sqref="A10:G13"/>
    </sheetView>
  </sheetViews>
  <sheetFormatPr defaultColWidth="11.109375" defaultRowHeight="13.2"/>
  <cols>
    <col min="1" max="1" width="23.88671875" customWidth="1"/>
    <col min="2" max="2" width="27.109375" customWidth="1"/>
    <col min="3" max="18" width="11.77734375" customWidth="1"/>
    <col min="19" max="19" width="11.109375" customWidth="1"/>
  </cols>
  <sheetData>
    <row r="1" spans="1:13">
      <c r="A1" s="21" t="s">
        <v>0</v>
      </c>
      <c r="B1" s="21"/>
      <c r="C1" s="21"/>
      <c r="D1" s="21"/>
      <c r="E1" s="21"/>
      <c r="F1" s="21"/>
      <c r="G1" s="1"/>
    </row>
    <row r="2" spans="1:13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13">
      <c r="A3" s="3" t="s">
        <v>8</v>
      </c>
      <c r="B3" s="3">
        <v>1.6135044394239999</v>
      </c>
      <c r="C3" s="3">
        <v>0</v>
      </c>
      <c r="D3" s="3">
        <v>1.6135044394239999</v>
      </c>
      <c r="E3" s="3">
        <v>5.705393286674</v>
      </c>
      <c r="F3" s="3">
        <f>E3+D3</f>
        <v>7.3188977260980002</v>
      </c>
      <c r="G3" s="3">
        <v>4</v>
      </c>
      <c r="H3" s="3">
        <v>0.31476831436157199</v>
      </c>
    </row>
    <row r="4" spans="1:13">
      <c r="A4" s="4" t="s">
        <v>9</v>
      </c>
      <c r="B4" s="4">
        <v>9.1484310506000005E-2</v>
      </c>
      <c r="C4" s="4">
        <v>0</v>
      </c>
      <c r="D4" s="4">
        <f>B4+C4</f>
        <v>9.1484310506000005E-2</v>
      </c>
      <c r="E4" s="4">
        <v>0.335697264233</v>
      </c>
      <c r="F4" s="4">
        <f>D4+E4</f>
        <v>0.42718157473899998</v>
      </c>
      <c r="G4" s="4">
        <v>4</v>
      </c>
      <c r="H4" s="4">
        <v>0.33335757255554199</v>
      </c>
    </row>
    <row r="5" spans="1:13">
      <c r="A5" s="5" t="s">
        <v>10</v>
      </c>
      <c r="B5" s="6">
        <v>9.1484310506000005E-2</v>
      </c>
      <c r="C5" s="6">
        <v>0</v>
      </c>
      <c r="D5" s="6">
        <f>B5+C5</f>
        <v>9.1484310506000005E-2</v>
      </c>
      <c r="E5" s="6">
        <v>0.335697264233</v>
      </c>
      <c r="F5" s="6">
        <f>D5+E5</f>
        <v>0.42718157473899998</v>
      </c>
      <c r="G5" s="6">
        <v>4</v>
      </c>
      <c r="H5" s="6">
        <v>0.31097340583801297</v>
      </c>
    </row>
    <row r="6" spans="1:13">
      <c r="A6" s="1" t="s">
        <v>11</v>
      </c>
      <c r="B6" s="1" t="s">
        <v>12</v>
      </c>
      <c r="C6" s="1"/>
      <c r="D6" s="1"/>
      <c r="E6" s="1"/>
      <c r="F6" s="1"/>
      <c r="G6" s="1"/>
      <c r="L6" s="7" t="s">
        <v>13</v>
      </c>
      <c r="M6" t="s">
        <v>14</v>
      </c>
    </row>
    <row r="7" spans="1:13">
      <c r="A7" s="1" t="s">
        <v>15</v>
      </c>
      <c r="B7" s="1"/>
      <c r="C7" s="1"/>
      <c r="D7" s="1"/>
      <c r="E7" s="1"/>
      <c r="F7" s="1"/>
      <c r="G7" s="1"/>
      <c r="L7" s="7" t="s">
        <v>16</v>
      </c>
      <c r="M7" t="s">
        <v>17</v>
      </c>
    </row>
    <row r="8" spans="1:13">
      <c r="A8" s="1" t="s">
        <v>18</v>
      </c>
      <c r="B8" s="1" t="s">
        <v>19</v>
      </c>
      <c r="D8" s="1"/>
      <c r="E8" s="1"/>
      <c r="F8" s="1"/>
      <c r="G8" s="1"/>
    </row>
    <row r="9" spans="1:13">
      <c r="A9" s="22" t="s">
        <v>136</v>
      </c>
      <c r="B9" s="22"/>
      <c r="C9" s="22"/>
      <c r="D9" s="22"/>
      <c r="E9" s="22"/>
      <c r="F9" s="22"/>
      <c r="G9" s="22"/>
      <c r="I9" t="s">
        <v>20</v>
      </c>
      <c r="L9" s="7" t="s">
        <v>16</v>
      </c>
      <c r="M9" t="s">
        <v>21</v>
      </c>
    </row>
    <row r="10" spans="1:13">
      <c r="A10" s="8">
        <v>0.80000068755444698</v>
      </c>
      <c r="B10" s="1">
        <v>0.199999312445554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</row>
    <row r="11" spans="1:13">
      <c r="A11" s="9">
        <v>-2.8405342085554402E-10</v>
      </c>
      <c r="B11" s="9">
        <v>2.8405375401368498E-10</v>
      </c>
      <c r="C11" s="9">
        <v>-1.2990294884584999E-9</v>
      </c>
      <c r="D11" s="9">
        <v>1.2990341556069599E-9</v>
      </c>
      <c r="E11" s="9">
        <v>7.5018116718617001E-16</v>
      </c>
      <c r="F11" s="9">
        <v>1.87545291796543E-16</v>
      </c>
      <c r="G11" s="8">
        <v>0.999999999999994</v>
      </c>
    </row>
    <row r="12" spans="1:13">
      <c r="A12" s="9">
        <v>-1.8568501304335801E-7</v>
      </c>
      <c r="B12" s="9">
        <v>1.8568522828665201E-7</v>
      </c>
      <c r="C12" s="8">
        <v>0.640001005652305</v>
      </c>
      <c r="D12" s="1">
        <v>0.35999899434748001</v>
      </c>
      <c r="E12" s="1">
        <v>0</v>
      </c>
      <c r="F12" s="1">
        <v>0</v>
      </c>
      <c r="G12" s="1">
        <v>0</v>
      </c>
    </row>
    <row r="13" spans="1:13">
      <c r="A13" s="9">
        <v>-1.30738933415639E-7</v>
      </c>
      <c r="B13" s="9">
        <v>1.3073928595450199E-7</v>
      </c>
      <c r="C13" s="9">
        <v>2.5319555050457499E-8</v>
      </c>
      <c r="D13" s="9">
        <v>-2.5319382559678799E-8</v>
      </c>
      <c r="E13" s="8">
        <v>0.79999999999958005</v>
      </c>
      <c r="F13" s="1">
        <v>0.19999999999989501</v>
      </c>
      <c r="G13" s="1">
        <v>0</v>
      </c>
    </row>
    <row r="14" spans="1:13">
      <c r="A14" s="1"/>
      <c r="B14" s="1"/>
      <c r="C14" s="1"/>
      <c r="D14" s="1"/>
      <c r="E14" s="1"/>
      <c r="F14" s="1"/>
      <c r="G14" s="1"/>
    </row>
    <row r="15" spans="1:13">
      <c r="A15" s="23" t="s">
        <v>137</v>
      </c>
      <c r="B15" s="23"/>
      <c r="C15" s="23"/>
      <c r="D15" s="23"/>
      <c r="E15" s="23"/>
      <c r="F15" s="23"/>
      <c r="G15" s="23"/>
      <c r="I15" t="s">
        <v>22</v>
      </c>
    </row>
    <row r="16" spans="1:13">
      <c r="A16" s="8">
        <v>0.80000068755444698</v>
      </c>
      <c r="B16" s="1">
        <v>0.199999312445554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9">
      <c r="A17" s="10">
        <v>-2.8405342085554402E-10</v>
      </c>
      <c r="B17" s="9">
        <v>2.8405375401368498E-10</v>
      </c>
      <c r="C17" s="10">
        <v>-1.2990294884584999E-9</v>
      </c>
      <c r="D17" s="9">
        <v>1.2990341556069599E-9</v>
      </c>
      <c r="E17" s="10">
        <v>7.5018116718617001E-16</v>
      </c>
      <c r="F17" s="9">
        <v>1.87545291796543E-16</v>
      </c>
      <c r="G17" s="8">
        <v>0.999999999999994</v>
      </c>
    </row>
    <row r="18" spans="1:9">
      <c r="A18" s="10">
        <v>-1.8568501304335801E-7</v>
      </c>
      <c r="B18" s="9">
        <v>1.8568522828665201E-7</v>
      </c>
      <c r="C18" s="8">
        <v>0.640001005652305</v>
      </c>
      <c r="D18" s="1">
        <v>0.35999899434748001</v>
      </c>
      <c r="E18" s="1">
        <v>0</v>
      </c>
      <c r="F18" s="1">
        <v>0</v>
      </c>
      <c r="G18" s="1">
        <v>0</v>
      </c>
    </row>
    <row r="19" spans="1:9">
      <c r="A19" s="10">
        <v>-1.30738933415639E-7</v>
      </c>
      <c r="B19" s="9">
        <v>1.3073928595450199E-7</v>
      </c>
      <c r="C19" s="10">
        <v>2.5319555050457499E-8</v>
      </c>
      <c r="D19" s="9">
        <v>-2.5319382559678799E-8</v>
      </c>
      <c r="E19" s="8">
        <v>0.79999999999958005</v>
      </c>
      <c r="F19" s="1">
        <v>0.19999999999989501</v>
      </c>
      <c r="G19" s="1">
        <v>0</v>
      </c>
    </row>
    <row r="20" spans="1:9">
      <c r="A20" s="1"/>
      <c r="B20" s="1"/>
      <c r="C20" s="1"/>
      <c r="D20" s="1" t="s">
        <v>23</v>
      </c>
      <c r="E20" s="1"/>
      <c r="F20" s="1"/>
      <c r="G20" s="1"/>
    </row>
    <row r="21" spans="1:9">
      <c r="A21" s="24" t="s">
        <v>138</v>
      </c>
      <c r="B21" s="24"/>
      <c r="C21" s="24"/>
      <c r="D21" s="24"/>
      <c r="E21" s="24"/>
      <c r="F21" s="24"/>
      <c r="G21" s="24"/>
      <c r="I21" t="s">
        <v>24</v>
      </c>
    </row>
    <row r="22" spans="1:9">
      <c r="A22" s="8">
        <v>0.80000068755444698</v>
      </c>
      <c r="B22" s="1">
        <v>0.199999312445554</v>
      </c>
      <c r="C22" s="11">
        <v>0</v>
      </c>
      <c r="D22" s="1">
        <v>0</v>
      </c>
      <c r="E22" s="11">
        <v>0</v>
      </c>
      <c r="F22" s="1">
        <v>0</v>
      </c>
      <c r="G22" s="11">
        <v>0</v>
      </c>
    </row>
    <row r="23" spans="1:9">
      <c r="A23" s="10">
        <v>-2.8405342085554402E-10</v>
      </c>
      <c r="B23" s="9">
        <v>2.8405375401368498E-10</v>
      </c>
      <c r="C23" s="10">
        <v>-1.2990294884584999E-9</v>
      </c>
      <c r="D23" s="9">
        <v>1.2990341556069599E-9</v>
      </c>
      <c r="E23" s="10">
        <v>7.5018116718617001E-16</v>
      </c>
      <c r="F23" s="9">
        <v>1.87545291796543E-16</v>
      </c>
      <c r="G23" s="8">
        <v>0.999999999999994</v>
      </c>
    </row>
    <row r="24" spans="1:9">
      <c r="A24" s="10">
        <v>-1.8568501304335801E-7</v>
      </c>
      <c r="B24" s="9">
        <v>1.8568522828665201E-7</v>
      </c>
      <c r="C24" s="8">
        <v>0.640001005652305</v>
      </c>
      <c r="D24" s="1">
        <v>0.35999899434748001</v>
      </c>
      <c r="E24" s="11">
        <v>0</v>
      </c>
      <c r="F24" s="1">
        <v>0</v>
      </c>
      <c r="G24" s="11">
        <v>0</v>
      </c>
    </row>
    <row r="25" spans="1:9">
      <c r="A25" s="10">
        <v>-1.30738933415639E-7</v>
      </c>
      <c r="B25" s="9">
        <v>1.3073928595450199E-7</v>
      </c>
      <c r="C25" s="10">
        <v>2.5319555050457499E-8</v>
      </c>
      <c r="D25" s="9">
        <v>-2.5319382559678799E-8</v>
      </c>
      <c r="E25" s="8">
        <v>0.79999999999958005</v>
      </c>
      <c r="F25" s="1">
        <v>0.19999999999989501</v>
      </c>
      <c r="G25" s="11">
        <v>0</v>
      </c>
    </row>
    <row r="29" spans="1:9">
      <c r="I29" t="s">
        <v>25</v>
      </c>
    </row>
    <row r="30" spans="1:9">
      <c r="I30" t="s">
        <v>26</v>
      </c>
    </row>
    <row r="31" spans="1:9">
      <c r="I31" t="s">
        <v>27</v>
      </c>
    </row>
    <row r="41" spans="9:11">
      <c r="K41" t="s">
        <v>28</v>
      </c>
    </row>
    <row r="47" spans="9:11">
      <c r="I47" t="s">
        <v>29</v>
      </c>
    </row>
    <row r="49" spans="1:18">
      <c r="A49" s="25" t="s">
        <v>30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</row>
    <row r="50" spans="1:18">
      <c r="A50" t="s">
        <v>31</v>
      </c>
    </row>
    <row r="51" spans="1:18">
      <c r="A51" t="s">
        <v>32</v>
      </c>
    </row>
    <row r="52" spans="1:18">
      <c r="A52" t="s">
        <v>33</v>
      </c>
    </row>
    <row r="53" spans="1:18">
      <c r="A53" t="s">
        <v>34</v>
      </c>
    </row>
    <row r="54" spans="1:18">
      <c r="A54" t="s">
        <v>35</v>
      </c>
    </row>
    <row r="55" spans="1:18">
      <c r="A55" t="s">
        <v>36</v>
      </c>
    </row>
    <row r="56" spans="1:18">
      <c r="A56" t="s">
        <v>37</v>
      </c>
    </row>
    <row r="59" spans="1:18">
      <c r="A59" s="26" t="s">
        <v>38</v>
      </c>
      <c r="B59" s="26"/>
      <c r="C59" s="26"/>
      <c r="D59" s="26"/>
      <c r="E59" s="1"/>
      <c r="F59" s="27" t="s">
        <v>39</v>
      </c>
      <c r="G59" s="27"/>
      <c r="H59" s="27"/>
      <c r="I59" s="27"/>
      <c r="J59" s="27"/>
      <c r="K59" s="27"/>
      <c r="L59" s="1"/>
      <c r="M59" s="20" t="s">
        <v>10</v>
      </c>
      <c r="N59" s="20"/>
      <c r="O59" s="20"/>
      <c r="P59" s="20"/>
      <c r="Q59" s="20"/>
      <c r="R59" s="20"/>
    </row>
    <row r="61" spans="1:18">
      <c r="A61" t="s">
        <v>40</v>
      </c>
      <c r="F61" t="s">
        <v>40</v>
      </c>
      <c r="M61" t="s">
        <v>40</v>
      </c>
    </row>
    <row r="62" spans="1:18">
      <c r="A62" t="s">
        <v>41</v>
      </c>
      <c r="F62" t="s">
        <v>41</v>
      </c>
      <c r="M62" t="s">
        <v>41</v>
      </c>
    </row>
    <row r="63" spans="1:18">
      <c r="A63" t="s">
        <v>42</v>
      </c>
      <c r="F63" t="s">
        <v>42</v>
      </c>
      <c r="M63" t="s">
        <v>42</v>
      </c>
    </row>
    <row r="64" spans="1:18">
      <c r="A64" t="s">
        <v>43</v>
      </c>
      <c r="F64" t="s">
        <v>44</v>
      </c>
      <c r="M64" t="s">
        <v>45</v>
      </c>
    </row>
    <row r="65" spans="1:13">
      <c r="A65" t="s">
        <v>46</v>
      </c>
      <c r="F65" t="s">
        <v>47</v>
      </c>
      <c r="M65" t="s">
        <v>48</v>
      </c>
    </row>
    <row r="66" spans="1:13">
      <c r="A66" t="s">
        <v>49</v>
      </c>
      <c r="F66" t="s">
        <v>50</v>
      </c>
      <c r="M66" t="s">
        <v>51</v>
      </c>
    </row>
    <row r="67" spans="1:13">
      <c r="A67" t="s">
        <v>52</v>
      </c>
      <c r="F67" t="s">
        <v>53</v>
      </c>
      <c r="M67" t="s">
        <v>54</v>
      </c>
    </row>
    <row r="68" spans="1:13">
      <c r="A68" t="s">
        <v>55</v>
      </c>
      <c r="F68" t="s">
        <v>56</v>
      </c>
      <c r="M68" t="s">
        <v>57</v>
      </c>
    </row>
    <row r="69" spans="1:13">
      <c r="A69" t="s">
        <v>58</v>
      </c>
      <c r="F69" t="s">
        <v>59</v>
      </c>
      <c r="M69" t="s">
        <v>60</v>
      </c>
    </row>
    <row r="70" spans="1:13">
      <c r="A70" t="s">
        <v>61</v>
      </c>
      <c r="F70" t="s">
        <v>62</v>
      </c>
      <c r="M70" t="s">
        <v>63</v>
      </c>
    </row>
    <row r="72" spans="1:13">
      <c r="A72" t="s">
        <v>64</v>
      </c>
      <c r="F72" t="s">
        <v>64</v>
      </c>
      <c r="M72" t="s">
        <v>64</v>
      </c>
    </row>
    <row r="73" spans="1:13">
      <c r="A73" t="s">
        <v>65</v>
      </c>
      <c r="F73" t="s">
        <v>65</v>
      </c>
      <c r="M73" t="s">
        <v>65</v>
      </c>
    </row>
    <row r="74" spans="1:13">
      <c r="A74" t="s">
        <v>66</v>
      </c>
      <c r="F74" t="s">
        <v>66</v>
      </c>
      <c r="M74" t="s">
        <v>66</v>
      </c>
    </row>
    <row r="75" spans="1:13">
      <c r="A75" t="s">
        <v>67</v>
      </c>
      <c r="F75" t="s">
        <v>67</v>
      </c>
      <c r="M75" t="s">
        <v>67</v>
      </c>
    </row>
    <row r="76" spans="1:13">
      <c r="A76" t="s">
        <v>68</v>
      </c>
      <c r="F76" t="s">
        <v>68</v>
      </c>
      <c r="M76" t="s">
        <v>68</v>
      </c>
    </row>
    <row r="77" spans="1:13">
      <c r="A77" t="s">
        <v>69</v>
      </c>
      <c r="F77" t="s">
        <v>69</v>
      </c>
      <c r="M77" t="s">
        <v>69</v>
      </c>
    </row>
    <row r="78" spans="1:13">
      <c r="A78" t="s">
        <v>70</v>
      </c>
      <c r="F78" t="s">
        <v>70</v>
      </c>
      <c r="M78" t="s">
        <v>70</v>
      </c>
    </row>
    <row r="80" spans="1:13">
      <c r="A80" t="s">
        <v>71</v>
      </c>
      <c r="F80" t="s">
        <v>71</v>
      </c>
      <c r="M80" t="s">
        <v>71</v>
      </c>
    </row>
    <row r="81" spans="1:13">
      <c r="A81" t="s">
        <v>72</v>
      </c>
      <c r="F81" t="s">
        <v>72</v>
      </c>
      <c r="M81" t="s">
        <v>72</v>
      </c>
    </row>
    <row r="82" spans="1:13">
      <c r="A82" t="s">
        <v>73</v>
      </c>
      <c r="F82" t="s">
        <v>73</v>
      </c>
      <c r="M82" t="s">
        <v>73</v>
      </c>
    </row>
    <row r="84" spans="1:13">
      <c r="A84" t="s">
        <v>74</v>
      </c>
      <c r="F84" t="s">
        <v>74</v>
      </c>
      <c r="M84" t="s">
        <v>74</v>
      </c>
    </row>
    <row r="85" spans="1:13">
      <c r="A85" t="s">
        <v>75</v>
      </c>
      <c r="F85" t="s">
        <v>75</v>
      </c>
      <c r="M85" t="s">
        <v>75</v>
      </c>
    </row>
    <row r="86" spans="1:13">
      <c r="A86" t="s">
        <v>76</v>
      </c>
      <c r="F86" t="s">
        <v>77</v>
      </c>
      <c r="M86" t="s">
        <v>77</v>
      </c>
    </row>
    <row r="87" spans="1:13">
      <c r="A87" t="s">
        <v>78</v>
      </c>
      <c r="F87" t="s">
        <v>79</v>
      </c>
      <c r="M87" t="s">
        <v>79</v>
      </c>
    </row>
    <row r="88" spans="1:13">
      <c r="A88" t="s">
        <v>80</v>
      </c>
      <c r="F88" t="s">
        <v>80</v>
      </c>
      <c r="M88" t="s">
        <v>81</v>
      </c>
    </row>
    <row r="90" spans="1:13">
      <c r="A90" t="s">
        <v>82</v>
      </c>
      <c r="F90" t="s">
        <v>83</v>
      </c>
      <c r="M90" t="s">
        <v>84</v>
      </c>
    </row>
    <row r="92" spans="1:13">
      <c r="A92" t="s">
        <v>85</v>
      </c>
      <c r="F92" t="s">
        <v>85</v>
      </c>
      <c r="M92" t="s">
        <v>85</v>
      </c>
    </row>
    <row r="93" spans="1:13">
      <c r="A93" t="s">
        <v>86</v>
      </c>
      <c r="F93" t="s">
        <v>86</v>
      </c>
      <c r="M93" t="s">
        <v>86</v>
      </c>
    </row>
    <row r="94" spans="1:13">
      <c r="A94" t="s">
        <v>87</v>
      </c>
      <c r="F94" t="s">
        <v>87</v>
      </c>
      <c r="M94" t="s">
        <v>87</v>
      </c>
    </row>
    <row r="95" spans="1:13">
      <c r="A95" t="s">
        <v>88</v>
      </c>
      <c r="F95" t="s">
        <v>88</v>
      </c>
      <c r="M95" t="s">
        <v>88</v>
      </c>
    </row>
    <row r="96" spans="1:13">
      <c r="A96" t="s">
        <v>89</v>
      </c>
      <c r="F96" t="s">
        <v>89</v>
      </c>
      <c r="M96" t="s">
        <v>89</v>
      </c>
    </row>
    <row r="97" spans="1:13">
      <c r="A97" t="s">
        <v>90</v>
      </c>
      <c r="F97" t="s">
        <v>90</v>
      </c>
      <c r="M97" t="s">
        <v>90</v>
      </c>
    </row>
    <row r="99" spans="1:13">
      <c r="A99" t="s">
        <v>91</v>
      </c>
      <c r="F99" t="s">
        <v>91</v>
      </c>
      <c r="M99" t="s">
        <v>91</v>
      </c>
    </row>
    <row r="100" spans="1:13">
      <c r="A100" t="s">
        <v>92</v>
      </c>
      <c r="F100" t="s">
        <v>92</v>
      </c>
      <c r="M100" t="s">
        <v>92</v>
      </c>
    </row>
    <row r="101" spans="1:13">
      <c r="A101" t="s">
        <v>93</v>
      </c>
      <c r="F101" t="s">
        <v>93</v>
      </c>
      <c r="M101" t="s">
        <v>93</v>
      </c>
    </row>
    <row r="102" spans="1:13">
      <c r="A102" t="s">
        <v>94</v>
      </c>
      <c r="F102" t="s">
        <v>94</v>
      </c>
      <c r="M102" t="s">
        <v>94</v>
      </c>
    </row>
  </sheetData>
  <mergeCells count="8">
    <mergeCell ref="M59:R59"/>
    <mergeCell ref="A1:F1"/>
    <mergeCell ref="A9:G9"/>
    <mergeCell ref="A15:G15"/>
    <mergeCell ref="A21:G21"/>
    <mergeCell ref="A49:K49"/>
    <mergeCell ref="A59:D59"/>
    <mergeCell ref="F59:K59"/>
  </mergeCells>
  <pageMargins left="0" right="0" top="0.39370078740157505" bottom="0.39370078740157505" header="0" footer="0"/>
  <pageSetup fitToWidth="0" fitToHeight="0" orientation="portrait" r:id="rId1"/>
  <headerFooter>
    <oddHeader>&amp;C&amp;A</oddHeader>
    <oddFooter>&amp;CPágina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C917-845C-42E2-AA7E-FE1A9E7F70C0}">
  <dimension ref="B2:H5"/>
  <sheetViews>
    <sheetView workbookViewId="0">
      <selection activeCell="F11" sqref="F11"/>
    </sheetView>
  </sheetViews>
  <sheetFormatPr defaultRowHeight="13.2"/>
  <cols>
    <col min="2" max="2" width="17.33203125" customWidth="1"/>
    <col min="3" max="4" width="13.6640625" customWidth="1"/>
    <col min="5" max="5" width="14" customWidth="1"/>
    <col min="6" max="8" width="13.6640625" customWidth="1"/>
  </cols>
  <sheetData>
    <row r="2" spans="2:8">
      <c r="B2" s="8">
        <v>0.80000068755444698</v>
      </c>
      <c r="C2" s="1">
        <v>0</v>
      </c>
      <c r="D2" s="1">
        <v>0</v>
      </c>
      <c r="E2" s="1">
        <v>0.199999312445554</v>
      </c>
      <c r="F2" s="1">
        <v>0</v>
      </c>
      <c r="G2" s="1">
        <v>0</v>
      </c>
      <c r="H2" s="1">
        <v>0</v>
      </c>
    </row>
    <row r="3" spans="2:8">
      <c r="B3" s="9">
        <v>-2.8405342085554402E-10</v>
      </c>
      <c r="C3" s="9">
        <v>-1.2990294884584999E-9</v>
      </c>
      <c r="D3" s="9">
        <v>7.5018116718617001E-16</v>
      </c>
      <c r="E3" s="9">
        <v>2.8405375401368498E-10</v>
      </c>
      <c r="F3" s="9">
        <v>1.2990341556069599E-9</v>
      </c>
      <c r="G3" s="9">
        <v>1.87545291796543E-16</v>
      </c>
      <c r="H3" s="8">
        <v>0.999999999999994</v>
      </c>
    </row>
    <row r="4" spans="2:8">
      <c r="B4" s="9">
        <v>-1.8568501304335801E-7</v>
      </c>
      <c r="C4" s="8">
        <v>0.640001005652305</v>
      </c>
      <c r="D4" s="1">
        <v>0</v>
      </c>
      <c r="E4" s="9">
        <v>1.8568522828665201E-7</v>
      </c>
      <c r="F4" s="1">
        <v>0.35999899434748001</v>
      </c>
      <c r="G4" s="1">
        <v>0</v>
      </c>
      <c r="H4" s="1">
        <v>0</v>
      </c>
    </row>
    <row r="5" spans="2:8">
      <c r="B5" s="9">
        <v>-1.30738933415639E-7</v>
      </c>
      <c r="C5" s="9">
        <v>2.5319555050457499E-8</v>
      </c>
      <c r="D5" s="8">
        <v>0.79999999999958005</v>
      </c>
      <c r="E5" s="9">
        <v>1.3073928595450199E-7</v>
      </c>
      <c r="F5" s="9">
        <v>-2.5319382559678799E-8</v>
      </c>
      <c r="G5" s="1">
        <v>0.19999999999989501</v>
      </c>
      <c r="H5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6BE-9CF5-4CA8-A2F2-0DB0A0F49C44}">
  <dimension ref="A1:BL72"/>
  <sheetViews>
    <sheetView workbookViewId="0">
      <selection activeCell="K69" sqref="K69"/>
    </sheetView>
  </sheetViews>
  <sheetFormatPr defaultColWidth="11.109375" defaultRowHeight="13.2"/>
  <cols>
    <col min="1" max="1" width="12.77734375" style="1" customWidth="1"/>
    <col min="2" max="6" width="11.77734375" style="1" customWidth="1"/>
    <col min="7" max="7" width="10.21875" style="1" customWidth="1"/>
    <col min="8" max="8" width="12.77734375" style="1" customWidth="1"/>
    <col min="9" max="64" width="11.77734375" style="1" customWidth="1"/>
    <col min="65" max="65" width="11.109375" customWidth="1"/>
  </cols>
  <sheetData>
    <row r="1" spans="1:34">
      <c r="A1" s="12" t="s">
        <v>95</v>
      </c>
      <c r="C1" s="12" t="s">
        <v>96</v>
      </c>
      <c r="D1" s="12" t="s">
        <v>97</v>
      </c>
      <c r="E1" s="12" t="s">
        <v>98</v>
      </c>
      <c r="F1" s="12" t="s">
        <v>99</v>
      </c>
      <c r="G1" s="1" t="s">
        <v>100</v>
      </c>
      <c r="N1" s="12" t="s">
        <v>96</v>
      </c>
      <c r="O1" s="12" t="s">
        <v>97</v>
      </c>
      <c r="P1" s="12" t="s">
        <v>98</v>
      </c>
      <c r="Q1" s="12" t="s">
        <v>99</v>
      </c>
      <c r="X1" s="12" t="s">
        <v>96</v>
      </c>
      <c r="Y1" s="12" t="s">
        <v>97</v>
      </c>
      <c r="Z1" s="12" t="s">
        <v>98</v>
      </c>
      <c r="AA1" s="12" t="s">
        <v>99</v>
      </c>
      <c r="AE1" s="12" t="s">
        <v>96</v>
      </c>
      <c r="AF1" s="12" t="s">
        <v>97</v>
      </c>
      <c r="AG1" s="12" t="s">
        <v>98</v>
      </c>
      <c r="AH1" s="12" t="s">
        <v>99</v>
      </c>
    </row>
    <row r="2" spans="1:34">
      <c r="A2" s="13" t="s">
        <v>101</v>
      </c>
      <c r="B2" s="1">
        <v>0.1</v>
      </c>
      <c r="C2" s="2">
        <v>2.6993999999999998</v>
      </c>
      <c r="D2" s="2">
        <v>-1.5412999999999999</v>
      </c>
      <c r="E2" s="2">
        <v>3.7600000000000001E-2</v>
      </c>
      <c r="F2" s="2">
        <v>-7.7700000000000005E-2</v>
      </c>
      <c r="G2" s="1">
        <f>C2/$B$2</f>
        <v>26.993999999999996</v>
      </c>
      <c r="H2" s="1">
        <f>D2/$B$2</f>
        <v>-15.412999999999998</v>
      </c>
      <c r="I2" s="1">
        <f>E2/$B$2</f>
        <v>0.376</v>
      </c>
      <c r="J2" s="1">
        <f>F2/$B$2</f>
        <v>-0.77700000000000002</v>
      </c>
      <c r="L2" s="13" t="s">
        <v>102</v>
      </c>
      <c r="M2" s="1">
        <v>50</v>
      </c>
      <c r="N2" s="14">
        <v>3.4371</v>
      </c>
      <c r="O2" s="15">
        <v>1.3757999999999999</v>
      </c>
      <c r="P2" s="14">
        <v>1.7379</v>
      </c>
      <c r="Q2" s="14">
        <v>0.81599999999999995</v>
      </c>
      <c r="R2" s="1">
        <f>N3/N2</f>
        <v>2.0031712781123621</v>
      </c>
      <c r="S2" s="1">
        <f>O3/O2</f>
        <v>2.0038523041139702</v>
      </c>
      <c r="T2" s="1">
        <f>P3/P2</f>
        <v>1.997928534438115</v>
      </c>
      <c r="U2" s="1">
        <f>Q3/Q2</f>
        <v>1.9979166666666668</v>
      </c>
      <c r="W2" s="13" t="s">
        <v>102</v>
      </c>
      <c r="AC2" s="13" t="s">
        <v>102</v>
      </c>
      <c r="AD2" s="1">
        <v>50</v>
      </c>
      <c r="AE2" s="14">
        <v>2.9269507859703201</v>
      </c>
      <c r="AF2" s="15">
        <v>0.300083677557197</v>
      </c>
      <c r="AG2" s="14">
        <v>2.3153337190093302</v>
      </c>
      <c r="AH2" s="14">
        <v>1.0614689927969601</v>
      </c>
    </row>
    <row r="3" spans="1:34">
      <c r="B3" s="1">
        <v>0.4</v>
      </c>
      <c r="C3" s="2">
        <v>15.748200000000001</v>
      </c>
      <c r="D3" s="2">
        <v>-3.4245000000000001</v>
      </c>
      <c r="E3" s="2">
        <v>-2.2917999999999998</v>
      </c>
      <c r="F3" s="2">
        <v>-1.2426999999999999</v>
      </c>
      <c r="G3" s="1">
        <f>C3/$B$3</f>
        <v>39.3705</v>
      </c>
      <c r="H3" s="1">
        <f>D3/$B$3</f>
        <v>-8.5612499999999994</v>
      </c>
      <c r="I3" s="1">
        <f>E3/$B$3</f>
        <v>-5.7294999999999989</v>
      </c>
      <c r="J3" s="1">
        <f>F3/$B$3</f>
        <v>-3.1067499999999995</v>
      </c>
      <c r="M3" s="1">
        <v>100</v>
      </c>
      <c r="N3" s="14">
        <v>6.8851000000000004</v>
      </c>
      <c r="O3" s="14">
        <v>2.7568999999999999</v>
      </c>
      <c r="P3" s="15">
        <v>3.4722</v>
      </c>
      <c r="Q3" s="14">
        <v>1.6303000000000001</v>
      </c>
      <c r="R3" s="1">
        <f>N4/N2</f>
        <v>3.0063425562247241</v>
      </c>
      <c r="S3" s="1">
        <f>O4/O2</f>
        <v>3.0077772932112223</v>
      </c>
      <c r="T3" s="1">
        <f>P4/P2</f>
        <v>2.9957995281661778</v>
      </c>
      <c r="U3" s="1">
        <f>Q4/Q2</f>
        <v>2.9958333333333336</v>
      </c>
      <c r="W3" s="1">
        <v>-100</v>
      </c>
      <c r="X3" s="14">
        <v>-6.9067999999999996</v>
      </c>
      <c r="Y3" s="14">
        <v>-2.7675999999999998</v>
      </c>
      <c r="Z3" s="14">
        <v>-3.4649000000000001</v>
      </c>
      <c r="AA3" s="14">
        <v>-1.6268</v>
      </c>
      <c r="AD3" s="1">
        <v>100</v>
      </c>
      <c r="AE3" s="14">
        <v>6.3059876594692899</v>
      </c>
      <c r="AF3" s="14">
        <v>1.6866713457298499</v>
      </c>
      <c r="AG3" s="15">
        <v>4.0304760799904198</v>
      </c>
      <c r="AH3" s="14">
        <v>1.9192794250363101</v>
      </c>
    </row>
    <row r="4" spans="1:34">
      <c r="B4" s="1">
        <v>0.7</v>
      </c>
      <c r="C4" s="2">
        <v>36.231000000000002</v>
      </c>
      <c r="D4" s="2">
        <v>-6.3804999999999996</v>
      </c>
      <c r="E4" s="2">
        <v>-5.9481999999999999</v>
      </c>
      <c r="F4" s="2">
        <v>-3.0714000000000001</v>
      </c>
      <c r="G4" s="1">
        <f>C4/$B$4</f>
        <v>51.758571428571436</v>
      </c>
      <c r="H4" s="1">
        <f>D4/$B$4</f>
        <v>-9.1150000000000002</v>
      </c>
      <c r="I4" s="1">
        <f>E4/$B$4</f>
        <v>-8.4974285714285713</v>
      </c>
      <c r="J4" s="1">
        <f>F4/$B$4</f>
        <v>-4.3877142857142859</v>
      </c>
      <c r="M4" s="1">
        <v>150</v>
      </c>
      <c r="N4" s="2">
        <v>10.3331</v>
      </c>
      <c r="O4" s="2">
        <v>4.1380999999999997</v>
      </c>
      <c r="P4" s="2">
        <v>5.2064000000000004</v>
      </c>
      <c r="Q4" s="2">
        <v>2.4445999999999999</v>
      </c>
      <c r="W4" s="1">
        <v>-150</v>
      </c>
      <c r="X4" s="2">
        <v>-10.354799999999999</v>
      </c>
      <c r="Y4" s="2">
        <v>-4.1487999999999996</v>
      </c>
      <c r="Z4" s="2">
        <v>-5.1992000000000003</v>
      </c>
      <c r="AA4" s="2">
        <v>-2.4409999999999998</v>
      </c>
      <c r="AD4" s="1">
        <v>150</v>
      </c>
      <c r="AE4" s="14">
        <v>9.6850245329682494</v>
      </c>
      <c r="AF4" s="14">
        <v>3.0732590139024598</v>
      </c>
      <c r="AG4" s="14">
        <v>5.7456184409715103</v>
      </c>
      <c r="AH4" s="14">
        <v>2.7770898572756502</v>
      </c>
    </row>
    <row r="5" spans="1:34">
      <c r="A5" s="13" t="s">
        <v>103</v>
      </c>
      <c r="B5" s="16">
        <v>0.1</v>
      </c>
      <c r="C5" s="2">
        <v>-0.4521</v>
      </c>
      <c r="D5" s="2">
        <v>-0.1986</v>
      </c>
      <c r="E5" s="2">
        <v>-0.41639999999999999</v>
      </c>
      <c r="F5" s="2">
        <v>0.753</v>
      </c>
      <c r="L5" s="13" t="s">
        <v>104</v>
      </c>
      <c r="M5" s="1">
        <v>50</v>
      </c>
      <c r="N5" s="2">
        <v>9.5282</v>
      </c>
      <c r="O5" s="2">
        <v>2.3742000000000001</v>
      </c>
      <c r="P5" s="2">
        <v>2.9916</v>
      </c>
      <c r="Q5" s="2">
        <v>1.4047000000000001</v>
      </c>
      <c r="R5" s="1">
        <f>N6/N5</f>
        <v>2.0011334774668876</v>
      </c>
      <c r="S5" s="1">
        <f>O6/O5</f>
        <v>2.0022744503411674</v>
      </c>
      <c r="T5" s="1">
        <f>P6/P5</f>
        <v>1.9987966305655835</v>
      </c>
      <c r="U5" s="1">
        <f>Q6/Q5</f>
        <v>1.9987185875987754</v>
      </c>
      <c r="W5" s="13" t="s">
        <v>104</v>
      </c>
      <c r="AC5" s="13" t="s">
        <v>104</v>
      </c>
      <c r="AD5" s="1">
        <v>50</v>
      </c>
      <c r="AE5" s="14">
        <v>9.1558900259853502</v>
      </c>
      <c r="AF5" s="14">
        <v>1.2753839496934301</v>
      </c>
      <c r="AG5" s="14">
        <v>3.52173332129468</v>
      </c>
      <c r="AH5" s="14">
        <v>1.66483707922088</v>
      </c>
    </row>
    <row r="6" spans="1:34">
      <c r="B6" s="1">
        <v>0.4</v>
      </c>
      <c r="C6" s="2">
        <v>-0.4521</v>
      </c>
      <c r="D6" s="2">
        <v>3.7559</v>
      </c>
      <c r="E6" s="2">
        <v>-4.9442000000000004</v>
      </c>
      <c r="F6" s="2">
        <v>3.1993999999999998</v>
      </c>
      <c r="M6" s="1">
        <v>100</v>
      </c>
      <c r="N6" s="2">
        <v>19.0672</v>
      </c>
      <c r="O6" s="2">
        <v>4.7538</v>
      </c>
      <c r="P6" s="2">
        <v>5.9795999999999996</v>
      </c>
      <c r="Q6" s="2">
        <v>2.8075999999999999</v>
      </c>
      <c r="R6" s="1">
        <f>N7/N5</f>
        <v>3.0022669549337757</v>
      </c>
      <c r="S6" s="1">
        <f>O7/O5</f>
        <v>3.0045489006823352</v>
      </c>
      <c r="T6" s="1">
        <f>P7/P5</f>
        <v>2.9976266880599014</v>
      </c>
      <c r="U6" s="1">
        <f>Q7/Q5</f>
        <v>2.9974371751975508</v>
      </c>
      <c r="W6" s="1">
        <v>-100</v>
      </c>
      <c r="X6" s="14">
        <v>-19.088899999999999</v>
      </c>
      <c r="Y6" s="14">
        <v>-4.7645</v>
      </c>
      <c r="Z6" s="14">
        <v>-5.9724000000000004</v>
      </c>
      <c r="AA6" s="14">
        <v>-2.8041</v>
      </c>
      <c r="AD6" s="1">
        <v>100</v>
      </c>
      <c r="AE6" s="14">
        <v>18.763866139499399</v>
      </c>
      <c r="AF6" s="14">
        <v>3.6372718900023</v>
      </c>
      <c r="AG6" s="14">
        <v>6.4432752845611301</v>
      </c>
      <c r="AH6" s="14">
        <v>3.1260155978841602</v>
      </c>
    </row>
    <row r="7" spans="1:34">
      <c r="B7" s="1">
        <v>0.7</v>
      </c>
      <c r="C7" s="2">
        <v>-0.4521</v>
      </c>
      <c r="D7" s="2">
        <v>11.1157</v>
      </c>
      <c r="E7" s="2">
        <v>-13.370900000000001</v>
      </c>
      <c r="F7" s="2">
        <v>7.7525000000000004</v>
      </c>
      <c r="M7" s="1">
        <v>150</v>
      </c>
      <c r="N7" s="2">
        <v>28.606200000000001</v>
      </c>
      <c r="O7" s="2">
        <v>7.1334</v>
      </c>
      <c r="P7" s="2">
        <v>8.9677000000000007</v>
      </c>
      <c r="Q7" s="2">
        <v>4.2104999999999997</v>
      </c>
      <c r="W7" s="1">
        <v>-150</v>
      </c>
      <c r="X7" s="2">
        <v>-28.628</v>
      </c>
      <c r="Y7" s="2">
        <v>-7.1440999999999999</v>
      </c>
      <c r="Z7" s="2">
        <v>-8.9603999999999999</v>
      </c>
      <c r="AA7" s="2">
        <v>-4.2069999999999999</v>
      </c>
      <c r="AD7" s="1">
        <v>150</v>
      </c>
      <c r="AE7" s="14">
        <v>28.371842253013401</v>
      </c>
      <c r="AF7" s="14">
        <v>5.9991598303111298</v>
      </c>
      <c r="AG7" s="14">
        <v>9.3648172478275598</v>
      </c>
      <c r="AH7" s="14">
        <v>4.5871941165474004</v>
      </c>
    </row>
    <row r="8" spans="1:34">
      <c r="A8" s="13" t="s">
        <v>105</v>
      </c>
      <c r="B8" s="16">
        <v>0.1</v>
      </c>
      <c r="C8" s="2">
        <v>-0.4521</v>
      </c>
      <c r="D8" s="2">
        <v>-0.23880000000000001</v>
      </c>
      <c r="E8" s="2">
        <v>0.60019999999999996</v>
      </c>
      <c r="F8" s="2">
        <v>-0.33760000000000001</v>
      </c>
      <c r="L8" s="13" t="s">
        <v>106</v>
      </c>
      <c r="M8" s="1">
        <v>50</v>
      </c>
      <c r="N8" s="2">
        <v>-1.09E-2</v>
      </c>
      <c r="O8" s="2">
        <v>2.2210000000000001</v>
      </c>
      <c r="P8" s="2">
        <v>4.2099000000000002</v>
      </c>
      <c r="Q8" s="2">
        <v>1.3143</v>
      </c>
      <c r="R8" s="1">
        <f>N9/N8</f>
        <v>1</v>
      </c>
      <c r="S8" s="1">
        <f>O9/O8</f>
        <v>2.0024313372354796</v>
      </c>
      <c r="T8" s="1">
        <f>P9/P8</f>
        <v>1.9991448727998289</v>
      </c>
      <c r="U8" s="1">
        <f>Q9/Q8</f>
        <v>1.9987065357985239</v>
      </c>
      <c r="W8" s="13" t="s">
        <v>106</v>
      </c>
      <c r="AC8" s="13" t="s">
        <v>106</v>
      </c>
      <c r="AD8" s="1">
        <v>50</v>
      </c>
      <c r="AE8" s="14">
        <v>-0.45208608752866197</v>
      </c>
      <c r="AF8" s="14">
        <v>1.0135897024231599</v>
      </c>
      <c r="AG8" s="14">
        <v>4.8920784623521101</v>
      </c>
      <c r="AH8" s="14">
        <v>1.5028784511705899</v>
      </c>
    </row>
    <row r="9" spans="1:34">
      <c r="B9" s="1">
        <v>0.4</v>
      </c>
      <c r="C9" s="2">
        <v>-0.4521</v>
      </c>
      <c r="D9" s="2">
        <v>3.5548999999999999</v>
      </c>
      <c r="E9" s="2">
        <v>0.60019999999999996</v>
      </c>
      <c r="F9" s="2">
        <v>-2.7602000000000002</v>
      </c>
      <c r="M9" s="1">
        <v>100</v>
      </c>
      <c r="N9" s="2">
        <v>-1.09E-2</v>
      </c>
      <c r="O9" s="2">
        <v>4.4474</v>
      </c>
      <c r="P9" s="2">
        <v>8.4161999999999999</v>
      </c>
      <c r="Q9" s="2">
        <v>2.6269</v>
      </c>
      <c r="R9" s="1">
        <f>N10/N8</f>
        <v>1</v>
      </c>
      <c r="S9" s="1">
        <f>O10/O8</f>
        <v>3.0048176497073391</v>
      </c>
      <c r="T9" s="1">
        <f>P10/P8</f>
        <v>2.9982897455996578</v>
      </c>
      <c r="U9" s="1">
        <f>Q10/Q8</f>
        <v>2.9974130715970477</v>
      </c>
      <c r="W9" s="1">
        <v>-100</v>
      </c>
      <c r="X9" s="2">
        <v>-1.09E-2</v>
      </c>
      <c r="Y9" s="2">
        <v>-4.4581</v>
      </c>
      <c r="Z9" s="14">
        <v>-8.4090000000000007</v>
      </c>
      <c r="AA9" s="2">
        <v>-2.6234000000000002</v>
      </c>
      <c r="AD9" s="1">
        <v>100</v>
      </c>
      <c r="AE9" s="14">
        <v>-0.45208608752866197</v>
      </c>
      <c r="AF9" s="14">
        <v>3.11368339546173</v>
      </c>
      <c r="AG9" s="14">
        <v>9.1839655666759992</v>
      </c>
      <c r="AH9" s="14">
        <v>2.8020983417835699</v>
      </c>
    </row>
    <row r="10" spans="1:34">
      <c r="B10" s="1">
        <v>0.7</v>
      </c>
      <c r="C10" s="2">
        <v>-0.4521</v>
      </c>
      <c r="D10" s="2">
        <v>11.3803</v>
      </c>
      <c r="E10" s="2">
        <v>0.60019999999999996</v>
      </c>
      <c r="F10" s="2">
        <v>-7.7572999999999999</v>
      </c>
      <c r="M10" s="1">
        <v>150</v>
      </c>
      <c r="N10" s="2">
        <v>-1.09E-2</v>
      </c>
      <c r="O10" s="2">
        <v>6.6737000000000002</v>
      </c>
      <c r="P10" s="2">
        <v>12.6225</v>
      </c>
      <c r="Q10" s="2">
        <v>3.9394999999999998</v>
      </c>
      <c r="W10" s="1">
        <v>-150</v>
      </c>
      <c r="X10" s="14">
        <v>-1.09E-2</v>
      </c>
      <c r="Y10" s="14">
        <v>-6.6844000000000001</v>
      </c>
      <c r="Z10" s="2">
        <v>-12.6153</v>
      </c>
      <c r="AA10" s="14">
        <v>-3.9359999999999999</v>
      </c>
      <c r="AD10" s="1">
        <v>150</v>
      </c>
      <c r="AE10" s="14">
        <v>-0.45208608752866197</v>
      </c>
      <c r="AF10" s="14">
        <v>5.2137770885003203</v>
      </c>
      <c r="AG10" s="14">
        <v>13.475852670999901</v>
      </c>
      <c r="AH10" s="14">
        <v>4.1013182323965403</v>
      </c>
    </row>
    <row r="11" spans="1:34">
      <c r="A11" s="13" t="s">
        <v>107</v>
      </c>
      <c r="B11" s="16">
        <v>0.1</v>
      </c>
      <c r="C11" s="2">
        <v>0.45739999999999997</v>
      </c>
      <c r="D11" s="2">
        <v>-1.2178</v>
      </c>
      <c r="E11" s="2">
        <v>0.43780000000000002</v>
      </c>
      <c r="F11" s="2">
        <v>0.1225</v>
      </c>
      <c r="L11" s="13" t="s">
        <v>108</v>
      </c>
      <c r="M11" s="1">
        <v>50</v>
      </c>
      <c r="N11" s="2">
        <v>-1.09E-2</v>
      </c>
      <c r="O11" s="2">
        <v>5.5221999999999998</v>
      </c>
      <c r="P11" s="2">
        <v>3.5999999999999999E-3</v>
      </c>
      <c r="Q11" s="2">
        <v>11.177899999999999</v>
      </c>
      <c r="R11" s="1">
        <f>N12/N11</f>
        <v>1</v>
      </c>
      <c r="S11" s="1">
        <f>O12/O11</f>
        <v>2.0009778711383146</v>
      </c>
      <c r="T11" s="1">
        <f>P12/P11</f>
        <v>1</v>
      </c>
      <c r="U11" s="1">
        <f>Q12/Q11</f>
        <v>1.9998389679635711</v>
      </c>
      <c r="W11" s="13" t="s">
        <v>108</v>
      </c>
      <c r="AC11" s="13" t="s">
        <v>108</v>
      </c>
      <c r="AD11" s="1">
        <v>50</v>
      </c>
      <c r="AE11" s="14">
        <v>-0.45208608752866197</v>
      </c>
      <c r="AF11" s="14">
        <v>4.5795901920702304</v>
      </c>
      <c r="AG11" s="14">
        <v>0.60019135802822399</v>
      </c>
      <c r="AH11" s="14">
        <v>11.2913320719832</v>
      </c>
    </row>
    <row r="12" spans="1:34">
      <c r="B12" s="1">
        <v>0.4</v>
      </c>
      <c r="C12" s="2">
        <v>5.1203000000000003</v>
      </c>
      <c r="D12" s="2">
        <v>-1.8907</v>
      </c>
      <c r="E12" s="2">
        <v>-0.39460000000000001</v>
      </c>
      <c r="F12" s="2">
        <v>-0.29389999999999999</v>
      </c>
      <c r="M12" s="1">
        <v>100</v>
      </c>
      <c r="N12" s="2">
        <v>-1.09E-2</v>
      </c>
      <c r="O12" s="2">
        <v>11.049799999999999</v>
      </c>
      <c r="P12" s="2">
        <v>3.5999999999999999E-3</v>
      </c>
      <c r="Q12" s="2">
        <v>22.353999999999999</v>
      </c>
      <c r="R12" s="1">
        <f>N13/N11</f>
        <v>1</v>
      </c>
      <c r="S12" s="1">
        <f>O13/O11</f>
        <v>3.0019557422766292</v>
      </c>
      <c r="T12" s="1">
        <f>P13/P11</f>
        <v>1</v>
      </c>
      <c r="U12" s="1">
        <f>Q13/Q11</f>
        <v>2.9996868821513885</v>
      </c>
      <c r="W12" s="1">
        <v>-100</v>
      </c>
      <c r="X12" s="14">
        <v>-1.09E-2</v>
      </c>
      <c r="Y12" s="14">
        <v>-11.060499999999999</v>
      </c>
      <c r="Z12" s="14">
        <v>3.5999999999999999E-3</v>
      </c>
      <c r="AA12" s="14">
        <v>-22.3505</v>
      </c>
      <c r="AD12" s="1">
        <v>100</v>
      </c>
      <c r="AE12" s="14">
        <v>-0.45208608752866197</v>
      </c>
      <c r="AF12" s="14">
        <v>10.2456843747558</v>
      </c>
      <c r="AG12" s="14">
        <v>0.60019135802822399</v>
      </c>
      <c r="AH12" s="14">
        <v>22.379005583408802</v>
      </c>
    </row>
    <row r="13" spans="1:34">
      <c r="B13" s="1">
        <v>0.7</v>
      </c>
      <c r="C13" s="2">
        <v>18.684999999999999</v>
      </c>
      <c r="D13" s="2">
        <v>-3.8483000000000001</v>
      </c>
      <c r="E13" s="2">
        <v>-2.8159999999999998</v>
      </c>
      <c r="F13" s="2">
        <v>-1.5048999999999999</v>
      </c>
      <c r="M13" s="1">
        <v>150</v>
      </c>
      <c r="N13" s="2">
        <v>-1.09E-2</v>
      </c>
      <c r="O13" s="2">
        <v>16.577400000000001</v>
      </c>
      <c r="P13" s="2">
        <v>3.5999999999999999E-3</v>
      </c>
      <c r="Q13" s="2">
        <v>33.530200000000001</v>
      </c>
      <c r="R13" s="28" t="s">
        <v>134</v>
      </c>
      <c r="S13" s="29"/>
      <c r="T13" s="29"/>
      <c r="U13" s="29"/>
      <c r="W13" s="1">
        <v>-150</v>
      </c>
      <c r="X13" s="2">
        <v>-1.09E-2</v>
      </c>
      <c r="Y13" s="2">
        <v>-16.588100000000001</v>
      </c>
      <c r="Z13" s="2">
        <v>3.5999999999999999E-3</v>
      </c>
      <c r="AA13" s="2">
        <v>-33.526600000000002</v>
      </c>
      <c r="AD13" s="1">
        <v>150</v>
      </c>
      <c r="AE13" s="14">
        <v>-0.45208608752866197</v>
      </c>
      <c r="AF13" s="14">
        <v>15.911778557441499</v>
      </c>
      <c r="AG13" s="14">
        <v>0.60019135802822399</v>
      </c>
      <c r="AH13" s="14">
        <v>33.466679094834397</v>
      </c>
    </row>
    <row r="14" spans="1:34">
      <c r="A14" s="13" t="s">
        <v>109</v>
      </c>
      <c r="B14" s="16">
        <v>0.1</v>
      </c>
      <c r="C14" s="2">
        <v>-0.4521</v>
      </c>
      <c r="D14" s="2">
        <v>-0.55640000000000001</v>
      </c>
      <c r="E14" s="2">
        <v>-6.7000000000000002E-3</v>
      </c>
      <c r="F14" s="2">
        <v>0.53159999999999996</v>
      </c>
      <c r="L14" s="13" t="s">
        <v>110</v>
      </c>
      <c r="M14" s="1">
        <v>5</v>
      </c>
      <c r="N14" s="14">
        <v>13.2135259856201</v>
      </c>
      <c r="O14" s="14">
        <v>1.54219309919023</v>
      </c>
      <c r="P14" s="14">
        <v>1.94684274259038</v>
      </c>
      <c r="Q14" s="14">
        <v>0.91413475861563298</v>
      </c>
      <c r="AC14" s="13" t="s">
        <v>110</v>
      </c>
      <c r="AD14" s="1">
        <v>5</v>
      </c>
      <c r="AE14" s="14"/>
      <c r="AF14" s="14"/>
      <c r="AG14" s="14"/>
      <c r="AH14" s="14"/>
    </row>
    <row r="15" spans="1:34">
      <c r="B15" s="1">
        <v>0.4</v>
      </c>
      <c r="C15" s="2">
        <v>-0.4521</v>
      </c>
      <c r="D15" s="2">
        <v>2.0364</v>
      </c>
      <c r="E15" s="2">
        <v>-2.9754</v>
      </c>
      <c r="F15" s="2">
        <v>2.1356000000000002</v>
      </c>
      <c r="M15" s="1">
        <v>-5</v>
      </c>
      <c r="N15" s="14">
        <v>-16.712506538494999</v>
      </c>
      <c r="O15" s="14">
        <v>-3.21588839563108</v>
      </c>
      <c r="P15" s="14">
        <v>-4.0277888218017797</v>
      </c>
      <c r="Q15" s="14">
        <v>-1.8910447406142199</v>
      </c>
      <c r="AD15" s="1">
        <v>-5</v>
      </c>
      <c r="AE15" s="14"/>
      <c r="AF15" s="14"/>
      <c r="AG15" s="14"/>
      <c r="AH15" s="14"/>
    </row>
    <row r="16" spans="1:34">
      <c r="B16" s="1">
        <v>0.7</v>
      </c>
      <c r="C16" s="2">
        <v>-0.4521</v>
      </c>
      <c r="D16" s="2">
        <v>8.3725000000000005</v>
      </c>
      <c r="E16" s="2">
        <v>-10.2301</v>
      </c>
      <c r="F16" s="2">
        <v>6.0555000000000003</v>
      </c>
      <c r="M16" s="1">
        <v>10</v>
      </c>
      <c r="N16" s="14">
        <v>22.180296957904901</v>
      </c>
      <c r="O16" s="14">
        <v>2.4079125340188101</v>
      </c>
      <c r="P16" s="14">
        <v>3.03391007797206</v>
      </c>
      <c r="Q16" s="14">
        <v>1.42452925813103</v>
      </c>
      <c r="R16" s="1">
        <f>N16/N14</f>
        <v>1.6786054670072983</v>
      </c>
      <c r="S16" s="1">
        <f>O16/O14</f>
        <v>1.5613560554013304</v>
      </c>
      <c r="T16" s="1">
        <f>P16/P14</f>
        <v>1.5583744961009423</v>
      </c>
      <c r="U16" s="1">
        <f>Q16/Q14</f>
        <v>1.5583361694815534</v>
      </c>
      <c r="X16" s="15"/>
      <c r="Y16" s="15"/>
      <c r="Z16" s="15"/>
      <c r="AA16" s="15"/>
      <c r="AD16" s="1">
        <v>10</v>
      </c>
      <c r="AE16" s="14"/>
      <c r="AF16" s="14"/>
      <c r="AG16" s="14"/>
      <c r="AH16" s="14"/>
    </row>
    <row r="17" spans="1:34">
      <c r="A17" s="13" t="s">
        <v>111</v>
      </c>
      <c r="B17" s="16">
        <v>0.1</v>
      </c>
      <c r="C17" s="2">
        <v>-0.4521</v>
      </c>
      <c r="D17" s="2">
        <v>-0.75519999999999998</v>
      </c>
      <c r="E17" s="2">
        <v>0.60019999999999996</v>
      </c>
      <c r="F17" s="2">
        <v>-7.9000000000000008E-3</v>
      </c>
      <c r="L17" s="13" t="s">
        <v>112</v>
      </c>
      <c r="M17" s="1">
        <v>5</v>
      </c>
      <c r="N17" s="14">
        <v>-1.57583476910292</v>
      </c>
      <c r="O17" s="14">
        <v>-2.56542467657103</v>
      </c>
      <c r="P17" s="14">
        <v>-6.5617269188617797</v>
      </c>
      <c r="Q17" s="14">
        <v>-1.5075566653758199</v>
      </c>
      <c r="X17" s="15"/>
      <c r="Y17" s="15"/>
      <c r="Z17" s="15"/>
      <c r="AA17" s="15"/>
      <c r="AC17" s="13" t="s">
        <v>112</v>
      </c>
      <c r="AD17" s="1">
        <v>5</v>
      </c>
      <c r="AE17" s="14"/>
      <c r="AF17" s="14"/>
      <c r="AG17" s="14"/>
      <c r="AH17" s="14"/>
    </row>
    <row r="18" spans="1:34">
      <c r="B18" s="1">
        <v>0.4</v>
      </c>
      <c r="C18" s="2">
        <v>-0.4521</v>
      </c>
      <c r="D18" s="2">
        <v>0.86150000000000004</v>
      </c>
      <c r="E18" s="2">
        <v>0.60019999999999996</v>
      </c>
      <c r="F18" s="2">
        <v>-1.0403</v>
      </c>
      <c r="M18" s="1">
        <v>-5</v>
      </c>
      <c r="N18" s="14">
        <v>2.6784777376719702</v>
      </c>
      <c r="O18" s="14">
        <v>3.7802270874974799</v>
      </c>
      <c r="P18" s="14">
        <v>8.6029779984609007</v>
      </c>
      <c r="Q18" s="14">
        <v>2.2335924715223401</v>
      </c>
      <c r="X18" s="15"/>
      <c r="Y18" s="15"/>
      <c r="Z18" s="15"/>
      <c r="AA18" s="15"/>
      <c r="AD18" s="1">
        <v>-5</v>
      </c>
      <c r="AE18" s="14"/>
      <c r="AF18" s="14"/>
      <c r="AG18" s="14"/>
      <c r="AH18" s="14"/>
    </row>
    <row r="19" spans="1:34">
      <c r="B19" s="1">
        <v>0.7</v>
      </c>
      <c r="C19" s="2">
        <v>-0.4521</v>
      </c>
      <c r="D19" s="2">
        <v>5.2519999999999998</v>
      </c>
      <c r="E19" s="2">
        <v>0.60019999999999996</v>
      </c>
      <c r="F19" s="2">
        <v>-3.8439000000000001</v>
      </c>
      <c r="M19" s="1">
        <v>10</v>
      </c>
      <c r="N19" s="14">
        <v>-2.59361789798221</v>
      </c>
      <c r="O19" s="14">
        <v>-4.3922547902220703</v>
      </c>
      <c r="P19" s="14">
        <v>-11.610779173219401</v>
      </c>
      <c r="Q19" s="14">
        <v>-2.58458455109181</v>
      </c>
      <c r="R19" s="1">
        <f>N19/N17</f>
        <v>1.6458691918942023</v>
      </c>
      <c r="S19" s="1">
        <f>O19/O17</f>
        <v>1.7120965703396904</v>
      </c>
      <c r="T19" s="1">
        <f>P19/P17</f>
        <v>1.7694700368959346</v>
      </c>
      <c r="U19" s="1">
        <f>Q19/Q17</f>
        <v>1.7144195043889092</v>
      </c>
      <c r="X19" s="15"/>
      <c r="Y19" s="15"/>
      <c r="Z19" s="15"/>
      <c r="AA19" s="15"/>
      <c r="AD19" s="1">
        <v>10</v>
      </c>
      <c r="AE19" s="14"/>
      <c r="AF19" s="14"/>
      <c r="AG19" s="14"/>
      <c r="AH19" s="14"/>
    </row>
    <row r="20" spans="1:34">
      <c r="L20" s="13" t="s">
        <v>114</v>
      </c>
      <c r="M20" s="1">
        <v>5</v>
      </c>
      <c r="N20" s="14">
        <v>-1.08512107889858E-2</v>
      </c>
      <c r="O20" s="14">
        <v>10.791834894996001</v>
      </c>
      <c r="P20" s="14">
        <v>2.5176060061186001</v>
      </c>
      <c r="Q20" s="14">
        <v>3.9378845208378399</v>
      </c>
      <c r="X20" s="15"/>
      <c r="Y20" s="15"/>
      <c r="Z20" s="15"/>
      <c r="AA20" s="15"/>
      <c r="AC20" s="13" t="s">
        <v>114</v>
      </c>
      <c r="AD20" s="1">
        <v>5</v>
      </c>
      <c r="AE20" s="14"/>
      <c r="AF20" s="14"/>
      <c r="AG20" s="14"/>
      <c r="AH20" s="14"/>
    </row>
    <row r="21" spans="1:34">
      <c r="M21" s="1">
        <v>-5</v>
      </c>
      <c r="N21" s="14">
        <v>-1.08512107889858E-2</v>
      </c>
      <c r="O21" s="14">
        <v>-12.773510510825499</v>
      </c>
      <c r="P21" s="14">
        <v>-4.4235238064802802</v>
      </c>
      <c r="Q21" s="14">
        <v>-5.1922862114355803</v>
      </c>
      <c r="X21" s="15"/>
      <c r="Y21" s="15"/>
      <c r="Z21" s="15"/>
      <c r="AA21" s="15"/>
      <c r="AD21" s="1">
        <v>-5</v>
      </c>
      <c r="AE21" s="14"/>
      <c r="AF21" s="14"/>
      <c r="AG21" s="14"/>
      <c r="AH21" s="14"/>
    </row>
    <row r="22" spans="1:34">
      <c r="A22" s="13" t="s">
        <v>113</v>
      </c>
      <c r="B22" s="1">
        <v>10</v>
      </c>
      <c r="C22" s="2"/>
      <c r="D22" s="2"/>
      <c r="E22" s="2"/>
      <c r="F22" s="2"/>
      <c r="M22" s="1">
        <v>10</v>
      </c>
      <c r="N22" s="14">
        <v>-1.08512107889858E-2</v>
      </c>
      <c r="O22" s="14">
        <v>19.429900483375999</v>
      </c>
      <c r="P22" s="14">
        <v>4.1033851162705997</v>
      </c>
      <c r="Q22" s="14">
        <v>6.8831446166661596</v>
      </c>
      <c r="R22" s="1">
        <f>N22/N20</f>
        <v>1</v>
      </c>
      <c r="S22" s="1">
        <f>O22/O20</f>
        <v>1.800426032498452</v>
      </c>
      <c r="T22" s="1">
        <f>P22/P20</f>
        <v>1.629875805149035</v>
      </c>
      <c r="U22" s="1">
        <f>Q22/Q20</f>
        <v>1.7479295241501076</v>
      </c>
      <c r="X22" s="15"/>
      <c r="Y22" s="15"/>
      <c r="Z22" s="15"/>
      <c r="AA22" s="15"/>
      <c r="AD22" s="1">
        <v>10</v>
      </c>
      <c r="AE22" s="14"/>
      <c r="AF22" s="14"/>
      <c r="AG22" s="14"/>
      <c r="AH22" s="14"/>
    </row>
    <row r="23" spans="1:34">
      <c r="A23" s="1" t="s">
        <v>115</v>
      </c>
      <c r="B23" s="1">
        <v>100</v>
      </c>
      <c r="C23" s="2"/>
      <c r="D23" s="2"/>
      <c r="E23" s="2"/>
      <c r="F23" s="2"/>
      <c r="L23" s="13" t="s">
        <v>116</v>
      </c>
      <c r="M23" s="1">
        <v>5</v>
      </c>
      <c r="N23" s="14">
        <v>-1.08512107889858E-2</v>
      </c>
      <c r="O23" s="14">
        <v>-0.40838239367116103</v>
      </c>
      <c r="P23" s="14">
        <v>3.6282196019296201E-3</v>
      </c>
      <c r="Q23" s="14">
        <v>-2.2988932802997302</v>
      </c>
      <c r="X23" s="15"/>
      <c r="Y23" s="15"/>
      <c r="Z23" s="15"/>
      <c r="AA23" s="15"/>
      <c r="AC23" s="13" t="s">
        <v>116</v>
      </c>
      <c r="AD23" s="1">
        <v>5</v>
      </c>
      <c r="AE23" s="14"/>
      <c r="AF23" s="14"/>
      <c r="AG23" s="14"/>
      <c r="AH23" s="14"/>
    </row>
    <row r="24" spans="1:34">
      <c r="B24" s="1">
        <v>1000</v>
      </c>
      <c r="C24" s="2"/>
      <c r="D24" s="2"/>
      <c r="E24" s="2"/>
      <c r="F24" s="2"/>
      <c r="M24" s="1">
        <v>-5</v>
      </c>
      <c r="N24" s="14">
        <v>-1.08512107889858E-2</v>
      </c>
      <c r="O24" s="14">
        <v>0.553777361945194</v>
      </c>
      <c r="P24" s="14">
        <v>3.6282196019296201E-3</v>
      </c>
      <c r="Q24" s="14">
        <v>3.1030830531720999</v>
      </c>
      <c r="X24" s="15"/>
      <c r="Y24" s="15"/>
      <c r="Z24" s="15"/>
      <c r="AA24" s="15"/>
      <c r="AD24" s="1">
        <v>-5</v>
      </c>
      <c r="AE24" s="14"/>
      <c r="AF24" s="14"/>
      <c r="AG24" s="14"/>
      <c r="AH24" s="14"/>
    </row>
    <row r="25" spans="1:34">
      <c r="M25" s="1">
        <v>10</v>
      </c>
      <c r="N25" s="14">
        <v>-1.08512107889858E-2</v>
      </c>
      <c r="O25" s="14">
        <v>-0.71252246216741399</v>
      </c>
      <c r="P25" s="14">
        <v>3.6282196019093199E-3</v>
      </c>
      <c r="Q25" s="14">
        <v>-4.0717524822049604</v>
      </c>
      <c r="R25" s="1">
        <f>N25/N23</f>
        <v>1</v>
      </c>
      <c r="S25" s="1">
        <f>O25/O23</f>
        <v>1.7447433415583375</v>
      </c>
      <c r="T25" s="1">
        <f>P25/P23</f>
        <v>0.99999999999440492</v>
      </c>
      <c r="U25" s="1">
        <f>Q25/Q23</f>
        <v>1.7711794266822531</v>
      </c>
      <c r="X25" s="15"/>
      <c r="Y25" s="15"/>
      <c r="Z25" s="15"/>
      <c r="AA25" s="15"/>
      <c r="AD25" s="1">
        <v>10</v>
      </c>
      <c r="AE25" s="14"/>
      <c r="AF25" s="14"/>
      <c r="AG25" s="14"/>
      <c r="AH25" s="14"/>
    </row>
    <row r="26" spans="1:34">
      <c r="X26" s="15"/>
      <c r="Y26" s="15"/>
      <c r="Z26" s="15"/>
      <c r="AA26" s="15"/>
    </row>
    <row r="27" spans="1:34">
      <c r="B27" s="17" t="s">
        <v>117</v>
      </c>
      <c r="C27" s="1">
        <v>-0.4521</v>
      </c>
      <c r="D27" s="1">
        <v>-1.0865</v>
      </c>
      <c r="E27" s="1">
        <v>0.60019999999999996</v>
      </c>
      <c r="F27" s="1">
        <v>0.20369999999999999</v>
      </c>
      <c r="L27" s="1" t="s">
        <v>132</v>
      </c>
      <c r="N27" s="1">
        <v>-1.09E-2</v>
      </c>
      <c r="O27" s="1">
        <v>-5.3E-3</v>
      </c>
      <c r="P27" s="1">
        <v>3.5999999999999999E-3</v>
      </c>
      <c r="Q27" s="1">
        <v>1.8E-3</v>
      </c>
      <c r="X27" s="15"/>
      <c r="Y27" s="15"/>
      <c r="Z27" s="15"/>
      <c r="AA27" s="15"/>
      <c r="AD27" s="17" t="s">
        <v>117</v>
      </c>
      <c r="AE27" s="1">
        <v>-0.4521</v>
      </c>
      <c r="AF27" s="1">
        <v>-1.0865</v>
      </c>
      <c r="AG27" s="1">
        <v>0.60019999999999996</v>
      </c>
      <c r="AH27" s="1">
        <v>0.20369999999999999</v>
      </c>
    </row>
    <row r="28" spans="1:34">
      <c r="AD28" s="1" t="s">
        <v>133</v>
      </c>
    </row>
    <row r="30" spans="1:34">
      <c r="C30" s="1">
        <v>385</v>
      </c>
      <c r="D30" s="1">
        <v>400</v>
      </c>
      <c r="E30" s="1">
        <v>560</v>
      </c>
      <c r="F30" s="1">
        <v>340</v>
      </c>
    </row>
    <row r="31" spans="1:34">
      <c r="A31" s="12" t="s">
        <v>95</v>
      </c>
      <c r="C31" s="12" t="s">
        <v>96</v>
      </c>
      <c r="D31" s="12" t="s">
        <v>97</v>
      </c>
      <c r="E31" s="12" t="s">
        <v>98</v>
      </c>
      <c r="F31" s="12" t="s">
        <v>99</v>
      </c>
    </row>
    <row r="32" spans="1:34">
      <c r="A32" s="13" t="s">
        <v>101</v>
      </c>
      <c r="B32" s="1">
        <v>0.1</v>
      </c>
      <c r="C32" s="2">
        <f>C2*$C$30/100</f>
        <v>10.39269</v>
      </c>
      <c r="D32" s="2">
        <f>D2*$D$30/100</f>
        <v>-6.1651999999999996</v>
      </c>
      <c r="E32" s="2">
        <f>E2*$E$30/100</f>
        <v>0.21056</v>
      </c>
      <c r="F32" s="2">
        <f>F2*$F$30/100</f>
        <v>-0.26418000000000003</v>
      </c>
      <c r="G32" s="1">
        <f>C32/$B$2</f>
        <v>103.92689999999999</v>
      </c>
      <c r="H32" s="1">
        <f>D32/$B$2</f>
        <v>-61.651999999999994</v>
      </c>
      <c r="I32" s="1">
        <f>E32/$B$2</f>
        <v>2.1055999999999999</v>
      </c>
      <c r="J32" s="1">
        <f>F32/$B$2</f>
        <v>-2.6417999999999999</v>
      </c>
      <c r="L32" s="1">
        <f t="shared" ref="L32:O33" si="0">(C33-C32)/($B33-$B32)</f>
        <v>167.45959999999999</v>
      </c>
      <c r="M32" s="1">
        <f t="shared" si="0"/>
        <v>-25.109333333333332</v>
      </c>
      <c r="N32" s="1">
        <f t="shared" si="0"/>
        <v>-43.482133333333316</v>
      </c>
      <c r="O32" s="1">
        <f t="shared" si="0"/>
        <v>-13.203333333333331</v>
      </c>
    </row>
    <row r="33" spans="1:15">
      <c r="B33" s="1">
        <v>0.4</v>
      </c>
      <c r="C33" s="2">
        <f>C3*$C$30/100</f>
        <v>60.630570000000006</v>
      </c>
      <c r="D33" s="2">
        <f>D3*$D$30/100</f>
        <v>-13.698</v>
      </c>
      <c r="E33" s="2">
        <f>E3*$E$30/100</f>
        <v>-12.834079999999998</v>
      </c>
      <c r="F33" s="2">
        <f>F3*$F$30/100</f>
        <v>-4.2251799999999999</v>
      </c>
      <c r="G33" s="1">
        <f>C33/$B$3</f>
        <v>151.576425</v>
      </c>
      <c r="H33" s="1">
        <f>D33/$B$3</f>
        <v>-34.244999999999997</v>
      </c>
      <c r="I33" s="1">
        <f>E33/$B$3</f>
        <v>-32.085199999999993</v>
      </c>
      <c r="J33" s="1">
        <f>F33/$B$3</f>
        <v>-10.562949999999999</v>
      </c>
      <c r="L33" s="1">
        <f t="shared" si="0"/>
        <v>262.86260000000004</v>
      </c>
      <c r="M33" s="1">
        <f t="shared" si="0"/>
        <v>-39.413333333333334</v>
      </c>
      <c r="N33" s="1">
        <f t="shared" si="0"/>
        <v>-68.252800000000036</v>
      </c>
      <c r="O33" s="1">
        <f t="shared" si="0"/>
        <v>-20.72526666666667</v>
      </c>
    </row>
    <row r="34" spans="1:15">
      <c r="B34" s="1">
        <v>0.7</v>
      </c>
      <c r="C34" s="2">
        <f>C4*$C$30/100</f>
        <v>139.48935</v>
      </c>
      <c r="D34" s="2">
        <f>D4*$D$30/100</f>
        <v>-25.521999999999998</v>
      </c>
      <c r="E34" s="2">
        <f>E4*$E$30/100</f>
        <v>-33.309920000000005</v>
      </c>
      <c r="F34" s="2">
        <f>F4*$F$30/100</f>
        <v>-10.44276</v>
      </c>
      <c r="G34" s="1">
        <f>C34/$B$4</f>
        <v>199.27050000000003</v>
      </c>
      <c r="H34" s="1">
        <f>D34/$B$4</f>
        <v>-36.46</v>
      </c>
      <c r="I34" s="1">
        <f>E34/$B$4</f>
        <v>-47.585600000000014</v>
      </c>
      <c r="J34" s="1">
        <f>F34/$B$4</f>
        <v>-14.918228571428573</v>
      </c>
    </row>
    <row r="35" spans="1:15">
      <c r="A35" s="13" t="s">
        <v>103</v>
      </c>
      <c r="B35" s="16">
        <v>0.1</v>
      </c>
      <c r="C35" s="2">
        <v>-0.4521</v>
      </c>
      <c r="D35" s="2">
        <v>-0.1986</v>
      </c>
      <c r="E35" s="2">
        <v>-0.41639999999999999</v>
      </c>
      <c r="F35" s="2">
        <v>0.753</v>
      </c>
      <c r="G35" s="1">
        <f>C35/$B$2</f>
        <v>-4.5209999999999999</v>
      </c>
      <c r="H35" s="1">
        <f>D35/$B$2</f>
        <v>-1.986</v>
      </c>
      <c r="I35" s="1">
        <f>E35/$B$2</f>
        <v>-4.1639999999999997</v>
      </c>
      <c r="J35" s="1">
        <f>F35/$B$2</f>
        <v>7.5299999999999994</v>
      </c>
      <c r="L35" s="1">
        <f t="shared" ref="L35:O36" si="1">(C36-C35)/($B36-$B35)</f>
        <v>0</v>
      </c>
      <c r="M35" s="1">
        <f t="shared" si="1"/>
        <v>13.181666666666665</v>
      </c>
      <c r="N35" s="1">
        <f t="shared" si="1"/>
        <v>-15.092666666666664</v>
      </c>
      <c r="O35" s="1">
        <f t="shared" si="1"/>
        <v>8.1546666666666638</v>
      </c>
    </row>
    <row r="36" spans="1:15">
      <c r="B36" s="1">
        <v>0.4</v>
      </c>
      <c r="C36" s="2">
        <v>-0.4521</v>
      </c>
      <c r="D36" s="2">
        <v>3.7559</v>
      </c>
      <c r="E36" s="2">
        <v>-4.9442000000000004</v>
      </c>
      <c r="F36" s="2">
        <v>3.1993999999999998</v>
      </c>
      <c r="G36" s="1">
        <f>C36/$B$3</f>
        <v>-1.13025</v>
      </c>
      <c r="H36" s="1">
        <f>D36/$B$3</f>
        <v>9.3897499999999994</v>
      </c>
      <c r="I36" s="1">
        <f>E36/$B$3</f>
        <v>-12.3605</v>
      </c>
      <c r="J36" s="1">
        <f>F36/$B$3</f>
        <v>7.9984999999999991</v>
      </c>
      <c r="L36" s="1">
        <f t="shared" si="1"/>
        <v>0</v>
      </c>
      <c r="M36" s="1">
        <f t="shared" si="1"/>
        <v>24.532666666666671</v>
      </c>
      <c r="N36" s="1">
        <f t="shared" si="1"/>
        <v>-28.089000000000006</v>
      </c>
      <c r="O36" s="1">
        <f t="shared" si="1"/>
        <v>15.177000000000005</v>
      </c>
    </row>
    <row r="37" spans="1:15">
      <c r="B37" s="1">
        <v>0.7</v>
      </c>
      <c r="C37" s="2">
        <v>-0.4521</v>
      </c>
      <c r="D37" s="2">
        <v>11.1157</v>
      </c>
      <c r="E37" s="2">
        <v>-13.370900000000001</v>
      </c>
      <c r="F37" s="2">
        <v>7.7525000000000004</v>
      </c>
      <c r="G37" s="1">
        <f>C37/$B$4</f>
        <v>-0.64585714285714291</v>
      </c>
      <c r="H37" s="1">
        <f>D37/$B$4</f>
        <v>15.879571428571429</v>
      </c>
      <c r="I37" s="1">
        <f>E37/$B$4</f>
        <v>-19.101285714285716</v>
      </c>
      <c r="J37" s="1">
        <f>F37/$B$4</f>
        <v>11.075000000000001</v>
      </c>
    </row>
    <row r="38" spans="1:15">
      <c r="A38" s="13" t="s">
        <v>105</v>
      </c>
      <c r="B38" s="16">
        <v>0.1</v>
      </c>
      <c r="C38" s="2">
        <v>-0.4521</v>
      </c>
      <c r="D38" s="2">
        <v>-0.23880000000000001</v>
      </c>
      <c r="E38" s="2">
        <v>0.60019999999999996</v>
      </c>
      <c r="F38" s="2">
        <v>-0.33760000000000001</v>
      </c>
      <c r="G38" s="1">
        <f>C38/$B$2</f>
        <v>-4.5209999999999999</v>
      </c>
      <c r="H38" s="1">
        <f>D38/$B$2</f>
        <v>-2.3879999999999999</v>
      </c>
      <c r="I38" s="1">
        <f>E38/$B$2</f>
        <v>6.0019999999999989</v>
      </c>
      <c r="J38" s="1">
        <f>F38/$B$2</f>
        <v>-3.3759999999999999</v>
      </c>
      <c r="L38" s="1">
        <f t="shared" ref="L38:O39" si="2">(C39-C38)/($B39-$B38)</f>
        <v>0</v>
      </c>
      <c r="M38" s="1">
        <f t="shared" si="2"/>
        <v>12.645666666666664</v>
      </c>
      <c r="N38" s="1">
        <f t="shared" si="2"/>
        <v>0</v>
      </c>
      <c r="O38" s="1">
        <f t="shared" si="2"/>
        <v>-8.075333333333333</v>
      </c>
    </row>
    <row r="39" spans="1:15">
      <c r="B39" s="1">
        <v>0.4</v>
      </c>
      <c r="C39" s="2">
        <v>-0.4521</v>
      </c>
      <c r="D39" s="2">
        <v>3.5548999999999999</v>
      </c>
      <c r="E39" s="2">
        <v>0.60019999999999996</v>
      </c>
      <c r="F39" s="2">
        <v>-2.7602000000000002</v>
      </c>
      <c r="G39" s="1">
        <f>C39/$B$3</f>
        <v>-1.13025</v>
      </c>
      <c r="H39" s="1">
        <f>D39/$B$3</f>
        <v>8.8872499999999999</v>
      </c>
      <c r="I39" s="1">
        <f>E39/$B$3</f>
        <v>1.5004999999999997</v>
      </c>
      <c r="J39" s="1">
        <f>F39/$B$3</f>
        <v>-6.9005000000000001</v>
      </c>
      <c r="L39" s="1">
        <f t="shared" si="2"/>
        <v>0</v>
      </c>
      <c r="M39" s="1">
        <f t="shared" si="2"/>
        <v>26.084666666666674</v>
      </c>
      <c r="N39" s="1">
        <f t="shared" si="2"/>
        <v>0</v>
      </c>
      <c r="O39" s="1">
        <f t="shared" si="2"/>
        <v>-16.657000000000004</v>
      </c>
    </row>
    <row r="40" spans="1:15">
      <c r="B40" s="1">
        <v>0.7</v>
      </c>
      <c r="C40" s="2">
        <v>-0.4521</v>
      </c>
      <c r="D40" s="2">
        <v>11.3803</v>
      </c>
      <c r="E40" s="2">
        <v>0.60019999999999996</v>
      </c>
      <c r="F40" s="2">
        <v>-7.7572999999999999</v>
      </c>
      <c r="G40" s="1">
        <f>C40/$B$4</f>
        <v>-0.64585714285714291</v>
      </c>
      <c r="H40" s="1">
        <f>D40/$B$4</f>
        <v>16.257571428571431</v>
      </c>
      <c r="I40" s="1">
        <f>E40/$B$4</f>
        <v>0.85742857142857143</v>
      </c>
      <c r="J40" s="1">
        <f>F40/$B$4</f>
        <v>-11.081857142857144</v>
      </c>
    </row>
    <row r="41" spans="1:15">
      <c r="A41" s="13" t="s">
        <v>107</v>
      </c>
      <c r="B41" s="16">
        <v>0.1</v>
      </c>
      <c r="C41" s="2">
        <v>0.45739999999999997</v>
      </c>
      <c r="D41" s="2">
        <v>-1.2178</v>
      </c>
      <c r="E41" s="2">
        <v>0.43780000000000002</v>
      </c>
      <c r="F41" s="2">
        <v>0.1225</v>
      </c>
      <c r="G41" s="1">
        <f>C41/$B$2</f>
        <v>4.5739999999999998</v>
      </c>
      <c r="H41" s="1">
        <f>D41/$B$2</f>
        <v>-12.177999999999999</v>
      </c>
      <c r="I41" s="1">
        <f>E41/$B$2</f>
        <v>4.3780000000000001</v>
      </c>
      <c r="J41" s="1">
        <f>F41/$B$2</f>
        <v>1.2249999999999999</v>
      </c>
      <c r="L41" s="1">
        <f t="shared" ref="L41:O42" si="3">(C42-C41)/($B42-$B41)</f>
        <v>15.542999999999999</v>
      </c>
      <c r="M41" s="1">
        <f t="shared" si="3"/>
        <v>-2.2429999999999999</v>
      </c>
      <c r="N41" s="1">
        <f t="shared" si="3"/>
        <v>-2.7746666666666662</v>
      </c>
      <c r="O41" s="1">
        <f t="shared" si="3"/>
        <v>-1.3879999999999997</v>
      </c>
    </row>
    <row r="42" spans="1:15">
      <c r="B42" s="1">
        <v>0.4</v>
      </c>
      <c r="C42" s="2">
        <v>5.1203000000000003</v>
      </c>
      <c r="D42" s="2">
        <v>-1.8907</v>
      </c>
      <c r="E42" s="2">
        <v>-0.39460000000000001</v>
      </c>
      <c r="F42" s="2">
        <v>-0.29389999999999999</v>
      </c>
      <c r="G42" s="1">
        <f>C42/$B$3</f>
        <v>12.800750000000001</v>
      </c>
      <c r="H42" s="1">
        <f>D42/$B$3</f>
        <v>-4.72675</v>
      </c>
      <c r="I42" s="1">
        <f>E42/$B$3</f>
        <v>-0.98649999999999993</v>
      </c>
      <c r="J42" s="1">
        <f>F42/$B$3</f>
        <v>-0.7347499999999999</v>
      </c>
      <c r="L42" s="1">
        <f t="shared" si="3"/>
        <v>45.215666666666671</v>
      </c>
      <c r="M42" s="1">
        <f t="shared" si="3"/>
        <v>-6.525333333333335</v>
      </c>
      <c r="N42" s="1">
        <f t="shared" si="3"/>
        <v>-8.0713333333333352</v>
      </c>
      <c r="O42" s="1">
        <f t="shared" si="3"/>
        <v>-4.0366666666666671</v>
      </c>
    </row>
    <row r="43" spans="1:15">
      <c r="B43" s="1">
        <v>0.7</v>
      </c>
      <c r="C43" s="2">
        <v>18.684999999999999</v>
      </c>
      <c r="D43" s="2">
        <v>-3.8483000000000001</v>
      </c>
      <c r="E43" s="2">
        <v>-2.8159999999999998</v>
      </c>
      <c r="F43" s="2">
        <v>-1.5048999999999999</v>
      </c>
      <c r="G43" s="1">
        <f>C43/$B$4</f>
        <v>26.692857142857143</v>
      </c>
      <c r="H43" s="1">
        <f>D43/$B$4</f>
        <v>-5.4975714285714288</v>
      </c>
      <c r="I43" s="1">
        <f>E43/$B$4</f>
        <v>-4.0228571428571431</v>
      </c>
      <c r="J43" s="1">
        <f>F43/$B$4</f>
        <v>-2.1498571428571429</v>
      </c>
    </row>
    <row r="44" spans="1:15">
      <c r="A44" s="13" t="s">
        <v>109</v>
      </c>
      <c r="B44" s="16">
        <v>0.1</v>
      </c>
      <c r="C44" s="2">
        <v>-0.4521</v>
      </c>
      <c r="D44" s="2">
        <v>-0.55640000000000001</v>
      </c>
      <c r="E44" s="2">
        <v>-6.7000000000000002E-3</v>
      </c>
      <c r="F44" s="2">
        <v>0.53159999999999996</v>
      </c>
      <c r="G44" s="1">
        <f>C44/$B$2</f>
        <v>-4.5209999999999999</v>
      </c>
      <c r="H44" s="1">
        <f>D44/$B$2</f>
        <v>-5.5640000000000001</v>
      </c>
      <c r="I44" s="1">
        <f>E44/$B$2</f>
        <v>-6.7000000000000004E-2</v>
      </c>
      <c r="J44" s="1">
        <f>F44/$B$2</f>
        <v>5.3159999999999989</v>
      </c>
      <c r="L44" s="1">
        <f t="shared" ref="L44:O45" si="4">(C45-C44)/($B45-$B44)</f>
        <v>0</v>
      </c>
      <c r="M44" s="1">
        <f t="shared" si="4"/>
        <v>8.6426666666666652</v>
      </c>
      <c r="N44" s="1">
        <f t="shared" si="4"/>
        <v>-9.8956666666666653</v>
      </c>
      <c r="O44" s="1">
        <f t="shared" si="4"/>
        <v>5.3466666666666658</v>
      </c>
    </row>
    <row r="45" spans="1:15">
      <c r="B45" s="1">
        <v>0.4</v>
      </c>
      <c r="C45" s="2">
        <v>-0.4521</v>
      </c>
      <c r="D45" s="2">
        <v>2.0364</v>
      </c>
      <c r="E45" s="2">
        <v>-2.9754</v>
      </c>
      <c r="F45" s="2">
        <v>2.1356000000000002</v>
      </c>
      <c r="G45" s="1">
        <f>C45/$B$3</f>
        <v>-1.13025</v>
      </c>
      <c r="H45" s="1">
        <f>D45/$B$3</f>
        <v>5.0909999999999993</v>
      </c>
      <c r="I45" s="1">
        <f>E45/$B$3</f>
        <v>-7.4384999999999994</v>
      </c>
      <c r="J45" s="1">
        <f>F45/$B$3</f>
        <v>5.3390000000000004</v>
      </c>
      <c r="L45" s="1">
        <f t="shared" si="4"/>
        <v>0</v>
      </c>
      <c r="M45" s="1">
        <f t="shared" si="4"/>
        <v>21.120333333333338</v>
      </c>
      <c r="N45" s="1">
        <f t="shared" si="4"/>
        <v>-24.182333333333339</v>
      </c>
      <c r="O45" s="1">
        <f t="shared" si="4"/>
        <v>13.066333333333336</v>
      </c>
    </row>
    <row r="46" spans="1:15">
      <c r="B46" s="1">
        <v>0.7</v>
      </c>
      <c r="C46" s="2">
        <v>-0.4521</v>
      </c>
      <c r="D46" s="2">
        <v>8.3725000000000005</v>
      </c>
      <c r="E46" s="2">
        <v>-10.2301</v>
      </c>
      <c r="F46" s="2">
        <v>6.0555000000000003</v>
      </c>
      <c r="G46" s="1">
        <f>C46/$B$4</f>
        <v>-0.64585714285714291</v>
      </c>
      <c r="H46" s="1">
        <f>D46/$B$4</f>
        <v>11.960714285714287</v>
      </c>
      <c r="I46" s="1">
        <f>E46/$B$4</f>
        <v>-14.614428571428572</v>
      </c>
      <c r="J46" s="1">
        <f>F46/$B$4</f>
        <v>8.6507142857142867</v>
      </c>
    </row>
    <row r="47" spans="1:15">
      <c r="A47" s="13" t="s">
        <v>111</v>
      </c>
      <c r="B47" s="16">
        <v>0.1</v>
      </c>
      <c r="C47" s="2">
        <v>-0.4521</v>
      </c>
      <c r="D47" s="2">
        <v>-0.75519999999999998</v>
      </c>
      <c r="E47" s="2">
        <v>0.60019999999999996</v>
      </c>
      <c r="F47" s="2">
        <v>-7.9000000000000008E-3</v>
      </c>
      <c r="G47" s="1">
        <f>C47/$B$2</f>
        <v>-4.5209999999999999</v>
      </c>
      <c r="H47" s="1">
        <f>D47/$B$2</f>
        <v>-7.5519999999999996</v>
      </c>
      <c r="I47" s="1">
        <f>E47/$B$2</f>
        <v>6.0019999999999989</v>
      </c>
      <c r="J47" s="1">
        <f>F47/$B$2</f>
        <v>-7.9000000000000001E-2</v>
      </c>
      <c r="L47" s="1">
        <f t="shared" ref="L47:O48" si="5">(C48-C47)/($B48-$B47)</f>
        <v>0</v>
      </c>
      <c r="M47" s="1">
        <f t="shared" si="5"/>
        <v>5.3889999999999993</v>
      </c>
      <c r="N47" s="1">
        <f t="shared" si="5"/>
        <v>0</v>
      </c>
      <c r="O47" s="1">
        <f t="shared" si="5"/>
        <v>-3.4413333333333327</v>
      </c>
    </row>
    <row r="48" spans="1:15">
      <c r="B48" s="1">
        <v>0.4</v>
      </c>
      <c r="C48" s="2">
        <v>-0.4521</v>
      </c>
      <c r="D48" s="2">
        <v>0.86150000000000004</v>
      </c>
      <c r="E48" s="2">
        <v>0.60019999999999996</v>
      </c>
      <c r="F48" s="2">
        <v>-1.0403</v>
      </c>
      <c r="G48" s="1">
        <f>C48/$B$3</f>
        <v>-1.13025</v>
      </c>
      <c r="H48" s="1">
        <f>D48/$B$3</f>
        <v>2.1537500000000001</v>
      </c>
      <c r="I48" s="1">
        <f>E48/$B$3</f>
        <v>1.5004999999999997</v>
      </c>
      <c r="J48" s="1">
        <f>F48/$B$3</f>
        <v>-2.6007499999999997</v>
      </c>
      <c r="L48" s="1">
        <f t="shared" si="5"/>
        <v>0</v>
      </c>
      <c r="M48" s="1">
        <f t="shared" si="5"/>
        <v>14.635000000000002</v>
      </c>
      <c r="N48" s="1">
        <f t="shared" si="5"/>
        <v>0</v>
      </c>
      <c r="O48" s="1">
        <f t="shared" si="5"/>
        <v>-9.3453333333333362</v>
      </c>
    </row>
    <row r="49" spans="1:10">
      <c r="B49" s="1">
        <v>0.7</v>
      </c>
      <c r="C49" s="2">
        <v>-0.4521</v>
      </c>
      <c r="D49" s="2">
        <v>5.2519999999999998</v>
      </c>
      <c r="E49" s="2">
        <v>0.60019999999999996</v>
      </c>
      <c r="F49" s="2">
        <v>-3.8439000000000001</v>
      </c>
      <c r="G49" s="1">
        <f>C49/$B$4</f>
        <v>-0.64585714285714291</v>
      </c>
      <c r="H49" s="1">
        <f>D49/$B$4</f>
        <v>7.5028571428571427</v>
      </c>
      <c r="I49" s="1">
        <f>E49/$B$4</f>
        <v>0.85742857142857143</v>
      </c>
      <c r="J49" s="1">
        <f>F49/$B$4</f>
        <v>-5.4912857142857145</v>
      </c>
    </row>
    <row r="53" spans="1:10">
      <c r="C53" s="1">
        <v>385</v>
      </c>
      <c r="D53" s="1">
        <v>400</v>
      </c>
      <c r="E53" s="1">
        <v>560</v>
      </c>
      <c r="F53" s="1">
        <v>340</v>
      </c>
    </row>
    <row r="54" spans="1:10">
      <c r="A54" s="12" t="s">
        <v>95</v>
      </c>
      <c r="C54" s="12" t="s">
        <v>96</v>
      </c>
      <c r="D54" s="12" t="s">
        <v>97</v>
      </c>
      <c r="E54" s="12" t="s">
        <v>98</v>
      </c>
      <c r="F54" s="12" t="s">
        <v>99</v>
      </c>
      <c r="G54" s="1" t="s">
        <v>135</v>
      </c>
    </row>
    <row r="55" spans="1:10">
      <c r="A55" s="13" t="s">
        <v>101</v>
      </c>
      <c r="B55" s="1">
        <v>0.1</v>
      </c>
      <c r="C55" s="14">
        <v>2.6993884898683702</v>
      </c>
      <c r="D55" s="14">
        <v>-1.5413131756041301</v>
      </c>
      <c r="E55" s="14">
        <v>3.7614236333882098E-2</v>
      </c>
      <c r="F55" s="14">
        <v>-7.7708476317702502E-2</v>
      </c>
      <c r="G55" s="1">
        <f>C56/C55</f>
        <v>2.3614969780244981</v>
      </c>
      <c r="H55" s="1">
        <f t="shared" ref="H55:J56" si="6">D56/D55</f>
        <v>1.3441173749346353</v>
      </c>
      <c r="I55" s="1">
        <f t="shared" si="6"/>
        <v>-16.442072332504623</v>
      </c>
      <c r="J55" s="1">
        <f t="shared" si="6"/>
        <v>5.2225333544146082</v>
      </c>
    </row>
    <row r="56" spans="1:10">
      <c r="B56" s="1">
        <v>0.2</v>
      </c>
      <c r="C56" s="14">
        <v>6.3745977613382703</v>
      </c>
      <c r="D56" s="14">
        <v>-2.0717058195451901</v>
      </c>
      <c r="E56" s="14">
        <v>-0.618455994533613</v>
      </c>
      <c r="F56" s="14">
        <v>-0.40583510948993901</v>
      </c>
      <c r="G56" s="1">
        <f>C57/C56</f>
        <v>2.4704663497025652</v>
      </c>
      <c r="H56" s="1">
        <f t="shared" si="6"/>
        <v>1.6529729778417568</v>
      </c>
      <c r="I56" s="1">
        <f t="shared" si="6"/>
        <v>3.7056233088446731</v>
      </c>
      <c r="J56" s="1">
        <f t="shared" si="6"/>
        <v>3.0621377348342458</v>
      </c>
    </row>
    <row r="57" spans="1:10">
      <c r="B57" s="1">
        <v>0.4</v>
      </c>
      <c r="C57" s="14">
        <v>15.748229262275499</v>
      </c>
      <c r="D57" s="14">
        <v>-3.4244737377457102</v>
      </c>
      <c r="E57" s="14">
        <v>-2.2917649488384702</v>
      </c>
      <c r="F57" s="14">
        <v>-1.24272300288973</v>
      </c>
    </row>
    <row r="58" spans="1:10">
      <c r="A58" s="13" t="s">
        <v>103</v>
      </c>
      <c r="B58" s="16">
        <v>0.1</v>
      </c>
      <c r="C58" s="14">
        <v>-0.45208608752866197</v>
      </c>
      <c r="D58" s="14">
        <v>-0.198606906561864</v>
      </c>
      <c r="E58" s="14">
        <v>-0.41642297884881202</v>
      </c>
      <c r="F58" s="14">
        <v>0.75295479255122899</v>
      </c>
      <c r="G58" s="1">
        <f t="shared" ref="G58:J59" si="7">C59/C58</f>
        <v>1</v>
      </c>
      <c r="H58" s="1">
        <f t="shared" si="7"/>
        <v>-4.3683576617980853</v>
      </c>
      <c r="I58" s="1">
        <f t="shared" si="7"/>
        <v>3.931532433563568</v>
      </c>
      <c r="J58" s="1">
        <f t="shared" si="7"/>
        <v>1.8760136590804601</v>
      </c>
    </row>
    <row r="59" spans="1:10">
      <c r="B59" s="1">
        <v>0.4</v>
      </c>
      <c r="C59" s="14">
        <v>-0.45208608752866197</v>
      </c>
      <c r="D59" s="14">
        <v>0.86758600196553504</v>
      </c>
      <c r="E59" s="14">
        <v>-1.63718044742526</v>
      </c>
      <c r="F59" s="14">
        <v>1.4125534754961999</v>
      </c>
      <c r="G59" s="1">
        <f t="shared" si="7"/>
        <v>1</v>
      </c>
      <c r="H59" s="1">
        <f t="shared" si="7"/>
        <v>4.329148618597161</v>
      </c>
      <c r="I59" s="1">
        <f t="shared" si="7"/>
        <v>3.0199600050215003</v>
      </c>
      <c r="J59" s="1">
        <f t="shared" si="7"/>
        <v>2.2649833569153022</v>
      </c>
    </row>
    <row r="60" spans="1:10">
      <c r="B60" s="1">
        <v>0.7</v>
      </c>
      <c r="C60" s="14">
        <v>-0.45208608752866197</v>
      </c>
      <c r="D60" s="14">
        <v>3.7559087419233301</v>
      </c>
      <c r="E60" s="14">
        <v>-4.9442194722274904</v>
      </c>
      <c r="F60" s="14">
        <v>3.1994101127517598</v>
      </c>
    </row>
    <row r="61" spans="1:10">
      <c r="A61" s="13" t="s">
        <v>105</v>
      </c>
      <c r="B61" s="16">
        <v>0.1</v>
      </c>
      <c r="C61" s="14">
        <v>-0.45208608752866197</v>
      </c>
      <c r="D61" s="14">
        <v>-0.23882896442604801</v>
      </c>
      <c r="E61" s="14">
        <v>0.60019135802822399</v>
      </c>
      <c r="F61" s="14">
        <v>-0.33764293842957999</v>
      </c>
      <c r="G61" s="1">
        <f t="shared" ref="G61:J62" si="8">C62/C61</f>
        <v>1</v>
      </c>
      <c r="H61" s="1">
        <f t="shared" si="8"/>
        <v>-3.2560115832489007</v>
      </c>
      <c r="I61" s="1">
        <f t="shared" si="8"/>
        <v>1</v>
      </c>
      <c r="J61" s="1">
        <f t="shared" si="8"/>
        <v>2.9223920731009803</v>
      </c>
    </row>
    <row r="62" spans="1:10">
      <c r="B62" s="1">
        <v>0.4</v>
      </c>
      <c r="C62" s="14">
        <v>-0.45208608752866197</v>
      </c>
      <c r="D62" s="14">
        <v>0.77762987458655197</v>
      </c>
      <c r="E62" s="14">
        <v>0.60019135802822399</v>
      </c>
      <c r="F62" s="14">
        <v>-0.98672504680512696</v>
      </c>
      <c r="G62" s="1">
        <f t="shared" si="8"/>
        <v>1</v>
      </c>
      <c r="H62" s="1">
        <f t="shared" si="8"/>
        <v>4.5714809202080486</v>
      </c>
      <c r="I62" s="1">
        <f t="shared" si="8"/>
        <v>1</v>
      </c>
      <c r="J62" s="1">
        <f t="shared" si="8"/>
        <v>2.7973595356938072</v>
      </c>
    </row>
    <row r="63" spans="1:10">
      <c r="B63" s="1">
        <v>0.7</v>
      </c>
      <c r="C63" s="14">
        <v>-0.45208608752866197</v>
      </c>
      <c r="D63" s="14">
        <v>3.5549201346562</v>
      </c>
      <c r="E63" s="14">
        <v>0.60019135802822399</v>
      </c>
      <c r="F63" s="14">
        <v>-2.7602247187882401</v>
      </c>
    </row>
    <row r="64" spans="1:10">
      <c r="A64" s="13" t="s">
        <v>107</v>
      </c>
      <c r="B64" s="16">
        <v>0.1</v>
      </c>
      <c r="C64" s="14">
        <v>0.457418671402336</v>
      </c>
      <c r="D64" s="14">
        <v>-1.2177603621944799</v>
      </c>
      <c r="E64" s="14">
        <v>0.437833529373514</v>
      </c>
      <c r="F64" s="14">
        <v>0.122456998317576</v>
      </c>
      <c r="G64" s="1">
        <f t="shared" ref="G64:J65" si="9">C65/C64</f>
        <v>3.5153052818188439</v>
      </c>
      <c r="H64" s="1">
        <f t="shared" si="9"/>
        <v>1.1363509524191284</v>
      </c>
      <c r="I64" s="1">
        <f t="shared" si="9"/>
        <v>0.53090172846480599</v>
      </c>
      <c r="J64" s="1">
        <f t="shared" si="9"/>
        <v>0.16115756922749749</v>
      </c>
    </row>
    <row r="65" spans="1:10">
      <c r="B65" s="1">
        <v>0.4</v>
      </c>
      <c r="C65" s="14">
        <v>1.6079662715831899</v>
      </c>
      <c r="D65" s="14">
        <v>-1.38380314739796</v>
      </c>
      <c r="E65" s="14">
        <v>0.232446577524245</v>
      </c>
      <c r="F65" s="14">
        <v>1.9734872183756299E-2</v>
      </c>
      <c r="G65" s="1">
        <f t="shared" si="9"/>
        <v>3.1843626414129562</v>
      </c>
      <c r="H65" s="1">
        <f t="shared" si="9"/>
        <v>1.3663049435289911</v>
      </c>
      <c r="I65" s="1">
        <f t="shared" si="9"/>
        <v>-1.6974088475450035</v>
      </c>
      <c r="J65" s="1">
        <f t="shared" si="9"/>
        <v>-14.890104966520504</v>
      </c>
    </row>
    <row r="66" spans="1:10">
      <c r="B66" s="1">
        <v>0.7</v>
      </c>
      <c r="C66" s="14">
        <v>5.12034772388159</v>
      </c>
      <c r="D66" s="14">
        <v>-1.8906970811608099</v>
      </c>
      <c r="E66" s="14">
        <v>-0.39455687727120903</v>
      </c>
      <c r="F66" s="14">
        <v>-0.29385431831699699</v>
      </c>
    </row>
    <row r="67" spans="1:10">
      <c r="A67" s="13" t="s">
        <v>109</v>
      </c>
      <c r="B67" s="16">
        <v>0.1</v>
      </c>
      <c r="C67" s="14">
        <v>-0.45208608752866197</v>
      </c>
      <c r="D67" s="14">
        <v>-0.55641861603207599</v>
      </c>
      <c r="E67" s="14">
        <v>-6.7397843853151604E-3</v>
      </c>
      <c r="F67" s="14">
        <v>0.53159510199127902</v>
      </c>
      <c r="G67" s="1">
        <f t="shared" ref="G67:J68" si="10">C68/C67</f>
        <v>1</v>
      </c>
      <c r="H67" s="1">
        <f t="shared" si="10"/>
        <v>-0.18517810071084184</v>
      </c>
      <c r="I67" s="1">
        <f t="shared" si="10"/>
        <v>113.02962109439359</v>
      </c>
      <c r="J67" s="1">
        <f t="shared" si="10"/>
        <v>1.7674468170957487</v>
      </c>
    </row>
    <row r="68" spans="1:10">
      <c r="B68" s="1">
        <v>0.4</v>
      </c>
      <c r="C68" s="14">
        <v>-0.45208608752866197</v>
      </c>
      <c r="D68" s="14">
        <v>0.103036542516975</v>
      </c>
      <c r="E68" s="14">
        <v>-0.76179527533008295</v>
      </c>
      <c r="F68" s="14">
        <v>0.93956607099817602</v>
      </c>
      <c r="G68" s="1">
        <f t="shared" si="10"/>
        <v>1</v>
      </c>
      <c r="H68" s="1">
        <f t="shared" si="10"/>
        <v>19.763931809405847</v>
      </c>
      <c r="I68" s="1">
        <f t="shared" si="10"/>
        <v>3.9058316426537587</v>
      </c>
      <c r="J68" s="1">
        <f t="shared" si="10"/>
        <v>2.2730099198202378</v>
      </c>
    </row>
    <row r="69" spans="1:10">
      <c r="B69" s="1">
        <v>0.7</v>
      </c>
      <c r="C69" s="14">
        <v>-0.45208608752866197</v>
      </c>
      <c r="D69" s="14">
        <v>2.03640720018244</v>
      </c>
      <c r="E69" s="14">
        <v>-2.9754440916083702</v>
      </c>
      <c r="F69" s="14">
        <v>2.1356429997053801</v>
      </c>
    </row>
    <row r="70" spans="1:10">
      <c r="A70" s="13" t="s">
        <v>111</v>
      </c>
      <c r="B70" s="16">
        <v>0.1</v>
      </c>
      <c r="C70" s="14">
        <v>-0.45208608752866197</v>
      </c>
      <c r="D70" s="14">
        <v>-0.75520409364497698</v>
      </c>
      <c r="E70" s="14">
        <v>0.60019135802822399</v>
      </c>
      <c r="F70" s="14">
        <v>-7.9002624627832994E-3</v>
      </c>
      <c r="G70" s="1">
        <f t="shared" ref="G70:J71" si="11">C71/C70</f>
        <v>1</v>
      </c>
      <c r="H70" s="1">
        <f t="shared" si="11"/>
        <v>0.45639358495415183</v>
      </c>
      <c r="I70" s="1">
        <f t="shared" si="11"/>
        <v>1</v>
      </c>
      <c r="J70" s="1">
        <f t="shared" si="11"/>
        <v>34.18312097122773</v>
      </c>
    </row>
    <row r="71" spans="1:10">
      <c r="B71" s="1">
        <v>0.4</v>
      </c>
      <c r="C71" s="14">
        <v>-0.45208608752866197</v>
      </c>
      <c r="D71" s="14">
        <v>-0.34467030367068202</v>
      </c>
      <c r="E71" s="14">
        <v>0.60019135802822399</v>
      </c>
      <c r="F71" s="14">
        <v>-0.27005562746977102</v>
      </c>
      <c r="G71" s="1">
        <f t="shared" si="11"/>
        <v>1</v>
      </c>
      <c r="H71" s="1">
        <f t="shared" si="11"/>
        <v>-2.4995353380373113</v>
      </c>
      <c r="I71" s="1">
        <f t="shared" si="11"/>
        <v>1</v>
      </c>
      <c r="J71" s="1">
        <f t="shared" si="11"/>
        <v>3.8521401342703232</v>
      </c>
    </row>
    <row r="72" spans="1:10">
      <c r="B72" s="1">
        <v>0.7</v>
      </c>
      <c r="C72" s="14">
        <v>-0.45208608752866197</v>
      </c>
      <c r="D72" s="14">
        <v>0.86151560399692095</v>
      </c>
      <c r="E72" s="14">
        <v>0.60019135802822399</v>
      </c>
      <c r="F72" s="14">
        <v>-1.0402921210618601</v>
      </c>
    </row>
  </sheetData>
  <mergeCells count="1">
    <mergeCell ref="R13:U13"/>
  </mergeCells>
  <pageMargins left="0" right="0" top="0.39370078740157505" bottom="0.39370078740157505" header="0" footer="0"/>
  <pageSetup fitToWidth="0" fitToHeight="0" orientation="portrait" r:id="rId1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E482-B114-45B8-A516-73A64FF82068}">
  <dimension ref="A1:BL25"/>
  <sheetViews>
    <sheetView workbookViewId="0"/>
  </sheetViews>
  <sheetFormatPr defaultColWidth="11.109375" defaultRowHeight="13.2"/>
  <cols>
    <col min="1" max="64" width="11.77734375" style="1" customWidth="1"/>
    <col min="65" max="65" width="11.109375" customWidth="1"/>
  </cols>
  <sheetData>
    <row r="1" spans="1:13">
      <c r="A1" s="12" t="s">
        <v>95</v>
      </c>
      <c r="C1" s="12" t="s">
        <v>96</v>
      </c>
      <c r="D1" s="12" t="s">
        <v>97</v>
      </c>
      <c r="E1" s="12" t="s">
        <v>98</v>
      </c>
      <c r="F1" s="12" t="s">
        <v>99</v>
      </c>
      <c r="G1" s="1" t="s">
        <v>100</v>
      </c>
      <c r="J1" s="12" t="s">
        <v>96</v>
      </c>
      <c r="K1" s="12" t="s">
        <v>97</v>
      </c>
      <c r="L1" s="12" t="s">
        <v>98</v>
      </c>
      <c r="M1" s="12" t="s">
        <v>99</v>
      </c>
    </row>
    <row r="2" spans="1:13">
      <c r="A2" s="13" t="s">
        <v>101</v>
      </c>
      <c r="B2" s="1">
        <v>0.1</v>
      </c>
      <c r="C2" s="2">
        <v>3.085</v>
      </c>
      <c r="D2" s="2">
        <v>-0.45240000000000002</v>
      </c>
      <c r="E2" s="2">
        <v>-0.55979999999999996</v>
      </c>
      <c r="F2" s="2">
        <v>-0.26269999999999999</v>
      </c>
      <c r="H2" s="13" t="s">
        <v>102</v>
      </c>
      <c r="I2" s="1">
        <v>100</v>
      </c>
      <c r="J2" s="14">
        <v>6.8855000000000004</v>
      </c>
      <c r="K2" s="15">
        <v>2.7581000000000002</v>
      </c>
      <c r="L2" s="14">
        <v>3.4716</v>
      </c>
      <c r="M2" s="14">
        <v>1.63</v>
      </c>
    </row>
    <row r="3" spans="1:13">
      <c r="B3" s="1">
        <v>0.4</v>
      </c>
      <c r="C3" s="2">
        <v>15.9312</v>
      </c>
      <c r="D3" s="2">
        <v>-2.3123</v>
      </c>
      <c r="E3" s="2">
        <v>-2.8954</v>
      </c>
      <c r="F3" s="2">
        <v>-1.3592</v>
      </c>
      <c r="I3" s="1">
        <v>200</v>
      </c>
      <c r="J3" s="14">
        <v>13.781539418456999</v>
      </c>
      <c r="K3" s="14">
        <v>5.5203838369219396</v>
      </c>
      <c r="L3" s="15">
        <v>6.9401995954878499</v>
      </c>
      <c r="M3" s="14">
        <v>3.2584548446359598</v>
      </c>
    </row>
    <row r="4" spans="1:13">
      <c r="B4" s="1">
        <v>0.7</v>
      </c>
      <c r="C4" s="2">
        <v>36.243899999999996</v>
      </c>
      <c r="D4" s="2">
        <v>-5.2534000000000001</v>
      </c>
      <c r="E4" s="2">
        <v>-6.5884</v>
      </c>
      <c r="F4" s="2">
        <v>-3.093</v>
      </c>
      <c r="I4" s="1">
        <v>300</v>
      </c>
      <c r="J4" s="2">
        <v>20.677600000000002</v>
      </c>
      <c r="K4" s="2">
        <v>8.2827000000000002</v>
      </c>
      <c r="L4" s="2">
        <v>10.408799999999999</v>
      </c>
      <c r="M4" s="2">
        <v>4.8868999999999998</v>
      </c>
    </row>
    <row r="5" spans="1:13">
      <c r="A5" s="13" t="s">
        <v>103</v>
      </c>
      <c r="B5" s="16">
        <v>0.1</v>
      </c>
      <c r="C5" s="2">
        <v>-1.06E-2</v>
      </c>
      <c r="D5" s="2">
        <v>0.86719999999999997</v>
      </c>
      <c r="E5" s="2">
        <v>-0.97150000000000003</v>
      </c>
      <c r="F5" s="2">
        <v>0.51519999999999999</v>
      </c>
      <c r="H5" s="13" t="s">
        <v>104</v>
      </c>
      <c r="I5" s="1">
        <v>100</v>
      </c>
      <c r="J5" s="2">
        <v>19.067399999999999</v>
      </c>
      <c r="K5" s="2">
        <v>4.7549999999999999</v>
      </c>
      <c r="L5" s="2">
        <v>5.9791999999999996</v>
      </c>
      <c r="M5" s="2">
        <v>2.8073000000000001</v>
      </c>
    </row>
    <row r="6" spans="1:13">
      <c r="B6" s="1">
        <v>0.4</v>
      </c>
      <c r="C6" s="2">
        <v>-1.06E-2</v>
      </c>
      <c r="D6" s="2">
        <v>4.7560000000000002</v>
      </c>
      <c r="E6" s="2">
        <v>-5.3209999999999997</v>
      </c>
      <c r="F6" s="2">
        <v>2.8077999999999999</v>
      </c>
      <c r="I6" s="1">
        <v>200</v>
      </c>
      <c r="J6" s="2">
        <v>38.145400000000002</v>
      </c>
      <c r="K6" s="2">
        <v>9.5143000000000004</v>
      </c>
      <c r="L6" s="2">
        <v>11.955299999999999</v>
      </c>
      <c r="M6" s="2">
        <v>5.6130000000000004</v>
      </c>
    </row>
    <row r="7" spans="1:13">
      <c r="B7" s="1">
        <v>0.7</v>
      </c>
      <c r="C7" s="2">
        <v>-1.06E-2</v>
      </c>
      <c r="D7" s="2">
        <v>12.094200000000001</v>
      </c>
      <c r="E7" s="2">
        <v>-13.5284</v>
      </c>
      <c r="F7" s="2">
        <v>7.1338999999999997</v>
      </c>
      <c r="I7" s="1">
        <v>300</v>
      </c>
      <c r="J7" s="2">
        <v>57.223399999999998</v>
      </c>
      <c r="K7" s="2">
        <v>14.2735</v>
      </c>
      <c r="L7" s="2">
        <v>17.9315</v>
      </c>
      <c r="M7" s="2">
        <v>8.4186999999999994</v>
      </c>
    </row>
    <row r="8" spans="1:13">
      <c r="A8" s="13" t="s">
        <v>105</v>
      </c>
      <c r="B8" s="16">
        <v>0.1</v>
      </c>
      <c r="C8" s="2">
        <v>-1.06E-2</v>
      </c>
      <c r="D8" s="2">
        <v>0.81010000000000004</v>
      </c>
      <c r="E8" s="2">
        <v>3.0000000000000001E-3</v>
      </c>
      <c r="F8" s="2">
        <v>-0.51839999999999997</v>
      </c>
      <c r="H8" s="13" t="s">
        <v>106</v>
      </c>
      <c r="I8" s="1">
        <v>100</v>
      </c>
      <c r="J8" s="2">
        <v>-1.06E-2</v>
      </c>
      <c r="K8" s="2">
        <v>4.4488000000000003</v>
      </c>
      <c r="L8" s="2">
        <v>8.4154</v>
      </c>
      <c r="M8" s="2">
        <v>2.6267</v>
      </c>
    </row>
    <row r="9" spans="1:13">
      <c r="B9" s="1">
        <v>0.4</v>
      </c>
      <c r="C9" s="2">
        <v>-1.06E-2</v>
      </c>
      <c r="D9" s="2">
        <v>4.4654999999999996</v>
      </c>
      <c r="E9" s="2">
        <v>3.0000000000000001E-3</v>
      </c>
      <c r="F9" s="2">
        <v>-2.8525999999999998</v>
      </c>
      <c r="I9" s="1">
        <v>200</v>
      </c>
      <c r="J9" s="2">
        <v>-1.06E-2</v>
      </c>
      <c r="K9" s="2">
        <v>8.9017999999999997</v>
      </c>
      <c r="L9" s="2">
        <v>16.8278</v>
      </c>
      <c r="M9" s="2">
        <v>5.2519</v>
      </c>
    </row>
    <row r="10" spans="1:13">
      <c r="B10" s="1">
        <v>0.7</v>
      </c>
      <c r="C10" s="2">
        <v>-1.06E-2</v>
      </c>
      <c r="D10" s="2">
        <v>12.0863</v>
      </c>
      <c r="E10" s="2">
        <v>3.0000000000000001E-3</v>
      </c>
      <c r="F10" s="2">
        <v>-7.7190000000000003</v>
      </c>
      <c r="I10" s="1">
        <v>300</v>
      </c>
      <c r="J10" s="2">
        <v>-1.06E-2</v>
      </c>
      <c r="K10" s="2">
        <v>13.354799999999999</v>
      </c>
      <c r="L10" s="2">
        <v>25.240200000000002</v>
      </c>
      <c r="M10" s="2">
        <v>7.8771000000000004</v>
      </c>
    </row>
    <row r="11" spans="1:13">
      <c r="A11" s="13" t="s">
        <v>107</v>
      </c>
      <c r="B11" s="16">
        <v>0.1</v>
      </c>
      <c r="C11" s="2">
        <v>0.89170000000000005</v>
      </c>
      <c r="D11" s="2">
        <v>-0.1348</v>
      </c>
      <c r="E11" s="2">
        <v>-0.161</v>
      </c>
      <c r="F11" s="2">
        <v>-7.5399999999999995E-2</v>
      </c>
      <c r="H11" s="13" t="s">
        <v>108</v>
      </c>
      <c r="I11" s="1">
        <v>100</v>
      </c>
      <c r="J11" s="2">
        <v>-1.06E-2</v>
      </c>
      <c r="K11" s="2">
        <v>11.050700000000001</v>
      </c>
      <c r="L11" s="2">
        <v>3.0000000000000001E-3</v>
      </c>
      <c r="M11" s="2">
        <v>22.353999999999999</v>
      </c>
    </row>
    <row r="12" spans="1:13">
      <c r="B12" s="1">
        <v>0.4</v>
      </c>
      <c r="C12" s="2">
        <v>5.5065999999999997</v>
      </c>
      <c r="D12" s="2">
        <v>-0.80300000000000005</v>
      </c>
      <c r="E12" s="2">
        <v>-1.0001</v>
      </c>
      <c r="F12" s="2">
        <v>-0.46939999999999998</v>
      </c>
      <c r="I12" s="1">
        <v>200</v>
      </c>
      <c r="J12" s="2">
        <v>-1.06E-2</v>
      </c>
      <c r="K12" s="2">
        <v>22.105599999999999</v>
      </c>
      <c r="L12" s="2">
        <v>3.0000000000000001E-3</v>
      </c>
      <c r="M12" s="2">
        <v>44.706499999999998</v>
      </c>
    </row>
    <row r="13" spans="1:13">
      <c r="B13" s="1">
        <v>0.7</v>
      </c>
      <c r="C13" s="2">
        <v>18.885000000000002</v>
      </c>
      <c r="D13" s="2">
        <v>-2.74</v>
      </c>
      <c r="E13" s="2">
        <v>-3.4323999999999999</v>
      </c>
      <c r="F13" s="2">
        <v>-1.6113</v>
      </c>
      <c r="I13" s="1">
        <v>300</v>
      </c>
      <c r="J13" s="2">
        <v>-1.06E-2</v>
      </c>
      <c r="K13" s="2">
        <v>33.160400000000003</v>
      </c>
      <c r="L13" s="2">
        <v>3.0000000000000001E-3</v>
      </c>
      <c r="M13" s="2">
        <v>67.058899999999994</v>
      </c>
    </row>
    <row r="14" spans="1:13">
      <c r="A14" s="13" t="s">
        <v>109</v>
      </c>
      <c r="B14" s="16">
        <v>0.1</v>
      </c>
      <c r="C14" s="2">
        <v>-1.06E-2</v>
      </c>
      <c r="D14" s="2">
        <v>0.52129999999999999</v>
      </c>
      <c r="E14" s="2">
        <v>-0.5847</v>
      </c>
      <c r="F14" s="2">
        <v>0.31140000000000001</v>
      </c>
      <c r="H14" s="13" t="s">
        <v>110</v>
      </c>
      <c r="I14" s="1">
        <v>5</v>
      </c>
      <c r="J14" s="2">
        <v>13.4101</v>
      </c>
      <c r="K14" s="2">
        <v>1.5007999999999999</v>
      </c>
      <c r="L14" s="2">
        <v>1.8927</v>
      </c>
      <c r="M14" s="2">
        <v>0.88880000000000003</v>
      </c>
    </row>
    <row r="15" spans="1:13">
      <c r="B15" s="1">
        <v>0.4</v>
      </c>
      <c r="C15" s="2">
        <v>-1.06E-2</v>
      </c>
      <c r="D15" s="2">
        <v>3.0836000000000001</v>
      </c>
      <c r="E15" s="2">
        <v>-3.4504999999999999</v>
      </c>
      <c r="F15" s="2">
        <v>1.8219000000000001</v>
      </c>
      <c r="I15" s="1">
        <v>-5</v>
      </c>
      <c r="J15" s="2">
        <v>-17.449000000000002</v>
      </c>
      <c r="K15" s="2">
        <v>-3.1614</v>
      </c>
      <c r="L15" s="2">
        <v>-3.9615</v>
      </c>
      <c r="M15" s="2">
        <v>-1.8596999999999999</v>
      </c>
    </row>
    <row r="16" spans="1:13">
      <c r="B16" s="1">
        <v>0.7</v>
      </c>
      <c r="C16" s="2">
        <v>-1.06E-2</v>
      </c>
      <c r="D16" s="2">
        <v>9.3533000000000008</v>
      </c>
      <c r="E16" s="2">
        <v>-10.4628</v>
      </c>
      <c r="F16" s="2">
        <v>5.5180999999999996</v>
      </c>
      <c r="I16" s="1">
        <v>10</v>
      </c>
      <c r="J16" s="2">
        <v>22.4191</v>
      </c>
      <c r="K16" s="2">
        <v>2.34</v>
      </c>
      <c r="L16" s="2">
        <v>2.9466000000000001</v>
      </c>
      <c r="M16" s="2">
        <v>1.3835</v>
      </c>
    </row>
    <row r="17" spans="1:13">
      <c r="A17" s="13" t="s">
        <v>111</v>
      </c>
      <c r="B17" s="16">
        <v>0.1</v>
      </c>
      <c r="C17" s="2">
        <v>-1.06E-2</v>
      </c>
      <c r="D17" s="2">
        <v>0.31719999999999998</v>
      </c>
      <c r="E17" s="2">
        <v>3.0000000000000001E-3</v>
      </c>
      <c r="F17" s="2">
        <v>-0.2036</v>
      </c>
      <c r="H17" s="13" t="s">
        <v>112</v>
      </c>
      <c r="I17" s="1">
        <v>5</v>
      </c>
      <c r="J17" s="2">
        <v>-1.6071</v>
      </c>
      <c r="K17" s="2">
        <v>-2.6021000000000001</v>
      </c>
      <c r="L17" s="2">
        <v>-6.5197000000000003</v>
      </c>
      <c r="M17" s="2">
        <v>-1.53</v>
      </c>
    </row>
    <row r="18" spans="1:13">
      <c r="B18" s="1">
        <v>0.4</v>
      </c>
      <c r="C18" s="2">
        <v>-1.06E-2</v>
      </c>
      <c r="D18" s="2">
        <v>1.8844000000000001</v>
      </c>
      <c r="E18" s="2">
        <v>3.0000000000000001E-3</v>
      </c>
      <c r="F18" s="2">
        <v>-1.2043999999999999</v>
      </c>
      <c r="I18" s="1">
        <v>-5</v>
      </c>
      <c r="J18" s="2">
        <v>2.7214999999999998</v>
      </c>
      <c r="K18" s="2">
        <v>3.8151000000000002</v>
      </c>
      <c r="L18" s="2">
        <v>8.5325000000000006</v>
      </c>
      <c r="M18" s="2">
        <v>2.2530999999999999</v>
      </c>
    </row>
    <row r="19" spans="1:13">
      <c r="B19" s="1">
        <v>0.7</v>
      </c>
      <c r="C19" s="2">
        <v>-1.06E-2</v>
      </c>
      <c r="D19" s="2">
        <v>6.1394000000000002</v>
      </c>
      <c r="E19" s="2">
        <v>3.0000000000000001E-3</v>
      </c>
      <c r="F19" s="2">
        <v>-3.9216000000000002</v>
      </c>
      <c r="I19" s="1">
        <v>10</v>
      </c>
      <c r="J19" s="2"/>
      <c r="K19" s="2"/>
      <c r="L19" s="2"/>
      <c r="M19" s="2"/>
    </row>
    <row r="20" spans="1:13">
      <c r="A20" s="13" t="s">
        <v>113</v>
      </c>
      <c r="B20" s="1">
        <v>10</v>
      </c>
      <c r="C20" s="2"/>
      <c r="D20" s="2"/>
      <c r="E20" s="2"/>
      <c r="F20" s="2"/>
      <c r="H20" s="13" t="s">
        <v>114</v>
      </c>
      <c r="J20" s="2"/>
      <c r="K20" s="2"/>
      <c r="L20" s="2"/>
      <c r="M20" s="2"/>
    </row>
    <row r="21" spans="1:13">
      <c r="B21" s="1">
        <v>100</v>
      </c>
      <c r="C21" s="2"/>
      <c r="D21" s="2"/>
      <c r="E21" s="2"/>
      <c r="F21" s="2"/>
      <c r="J21" s="2"/>
      <c r="K21" s="2"/>
      <c r="L21" s="2"/>
      <c r="M21" s="2"/>
    </row>
    <row r="22" spans="1:13">
      <c r="B22" s="1">
        <v>1000</v>
      </c>
      <c r="C22" s="2"/>
      <c r="D22" s="2"/>
      <c r="E22" s="2"/>
      <c r="F22" s="2"/>
      <c r="J22" s="2"/>
      <c r="K22" s="2"/>
      <c r="L22" s="2"/>
      <c r="M22" s="2"/>
    </row>
    <row r="23" spans="1:13">
      <c r="H23" s="13" t="s">
        <v>116</v>
      </c>
      <c r="J23" s="2"/>
      <c r="K23" s="2"/>
      <c r="L23" s="2"/>
      <c r="M23" s="2"/>
    </row>
    <row r="24" spans="1:13">
      <c r="B24" s="1" t="s">
        <v>117</v>
      </c>
      <c r="C24" s="1">
        <v>-1.06E-2</v>
      </c>
      <c r="D24" s="1">
        <v>-4.1999999999999997E-3</v>
      </c>
      <c r="E24" s="1">
        <v>3.0000000000000001E-3</v>
      </c>
      <c r="F24" s="1">
        <v>1.6000000000000001E-3</v>
      </c>
      <c r="J24" s="2"/>
      <c r="K24" s="2"/>
      <c r="L24" s="2"/>
      <c r="M24" s="2"/>
    </row>
    <row r="25" spans="1:13">
      <c r="J25" s="2"/>
      <c r="K25" s="2"/>
      <c r="L25" s="2"/>
      <c r="M25" s="2"/>
    </row>
  </sheetData>
  <pageMargins left="0" right="0" top="0.39370078740157505" bottom="0.39370078740157505" header="0" footer="0"/>
  <pageSetup paperSize="0" fitToWidth="0" fitToHeight="0" orientation="portrait" horizontalDpi="0" verticalDpi="0" copies="0"/>
  <headerFooter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EBD68-839D-4685-AEE7-74243EC7EFEC}">
  <dimension ref="A1:BL8"/>
  <sheetViews>
    <sheetView workbookViewId="0"/>
  </sheetViews>
  <sheetFormatPr defaultColWidth="11.109375" defaultRowHeight="13.2"/>
  <cols>
    <col min="1" max="64" width="11.77734375" style="1" customWidth="1"/>
    <col min="65" max="65" width="11.109375" customWidth="1"/>
  </cols>
  <sheetData>
    <row r="1" spans="1:5">
      <c r="A1" s="12" t="s">
        <v>95</v>
      </c>
      <c r="B1" s="12" t="s">
        <v>96</v>
      </c>
      <c r="C1" s="12" t="s">
        <v>97</v>
      </c>
      <c r="D1" s="12" t="s">
        <v>98</v>
      </c>
      <c r="E1" s="12" t="s">
        <v>99</v>
      </c>
    </row>
    <row r="2" spans="1:5">
      <c r="A2" s="13" t="s">
        <v>101</v>
      </c>
      <c r="B2" s="2"/>
      <c r="C2" s="2"/>
      <c r="D2" s="2"/>
      <c r="E2" s="2"/>
    </row>
    <row r="3" spans="1:5">
      <c r="A3" s="13" t="s">
        <v>103</v>
      </c>
      <c r="B3" s="2"/>
      <c r="C3" s="2"/>
      <c r="D3" s="2"/>
      <c r="E3" s="2"/>
    </row>
    <row r="4" spans="1:5">
      <c r="A4" s="13" t="s">
        <v>105</v>
      </c>
      <c r="B4" s="2"/>
      <c r="C4" s="2"/>
      <c r="D4" s="2"/>
      <c r="E4" s="2"/>
    </row>
    <row r="5" spans="1:5">
      <c r="A5" s="13" t="s">
        <v>113</v>
      </c>
      <c r="B5" s="2"/>
      <c r="C5" s="2"/>
      <c r="D5" s="2"/>
      <c r="E5" s="2"/>
    </row>
    <row r="6" spans="1:5">
      <c r="A6" s="13" t="s">
        <v>102</v>
      </c>
      <c r="B6" s="2"/>
      <c r="C6" s="2"/>
      <c r="D6" s="2"/>
      <c r="E6" s="2"/>
    </row>
    <row r="7" spans="1:5">
      <c r="A7" s="13" t="s">
        <v>104</v>
      </c>
      <c r="B7" s="2"/>
      <c r="C7" s="2"/>
      <c r="D7" s="2"/>
      <c r="E7" s="2"/>
    </row>
    <row r="8" spans="1:5">
      <c r="A8" s="13" t="s">
        <v>118</v>
      </c>
      <c r="B8" s="2"/>
      <c r="C8" s="2"/>
      <c r="D8" s="2"/>
      <c r="E8" s="2"/>
    </row>
  </sheetData>
  <pageMargins left="0" right="0" top="0.39370078740157505" bottom="0.39370078740157505" header="0" footer="0"/>
  <headerFooter>
    <oddHeader>&amp;C&amp;A</oddHeader>
    <oddFooter>&amp;CPágina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3FF2F-99F1-47B9-B64D-EFEADEFA40F0}">
  <dimension ref="A1"/>
  <sheetViews>
    <sheetView workbookViewId="0"/>
  </sheetViews>
  <sheetFormatPr defaultColWidth="11.109375" defaultRowHeight="13.2"/>
  <cols>
    <col min="1" max="1" width="11.109375" customWidth="1"/>
  </cols>
  <sheetData/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EDA2-E136-4AF5-9299-270C8E943D27}">
  <dimension ref="A1:BL31"/>
  <sheetViews>
    <sheetView workbookViewId="0"/>
  </sheetViews>
  <sheetFormatPr defaultColWidth="11.109375" defaultRowHeight="13.2"/>
  <cols>
    <col min="1" max="1" width="11.77734375" style="1" customWidth="1"/>
    <col min="2" max="5" width="11.77734375" style="18" customWidth="1"/>
    <col min="6" max="9" width="11.77734375" style="19" customWidth="1"/>
    <col min="10" max="64" width="11.77734375" style="1" customWidth="1"/>
    <col min="65" max="65" width="11.109375" customWidth="1"/>
  </cols>
  <sheetData>
    <row r="1" spans="1:11">
      <c r="B1" s="18" t="s">
        <v>119</v>
      </c>
      <c r="C1" s="18">
        <v>5</v>
      </c>
      <c r="F1" s="19" t="s">
        <v>120</v>
      </c>
      <c r="G1" s="19">
        <v>1</v>
      </c>
    </row>
    <row r="2" spans="1:11">
      <c r="A2" s="1" t="s">
        <v>121</v>
      </c>
      <c r="B2" s="18" t="s">
        <v>122</v>
      </c>
      <c r="C2" s="18" t="s">
        <v>123</v>
      </c>
      <c r="D2" s="18" t="s">
        <v>124</v>
      </c>
      <c r="E2" s="18" t="s">
        <v>125</v>
      </c>
      <c r="F2" s="19" t="s">
        <v>126</v>
      </c>
      <c r="G2" s="19" t="s">
        <v>127</v>
      </c>
      <c r="H2" s="19" t="s">
        <v>128</v>
      </c>
      <c r="I2" s="19" t="s">
        <v>129</v>
      </c>
      <c r="J2" s="1" t="s">
        <v>130</v>
      </c>
      <c r="K2" s="1" t="s">
        <v>131</v>
      </c>
    </row>
    <row r="3" spans="1:11">
      <c r="A3" s="1">
        <v>1</v>
      </c>
      <c r="B3" s="18">
        <v>1</v>
      </c>
      <c r="C3" s="18">
        <v>2</v>
      </c>
      <c r="D3" s="18">
        <v>2.5</v>
      </c>
      <c r="E3" s="18">
        <v>2.5</v>
      </c>
      <c r="F3" s="19">
        <v>5</v>
      </c>
      <c r="G3" s="19">
        <v>0</v>
      </c>
      <c r="H3" s="19">
        <v>5</v>
      </c>
      <c r="I3" s="19">
        <v>0</v>
      </c>
      <c r="J3" s="1">
        <v>3</v>
      </c>
      <c r="K3" s="1">
        <v>10</v>
      </c>
    </row>
    <row r="4" spans="1:11">
      <c r="A4" s="1">
        <v>2</v>
      </c>
    </row>
    <row r="5" spans="1:11">
      <c r="A5" s="1">
        <v>3</v>
      </c>
    </row>
    <row r="6" spans="1:11">
      <c r="A6" s="1">
        <v>4</v>
      </c>
    </row>
    <row r="7" spans="1:11">
      <c r="A7" s="1">
        <v>5</v>
      </c>
    </row>
    <row r="8" spans="1:11">
      <c r="A8" s="1">
        <v>6</v>
      </c>
    </row>
    <row r="9" spans="1:11">
      <c r="A9" s="1">
        <v>7</v>
      </c>
    </row>
    <row r="10" spans="1:11">
      <c r="A10" s="1">
        <v>8</v>
      </c>
    </row>
    <row r="11" spans="1:11">
      <c r="A11" s="1">
        <v>9</v>
      </c>
    </row>
    <row r="12" spans="1:11">
      <c r="A12" s="1">
        <v>10</v>
      </c>
    </row>
    <row r="13" spans="1:11">
      <c r="A13" s="1">
        <v>11</v>
      </c>
    </row>
    <row r="14" spans="1:11">
      <c r="A14" s="1">
        <v>12</v>
      </c>
    </row>
    <row r="15" spans="1:11">
      <c r="A15" s="1">
        <v>13</v>
      </c>
    </row>
    <row r="16" spans="1:11">
      <c r="A16" s="1">
        <v>14</v>
      </c>
    </row>
    <row r="17" spans="1:1">
      <c r="A17" s="1">
        <v>15</v>
      </c>
    </row>
    <row r="18" spans="1:1">
      <c r="A18" s="1">
        <v>16</v>
      </c>
    </row>
    <row r="19" spans="1:1">
      <c r="A19" s="1">
        <v>17</v>
      </c>
    </row>
    <row r="20" spans="1:1">
      <c r="A20" s="1">
        <v>18</v>
      </c>
    </row>
    <row r="21" spans="1:1">
      <c r="A21" s="1">
        <v>19</v>
      </c>
    </row>
    <row r="22" spans="1:1">
      <c r="A22" s="1">
        <v>20</v>
      </c>
    </row>
    <row r="23" spans="1:1">
      <c r="A23" s="1">
        <v>21</v>
      </c>
    </row>
    <row r="24" spans="1:1">
      <c r="A24" s="1">
        <v>22</v>
      </c>
    </row>
    <row r="25" spans="1:1">
      <c r="A25" s="1">
        <v>23</v>
      </c>
    </row>
    <row r="26" spans="1:1">
      <c r="A26" s="1">
        <v>24</v>
      </c>
    </row>
    <row r="27" spans="1:1">
      <c r="A27" s="1">
        <v>25</v>
      </c>
    </row>
    <row r="28" spans="1:1">
      <c r="A28" s="1">
        <v>26</v>
      </c>
    </row>
    <row r="29" spans="1:1">
      <c r="A29" s="1">
        <v>27</v>
      </c>
    </row>
    <row r="30" spans="1:1">
      <c r="A30" s="1">
        <v>28</v>
      </c>
    </row>
    <row r="31" spans="1:1">
      <c r="A31" s="1">
        <v>29</v>
      </c>
    </row>
  </sheetData>
  <pageMargins left="0" right="0" top="0.39370078740157505" bottom="0.39370078740157505" header="0" footer="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30085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Ejemplo_1</vt:lpstr>
      <vt:lpstr>Sheet1</vt:lpstr>
      <vt:lpstr>Identificacion-postdim</vt:lpstr>
      <vt:lpstr>Identificacion-copia</vt:lpstr>
      <vt:lpstr>Identificacion</vt:lpstr>
      <vt:lpstr>Ganancia_de_Estado_Estacionario</vt:lpstr>
      <vt:lpstr>Pesos_MPC_-_Con_restricciones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Zapata</dc:creator>
  <cp:lastModifiedBy>Facundo Zapata</cp:lastModifiedBy>
  <cp:revision>43</cp:revision>
  <dcterms:created xsi:type="dcterms:W3CDTF">2019-11-14T12:15:34Z</dcterms:created>
  <dcterms:modified xsi:type="dcterms:W3CDTF">2025-12-01T03:38:22Z</dcterms:modified>
</cp:coreProperties>
</file>